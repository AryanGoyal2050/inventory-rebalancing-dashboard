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ch Products and Solutions\Project 2 - Automation\Multiple Hub\inventory-rebalancing-dashboard\inputs\"/>
    </mc:Choice>
  </mc:AlternateContent>
  <xr:revisionPtr revIDLastSave="0" documentId="13_ncr:1_{8B1A04A5-1A94-4240-A056-4D2B7178DFD7}" xr6:coauthVersionLast="47" xr6:coauthVersionMax="47" xr10:uidLastSave="{00000000-0000-0000-0000-000000000000}"/>
  <bookViews>
    <workbookView xWindow="-98" yWindow="-98" windowWidth="21795" windowHeight="12975" xr2:uid="{1E4D03B6-B95E-4062-A419-B44CC9F53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<sst xmlns="http://schemas.openxmlformats.org/spreadsheetml/2006/main" count="80" uniqueCount="61">
  <si>
    <t>Hub Name</t>
  </si>
  <si>
    <t>Hub Long Name</t>
  </si>
  <si>
    <t>Hub Type</t>
  </si>
  <si>
    <t>DrowdownHeading</t>
  </si>
  <si>
    <t>Lat</t>
  </si>
  <si>
    <t>Long</t>
  </si>
  <si>
    <t>HP-Factory</t>
  </si>
  <si>
    <t>Regional</t>
  </si>
  <si>
    <t>GUJ</t>
  </si>
  <si>
    <t>Gujarat</t>
  </si>
  <si>
    <t>PC</t>
  </si>
  <si>
    <t>Pune</t>
  </si>
  <si>
    <t>RJ</t>
  </si>
  <si>
    <t>Rajasthan</t>
  </si>
  <si>
    <t>NG</t>
  </si>
  <si>
    <t>Nagpur</t>
  </si>
  <si>
    <t>KH</t>
  </si>
  <si>
    <t>Kh</t>
  </si>
  <si>
    <t>MP</t>
  </si>
  <si>
    <t>Indore</t>
  </si>
  <si>
    <t>Mother</t>
  </si>
  <si>
    <t>KOL</t>
  </si>
  <si>
    <t>Kolkata</t>
  </si>
  <si>
    <t>GT</t>
  </si>
  <si>
    <t>Guwahati</t>
  </si>
  <si>
    <t>PA</t>
  </si>
  <si>
    <t>Patna</t>
  </si>
  <si>
    <t>DEL</t>
  </si>
  <si>
    <t>Delhi</t>
  </si>
  <si>
    <t>PBN</t>
  </si>
  <si>
    <t>KNP</t>
  </si>
  <si>
    <t>Kanpur</t>
  </si>
  <si>
    <t>Sonipat</t>
  </si>
  <si>
    <t>CH</t>
  </si>
  <si>
    <t>Chennai</t>
  </si>
  <si>
    <t>BNG</t>
  </si>
  <si>
    <t>Bengaluru</t>
  </si>
  <si>
    <t>HY</t>
  </si>
  <si>
    <t>Hyderabad</t>
  </si>
  <si>
    <t>KER</t>
  </si>
  <si>
    <t>Kerala</t>
  </si>
  <si>
    <t>Hub</t>
  </si>
  <si>
    <t>HP-Factory (2000)</t>
  </si>
  <si>
    <t>Kh (4106)</t>
  </si>
  <si>
    <t>Delhi (4300)</t>
  </si>
  <si>
    <t>Pune, MH (4101)</t>
  </si>
  <si>
    <t>Ahmedabad, GJ (4100)</t>
  </si>
  <si>
    <t>Jaipur, RJ (4104)</t>
  </si>
  <si>
    <t>Nagpur, MH (4105)</t>
  </si>
  <si>
    <t>Indore, MP (4108)</t>
  </si>
  <si>
    <t>Kolkata, WB (4200)</t>
  </si>
  <si>
    <t>Guwahati, AS (4201)</t>
  </si>
  <si>
    <t>Patna, BR (4203)</t>
  </si>
  <si>
    <t>Banur, PB (4301)</t>
  </si>
  <si>
    <t>Kanpur, UP (4302)</t>
  </si>
  <si>
    <t>Sonipat, HR (4304)</t>
  </si>
  <si>
    <t>Chennai, TN (4400)</t>
  </si>
  <si>
    <t>Bengaluru, KN (4401)</t>
  </si>
  <si>
    <t>Hyderabad, TS (4403)</t>
  </si>
  <si>
    <t>Cochin, KL (4404)</t>
  </si>
  <si>
    <t>Hub Compress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</si>
</sst>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A5FC96-C8B7-4E3F-94F5-3ADA259F29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EDBB-22BF-4955-87CF-929BFC59CECA}">
  <dimension ref="A1:H19"/>
  <sheetViews>
    <sheetView tabSelected="1" workbookViewId="0">
      <selection activeCell="L19" sqref="L19"/>
    </sheetView>
  </sheetViews>
  <sheetFormatPr defaultRowHeight="14.25" x14ac:dyDescent="0.45"/>
  <cols>
    <col min="1" max="1" width="4.73046875" bestFit="1" customWidth="1"/>
    <col min="2" max="2" width="9.33203125" bestFit="1" customWidth="1"/>
    <col min="3" max="3" width="13.73046875" bestFit="1" customWidth="1"/>
    <col min="4" max="4" width="8.46484375" bestFit="1" customWidth="1"/>
    <col min="5" max="5" width="16.53125" bestFit="1" customWidth="1"/>
    <col min="6" max="6" width="4.19921875" bestFit="1" customWidth="1"/>
    <col min="7" max="7" width="4.59765625" bestFit="1" customWidth="1"/>
    <col min="8" max="8" width="18.73046875" bestFit="1" customWidth="1"/>
  </cols>
  <sheetData>
    <row r="1" spans="1:8" x14ac:dyDescent="0.45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60</v>
      </c>
    </row>
    <row r="2" spans="1:8" x14ac:dyDescent="0.45">
      <c r="A2">
        <v>2000</v>
      </c>
      <c r="B2" t="s">
        <v>6</v>
      </c>
      <c r="C2" t="s">
        <v>6</v>
      </c>
      <c r="D2" t="s">
        <v>7</v>
      </c>
      <c r="E2" t="str">
        <f t="shared" ref="E2:E19" si="0">C2 &amp; " (" &amp; TEXT(A2, "0") &amp; ")"</f>
        <v>HP-Factory (2000)</v>
      </c>
      <c r="F2" s="2">
        <v>31.9</v>
      </c>
      <c r="G2" s="2">
        <v>77.400000000000006</v>
      </c>
      <c r="H2" t="s">
        <v>42</v>
      </c>
    </row>
    <row r="3" spans="1:8" x14ac:dyDescent="0.45">
      <c r="A3">
        <v>4100</v>
      </c>
      <c r="B3" t="s">
        <v>8</v>
      </c>
      <c r="C3" t="s">
        <v>9</v>
      </c>
      <c r="D3" t="s">
        <v>7</v>
      </c>
      <c r="E3" t="str">
        <f t="shared" si="0"/>
        <v>Gujarat (4100)</v>
      </c>
      <c r="F3" s="2">
        <v>23.9</v>
      </c>
      <c r="G3" s="2">
        <v>72.2</v>
      </c>
      <c r="H3" t="s">
        <v>46</v>
      </c>
    </row>
    <row r="4" spans="1:8" x14ac:dyDescent="0.45">
      <c r="A4">
        <v>4101</v>
      </c>
      <c r="B4" t="s">
        <v>10</v>
      </c>
      <c r="C4" t="s">
        <v>11</v>
      </c>
      <c r="D4" t="s">
        <v>7</v>
      </c>
      <c r="E4" t="str">
        <f t="shared" si="0"/>
        <v>Pune (4101)</v>
      </c>
      <c r="F4" s="2">
        <v>18.8</v>
      </c>
      <c r="G4" s="2">
        <v>73.400000000000006</v>
      </c>
      <c r="H4" t="s">
        <v>45</v>
      </c>
    </row>
    <row r="5" spans="1:8" x14ac:dyDescent="0.45">
      <c r="A5">
        <v>4104</v>
      </c>
      <c r="B5" t="s">
        <v>12</v>
      </c>
      <c r="C5" t="s">
        <v>13</v>
      </c>
      <c r="D5" t="s">
        <v>7</v>
      </c>
      <c r="E5" t="str">
        <f t="shared" si="0"/>
        <v>Rajasthan (4104)</v>
      </c>
      <c r="F5" s="2">
        <v>26.882052999999999</v>
      </c>
      <c r="G5" s="2">
        <v>75.785736</v>
      </c>
      <c r="H5" t="s">
        <v>47</v>
      </c>
    </row>
    <row r="6" spans="1:8" x14ac:dyDescent="0.45">
      <c r="A6">
        <v>4105</v>
      </c>
      <c r="B6" t="s">
        <v>14</v>
      </c>
      <c r="C6" t="s">
        <v>15</v>
      </c>
      <c r="D6" t="s">
        <v>7</v>
      </c>
      <c r="E6" t="str">
        <f t="shared" si="0"/>
        <v>Nagpur (4105)</v>
      </c>
      <c r="F6" s="2">
        <v>21.125983000000002</v>
      </c>
      <c r="G6" s="2">
        <v>79.082633000000001</v>
      </c>
      <c r="H6" t="s">
        <v>48</v>
      </c>
    </row>
    <row r="7" spans="1:8" x14ac:dyDescent="0.45">
      <c r="A7">
        <v>4106</v>
      </c>
      <c r="B7" t="s">
        <v>16</v>
      </c>
      <c r="C7" t="s">
        <v>17</v>
      </c>
      <c r="D7" t="s">
        <v>7</v>
      </c>
      <c r="E7" t="str">
        <f t="shared" si="0"/>
        <v>Kh (4106)</v>
      </c>
      <c r="F7" s="2">
        <v>19.130745000000001</v>
      </c>
      <c r="G7" s="2">
        <v>72.923654999999997</v>
      </c>
      <c r="H7" t="s">
        <v>43</v>
      </c>
    </row>
    <row r="8" spans="1:8" x14ac:dyDescent="0.45">
      <c r="A8">
        <v>4108</v>
      </c>
      <c r="B8" t="s">
        <v>18</v>
      </c>
      <c r="C8" t="s">
        <v>19</v>
      </c>
      <c r="D8" t="s">
        <v>20</v>
      </c>
      <c r="E8" t="str">
        <f t="shared" si="0"/>
        <v>Indore (4108)</v>
      </c>
      <c r="F8" s="2">
        <v>22.700199000000001</v>
      </c>
      <c r="G8" s="2">
        <v>75.862815999999995</v>
      </c>
      <c r="H8" t="s">
        <v>49</v>
      </c>
    </row>
    <row r="9" spans="1:8" x14ac:dyDescent="0.45">
      <c r="A9">
        <v>4200</v>
      </c>
      <c r="B9" t="s">
        <v>21</v>
      </c>
      <c r="C9" t="s">
        <v>22</v>
      </c>
      <c r="D9" t="s">
        <v>7</v>
      </c>
      <c r="E9" t="str">
        <f t="shared" si="0"/>
        <v>Kolkata (4200)</v>
      </c>
      <c r="F9" s="2">
        <v>22.607688</v>
      </c>
      <c r="G9" s="2">
        <v>88.6</v>
      </c>
      <c r="H9" t="s">
        <v>50</v>
      </c>
    </row>
    <row r="10" spans="1:8" x14ac:dyDescent="0.45">
      <c r="A10">
        <v>4201</v>
      </c>
      <c r="B10" t="s">
        <v>23</v>
      </c>
      <c r="C10" t="s">
        <v>24</v>
      </c>
      <c r="D10" t="s">
        <v>7</v>
      </c>
      <c r="E10" t="str">
        <f t="shared" si="0"/>
        <v>Guwahati (4201)</v>
      </c>
      <c r="F10" s="2">
        <v>26.097711</v>
      </c>
      <c r="G10" s="2">
        <v>91.731718000000001</v>
      </c>
      <c r="H10" t="s">
        <v>51</v>
      </c>
    </row>
    <row r="11" spans="1:8" x14ac:dyDescent="0.45">
      <c r="A11">
        <v>4203</v>
      </c>
      <c r="B11" t="s">
        <v>25</v>
      </c>
      <c r="C11" t="s">
        <v>26</v>
      </c>
      <c r="D11" t="s">
        <v>7</v>
      </c>
      <c r="E11" t="str">
        <f t="shared" si="0"/>
        <v>Patna (4203)</v>
      </c>
      <c r="F11" s="2">
        <v>25.575192000000001</v>
      </c>
      <c r="G11" s="2">
        <v>85.144756000000001</v>
      </c>
      <c r="H11" t="s">
        <v>52</v>
      </c>
    </row>
    <row r="12" spans="1:8" x14ac:dyDescent="0.45">
      <c r="A12">
        <v>4300</v>
      </c>
      <c r="B12" t="s">
        <v>27</v>
      </c>
      <c r="C12" t="s">
        <v>28</v>
      </c>
      <c r="D12" t="s">
        <v>7</v>
      </c>
      <c r="E12" t="str">
        <f t="shared" si="0"/>
        <v>Delhi (4300)</v>
      </c>
      <c r="F12" s="2">
        <v>28.643685000000001</v>
      </c>
      <c r="G12" s="2">
        <v>77.06</v>
      </c>
      <c r="H12" t="s">
        <v>44</v>
      </c>
    </row>
    <row r="13" spans="1:8" x14ac:dyDescent="0.45">
      <c r="A13">
        <v>4301</v>
      </c>
      <c r="B13" t="s">
        <v>29</v>
      </c>
      <c r="C13" t="s">
        <v>29</v>
      </c>
      <c r="D13" t="s">
        <v>20</v>
      </c>
      <c r="E13" t="str">
        <f t="shared" si="0"/>
        <v>PBN (4301)</v>
      </c>
      <c r="F13" s="2">
        <v>30.559994</v>
      </c>
      <c r="G13" s="2">
        <v>76.711263000000002</v>
      </c>
      <c r="H13" t="s">
        <v>53</v>
      </c>
    </row>
    <row r="14" spans="1:8" x14ac:dyDescent="0.45">
      <c r="A14">
        <v>4302</v>
      </c>
      <c r="B14" t="s">
        <v>30</v>
      </c>
      <c r="C14" t="s">
        <v>31</v>
      </c>
      <c r="D14" t="s">
        <v>7</v>
      </c>
      <c r="E14" t="str">
        <f t="shared" si="0"/>
        <v>Kanpur (4302)</v>
      </c>
      <c r="F14" s="2">
        <v>26.457908</v>
      </c>
      <c r="G14" s="2">
        <v>80.293059999999997</v>
      </c>
      <c r="H14" t="s">
        <v>54</v>
      </c>
    </row>
    <row r="15" spans="1:8" x14ac:dyDescent="0.45">
      <c r="A15">
        <v>4304</v>
      </c>
      <c r="B15" t="s">
        <v>32</v>
      </c>
      <c r="C15" t="s">
        <v>32</v>
      </c>
      <c r="D15" t="s">
        <v>7</v>
      </c>
      <c r="E15" t="str">
        <f t="shared" si="0"/>
        <v>Sonipat (4304)</v>
      </c>
      <c r="F15" s="2">
        <v>28.936337999999999</v>
      </c>
      <c r="G15" s="2">
        <v>77.076384000000004</v>
      </c>
      <c r="H15" t="s">
        <v>55</v>
      </c>
    </row>
    <row r="16" spans="1:8" x14ac:dyDescent="0.45">
      <c r="A16">
        <v>4400</v>
      </c>
      <c r="B16" t="s">
        <v>33</v>
      </c>
      <c r="C16" t="s">
        <v>34</v>
      </c>
      <c r="D16" t="s">
        <v>7</v>
      </c>
      <c r="E16" t="str">
        <f t="shared" si="0"/>
        <v>Chennai (4400)</v>
      </c>
      <c r="F16" s="2">
        <v>12.99663</v>
      </c>
      <c r="G16" s="2">
        <v>80.114586000000003</v>
      </c>
      <c r="H16" t="s">
        <v>56</v>
      </c>
    </row>
    <row r="17" spans="1:8" x14ac:dyDescent="0.45">
      <c r="A17">
        <v>4401</v>
      </c>
      <c r="B17" t="s">
        <v>35</v>
      </c>
      <c r="C17" t="s">
        <v>36</v>
      </c>
      <c r="D17" t="s">
        <v>7</v>
      </c>
      <c r="E17" t="str">
        <f t="shared" si="0"/>
        <v>Bengaluru (4401)</v>
      </c>
      <c r="F17" s="2">
        <v>13.009335</v>
      </c>
      <c r="G17" s="2">
        <v>77.549857000000003</v>
      </c>
      <c r="H17" t="s">
        <v>57</v>
      </c>
    </row>
    <row r="18" spans="1:8" x14ac:dyDescent="0.45">
      <c r="A18">
        <v>4403</v>
      </c>
      <c r="B18" t="s">
        <v>37</v>
      </c>
      <c r="C18" t="s">
        <v>38</v>
      </c>
      <c r="D18" t="s">
        <v>7</v>
      </c>
      <c r="E18" t="str">
        <f t="shared" si="0"/>
        <v>Hyderabad (4403)</v>
      </c>
      <c r="F18" s="2">
        <v>17.428660000000001</v>
      </c>
      <c r="G18" s="2">
        <v>78.418329</v>
      </c>
      <c r="H18" t="s">
        <v>58</v>
      </c>
    </row>
    <row r="19" spans="1:8" x14ac:dyDescent="0.45">
      <c r="A19">
        <v>4404</v>
      </c>
      <c r="B19" t="s">
        <v>39</v>
      </c>
      <c r="C19" t="s">
        <v>40</v>
      </c>
      <c r="D19" t="s">
        <v>7</v>
      </c>
      <c r="E19" t="str">
        <f t="shared" si="0"/>
        <v>Kerala (4404)</v>
      </c>
      <c r="F19" s="2">
        <v>9.9817660000000004</v>
      </c>
      <c r="G19" s="2">
        <v>76.381067999999999</v>
      </c>
      <c r="H19" t="s">
        <v>59</v>
      </c>
    </row>
  </sheetData>
  <dataValidations disablePrompts="1" count="1">
    <dataValidation type="list" allowBlank="1" showInputMessage="1" showErrorMessage="1" sqref="D2:D19" xr:uid="{4D47E6DB-DC79-41D9-89F8-4B4E5394F58F}">
      <formula1>"Mother, Regional"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Aryan</dc:creator>
  <cp:lastModifiedBy>Goyal, Aryan</cp:lastModifiedBy>
  <dcterms:created xsi:type="dcterms:W3CDTF">2026-05-25T07:15:35Z</dcterms:created>
  <dcterms:modified xsi:type="dcterms:W3CDTF">2026-05-25T07:44:41Z</dcterms:modified>
</cp:coreProperties>
</file>