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 I C H S\Reports\VP Sheet\"/>
    </mc:Choice>
  </mc:AlternateContent>
  <xr:revisionPtr revIDLastSave="0" documentId="13_ncr:1_{DFBFD9BC-DCBA-4718-8559-0D2E8B3AB2F4}" xr6:coauthVersionLast="47" xr6:coauthVersionMax="47" xr10:uidLastSave="{00000000-0000-0000-0000-000000000000}"/>
  <bookViews>
    <workbookView xWindow="-120" yWindow="-120" windowWidth="20730" windowHeight="11040" tabRatio="879" activeTab="1" xr2:uid="{00000000-000D-0000-FFFF-FFFF00000000}"/>
  </bookViews>
  <sheets>
    <sheet name="Sale Summary" sheetId="12" r:id="rId1"/>
    <sheet name="Category wise INV days" sheetId="25" r:id="rId2"/>
    <sheet name="Item wise" sheetId="16" r:id="rId3"/>
    <sheet name="ITEM_WISE" sheetId="71" r:id="rId4"/>
    <sheet name="RF Pendency Pivot" sheetId="3" r:id="rId5"/>
    <sheet name="INV Days Pivot" sheetId="4" r:id="rId6"/>
    <sheet name="HUB wise lifting" sheetId="54" r:id="rId7"/>
    <sheet name="Master" sheetId="69" r:id="rId8"/>
    <sheet name="BAse" sheetId="1" r:id="rId9"/>
    <sheet name="Common T&amp;I" sheetId="5" r:id="rId10"/>
    <sheet name="HP Ex T&amp;I" sheetId="6" r:id="rId11"/>
    <sheet name="UF Exclusive" sheetId="7" r:id="rId12"/>
    <sheet name="DRY NGL+DD" sheetId="8" r:id="rId13"/>
    <sheet name="Coman " sheetId="70" r:id="rId14"/>
  </sheets>
  <definedNames>
    <definedName name="_xlnm._FilterDatabase" localSheetId="8" hidden="1">BAse!$A$2:$R$624</definedName>
    <definedName name="_xlnm._FilterDatabase" localSheetId="9" hidden="1">'Common T&amp;I'!$D$13:$AD$16</definedName>
    <definedName name="_xlnm._FilterDatabase" localSheetId="10" hidden="1">'HP Ex T&amp;I'!$A$4:$AF$4</definedName>
    <definedName name="_xlnm._FilterDatabase" localSheetId="5" hidden="1">'INV Days Pivot'!#REF!</definedName>
    <definedName name="_xlnm._FilterDatabase" localSheetId="2" hidden="1">'Item wise'!$J$4:$J$51</definedName>
    <definedName name="_xlnm._FilterDatabase" localSheetId="3" hidden="1">ITEM_WISE!$A$1:$I$53</definedName>
    <definedName name="_xlnm._FilterDatabase" localSheetId="7" hidden="1">Master!$A$1:$O$930</definedName>
    <definedName name="_xlnm._FilterDatabase" localSheetId="11" hidden="1">'UF Exclusive'!$C$17:$AC$27</definedName>
    <definedName name="Common">#REF!</definedName>
    <definedName name="Common_TI">#REF!</definedName>
    <definedName name="Dry_NGL_DD">#REF!</definedName>
    <definedName name="HP_Ex_TI">#REF!</definedName>
    <definedName name="PF_Exclusive">#REF!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'Item wise'!$F$5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37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8" i="16" l="1"/>
  <c r="G58" i="16"/>
  <c r="H58" i="16"/>
  <c r="R625" i="1"/>
  <c r="R626" i="1"/>
  <c r="R627" i="1"/>
  <c r="P625" i="1"/>
  <c r="Q625" i="1"/>
  <c r="P626" i="1"/>
  <c r="Q626" i="1"/>
  <c r="P627" i="1"/>
  <c r="Q627" i="1"/>
  <c r="K625" i="1"/>
  <c r="K626" i="1"/>
  <c r="K627" i="1"/>
  <c r="G625" i="1"/>
  <c r="H625" i="1"/>
  <c r="G626" i="1"/>
  <c r="H626" i="1"/>
  <c r="G627" i="1"/>
  <c r="H627" i="1"/>
  <c r="E621" i="1"/>
  <c r="E622" i="1"/>
  <c r="E623" i="1"/>
  <c r="E624" i="1"/>
  <c r="E625" i="1"/>
  <c r="E626" i="1"/>
  <c r="E627" i="1"/>
  <c r="C625" i="1"/>
  <c r="C626" i="1"/>
  <c r="C627" i="1"/>
  <c r="A625" i="1"/>
  <c r="A626" i="1"/>
  <c r="A62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P621" i="1"/>
  <c r="Q621" i="1"/>
  <c r="R621" i="1"/>
  <c r="P622" i="1"/>
  <c r="Q622" i="1"/>
  <c r="R622" i="1"/>
  <c r="P623" i="1"/>
  <c r="Q623" i="1"/>
  <c r="R623" i="1"/>
  <c r="P624" i="1"/>
  <c r="Q624" i="1"/>
  <c r="R624" i="1"/>
  <c r="G621" i="1"/>
  <c r="H621" i="1"/>
  <c r="G622" i="1"/>
  <c r="H622" i="1"/>
  <c r="G623" i="1"/>
  <c r="H623" i="1"/>
  <c r="G624" i="1"/>
  <c r="H624" i="1"/>
  <c r="C621" i="1"/>
  <c r="C622" i="1"/>
  <c r="C623" i="1"/>
  <c r="C624" i="1"/>
  <c r="A621" i="1"/>
  <c r="A622" i="1"/>
  <c r="A623" i="1"/>
  <c r="A624" i="1"/>
  <c r="F55" i="16"/>
  <c r="G55" i="16"/>
  <c r="H55" i="16"/>
  <c r="F56" i="16"/>
  <c r="G56" i="16"/>
  <c r="H56" i="16"/>
  <c r="F57" i="16"/>
  <c r="G57" i="16"/>
  <c r="H57" i="16"/>
  <c r="C619" i="1"/>
  <c r="C620" i="1"/>
  <c r="A619" i="1"/>
  <c r="A620" i="1"/>
  <c r="E619" i="1"/>
  <c r="E620" i="1"/>
  <c r="G619" i="1"/>
  <c r="H619" i="1"/>
  <c r="G620" i="1"/>
  <c r="H620" i="1"/>
  <c r="P619" i="1"/>
  <c r="Q619" i="1"/>
  <c r="R619" i="1"/>
  <c r="P620" i="1"/>
  <c r="Q620" i="1"/>
  <c r="R620" i="1"/>
  <c r="C618" i="1"/>
  <c r="A618" i="1"/>
  <c r="E618" i="1"/>
  <c r="G618" i="1"/>
  <c r="H618" i="1"/>
  <c r="R618" i="1"/>
  <c r="Q618" i="1"/>
  <c r="P618" i="1"/>
  <c r="E52" i="71"/>
  <c r="D52" i="71"/>
  <c r="C52" i="71"/>
  <c r="E48" i="71"/>
  <c r="D48" i="71"/>
  <c r="C48" i="71"/>
  <c r="E46" i="71"/>
  <c r="D46" i="71"/>
  <c r="C46" i="71"/>
  <c r="E51" i="71"/>
  <c r="D51" i="71"/>
  <c r="C51" i="71"/>
  <c r="E45" i="71"/>
  <c r="D45" i="71"/>
  <c r="C45" i="71"/>
  <c r="E47" i="71"/>
  <c r="D47" i="71"/>
  <c r="C47" i="71"/>
  <c r="E38" i="71"/>
  <c r="D38" i="71"/>
  <c r="C38" i="71"/>
  <c r="E37" i="71"/>
  <c r="D37" i="71"/>
  <c r="C37" i="71"/>
  <c r="E39" i="71"/>
  <c r="D39" i="71"/>
  <c r="C39" i="71"/>
  <c r="E43" i="71"/>
  <c r="D43" i="71"/>
  <c r="C43" i="71"/>
  <c r="E49" i="71"/>
  <c r="D49" i="71"/>
  <c r="C49" i="71"/>
  <c r="E50" i="71"/>
  <c r="D50" i="71"/>
  <c r="C50" i="71"/>
  <c r="E26" i="71"/>
  <c r="D26" i="71"/>
  <c r="C26" i="71"/>
  <c r="E27" i="71"/>
  <c r="D27" i="71"/>
  <c r="C27" i="71"/>
  <c r="E28" i="71"/>
  <c r="D28" i="71"/>
  <c r="C28" i="71"/>
  <c r="E25" i="71"/>
  <c r="D25" i="71"/>
  <c r="C25" i="71"/>
  <c r="E17" i="71"/>
  <c r="D17" i="71"/>
  <c r="C17" i="71"/>
  <c r="E13" i="71"/>
  <c r="D13" i="71"/>
  <c r="C13" i="71"/>
  <c r="E20" i="71"/>
  <c r="D20" i="71"/>
  <c r="C20" i="71"/>
  <c r="E33" i="71"/>
  <c r="D33" i="71"/>
  <c r="C33" i="71"/>
  <c r="E29" i="71"/>
  <c r="D29" i="71"/>
  <c r="C29" i="71"/>
  <c r="E24" i="71"/>
  <c r="D24" i="71"/>
  <c r="C24" i="71"/>
  <c r="E21" i="71"/>
  <c r="D21" i="71"/>
  <c r="C21" i="71"/>
  <c r="E11" i="71"/>
  <c r="D11" i="71"/>
  <c r="C11" i="71"/>
  <c r="E30" i="71"/>
  <c r="D30" i="71"/>
  <c r="C30" i="71"/>
  <c r="E18" i="71"/>
  <c r="D18" i="71"/>
  <c r="C18" i="71"/>
  <c r="E34" i="71"/>
  <c r="D34" i="71"/>
  <c r="C34" i="71"/>
  <c r="E36" i="71"/>
  <c r="D36" i="71"/>
  <c r="C36" i="71"/>
  <c r="E4" i="71"/>
  <c r="D4" i="71"/>
  <c r="C4" i="71"/>
  <c r="E23" i="71"/>
  <c r="D23" i="71"/>
  <c r="C23" i="71"/>
  <c r="E10" i="71"/>
  <c r="D10" i="71"/>
  <c r="C10" i="71"/>
  <c r="E31" i="71"/>
  <c r="D31" i="71"/>
  <c r="C31" i="71"/>
  <c r="E44" i="71"/>
  <c r="D44" i="71"/>
  <c r="C44" i="71"/>
  <c r="E42" i="71"/>
  <c r="D42" i="71"/>
  <c r="C42" i="71"/>
  <c r="E40" i="71"/>
  <c r="D40" i="71"/>
  <c r="C40" i="71"/>
  <c r="E8" i="71"/>
  <c r="D8" i="71"/>
  <c r="C8" i="71"/>
  <c r="E15" i="71"/>
  <c r="D15" i="71"/>
  <c r="C15" i="71"/>
  <c r="E32" i="71"/>
  <c r="D32" i="71"/>
  <c r="C32" i="71"/>
  <c r="E16" i="71"/>
  <c r="D16" i="71"/>
  <c r="C16" i="71"/>
  <c r="E22" i="71"/>
  <c r="D22" i="71"/>
  <c r="C22" i="71"/>
  <c r="E3" i="71"/>
  <c r="D3" i="71"/>
  <c r="C3" i="71"/>
  <c r="E9" i="71"/>
  <c r="D9" i="71"/>
  <c r="C9" i="71"/>
  <c r="E5" i="71"/>
  <c r="D5" i="71"/>
  <c r="C5" i="71"/>
  <c r="E14" i="71"/>
  <c r="D14" i="71"/>
  <c r="C14" i="71"/>
  <c r="E6" i="71"/>
  <c r="D6" i="71"/>
  <c r="C6" i="71"/>
  <c r="E35" i="71"/>
  <c r="D35" i="71"/>
  <c r="C35" i="71"/>
  <c r="E41" i="71"/>
  <c r="D41" i="71"/>
  <c r="C41" i="71"/>
  <c r="E7" i="71"/>
  <c r="D7" i="71"/>
  <c r="C7" i="71"/>
  <c r="E19" i="71"/>
  <c r="D19" i="71"/>
  <c r="C19" i="71"/>
  <c r="E12" i="71"/>
  <c r="D12" i="71"/>
  <c r="C12" i="71"/>
  <c r="E2" i="71"/>
  <c r="D2" i="71"/>
  <c r="C2" i="71"/>
  <c r="R617" i="1"/>
  <c r="Q617" i="1"/>
  <c r="P617" i="1"/>
  <c r="H617" i="1"/>
  <c r="G617" i="1"/>
  <c r="E616" i="1"/>
  <c r="E617" i="1"/>
  <c r="C617" i="1"/>
  <c r="A617" i="1"/>
  <c r="R616" i="1"/>
  <c r="Q616" i="1"/>
  <c r="P616" i="1"/>
  <c r="H616" i="1"/>
  <c r="G616" i="1"/>
  <c r="C616" i="1"/>
  <c r="A616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P272" i="1"/>
  <c r="Q272" i="1"/>
  <c r="R272" i="1"/>
  <c r="P273" i="1"/>
  <c r="Q273" i="1"/>
  <c r="R273" i="1"/>
  <c r="P274" i="1"/>
  <c r="Q274" i="1"/>
  <c r="R274" i="1"/>
  <c r="P275" i="1"/>
  <c r="Q275" i="1"/>
  <c r="R275" i="1"/>
  <c r="P276" i="1"/>
  <c r="Q276" i="1"/>
  <c r="R276" i="1"/>
  <c r="P277" i="1"/>
  <c r="Q277" i="1"/>
  <c r="R277" i="1"/>
  <c r="P278" i="1"/>
  <c r="Q278" i="1"/>
  <c r="R278" i="1"/>
  <c r="P279" i="1"/>
  <c r="Q279" i="1"/>
  <c r="R279" i="1"/>
  <c r="P280" i="1"/>
  <c r="Q280" i="1"/>
  <c r="R280" i="1"/>
  <c r="P281" i="1"/>
  <c r="Q281" i="1"/>
  <c r="R281" i="1"/>
  <c r="P282" i="1"/>
  <c r="Q282" i="1"/>
  <c r="R282" i="1"/>
  <c r="P283" i="1"/>
  <c r="Q283" i="1"/>
  <c r="R283" i="1"/>
  <c r="P284" i="1"/>
  <c r="Q284" i="1"/>
  <c r="R284" i="1"/>
  <c r="P285" i="1"/>
  <c r="Q285" i="1"/>
  <c r="R285" i="1"/>
  <c r="P286" i="1"/>
  <c r="Q286" i="1"/>
  <c r="R286" i="1"/>
  <c r="P287" i="1"/>
  <c r="Q287" i="1"/>
  <c r="R287" i="1"/>
  <c r="P288" i="1"/>
  <c r="Q288" i="1"/>
  <c r="R288" i="1"/>
  <c r="P289" i="1"/>
  <c r="Q289" i="1"/>
  <c r="R289" i="1"/>
  <c r="P290" i="1"/>
  <c r="Q290" i="1"/>
  <c r="R290" i="1"/>
  <c r="P291" i="1"/>
  <c r="Q291" i="1"/>
  <c r="R291" i="1"/>
  <c r="P292" i="1"/>
  <c r="Q292" i="1"/>
  <c r="R292" i="1"/>
  <c r="P293" i="1"/>
  <c r="Q293" i="1"/>
  <c r="R293" i="1"/>
  <c r="P294" i="1"/>
  <c r="Q294" i="1"/>
  <c r="R294" i="1"/>
  <c r="P295" i="1"/>
  <c r="Q295" i="1"/>
  <c r="R295" i="1"/>
  <c r="P296" i="1"/>
  <c r="Q296" i="1"/>
  <c r="R296" i="1"/>
  <c r="P297" i="1"/>
  <c r="Q297" i="1"/>
  <c r="R297" i="1"/>
  <c r="P298" i="1"/>
  <c r="Q298" i="1"/>
  <c r="R298" i="1"/>
  <c r="P299" i="1"/>
  <c r="Q299" i="1"/>
  <c r="R299" i="1"/>
  <c r="P300" i="1"/>
  <c r="Q300" i="1"/>
  <c r="R300" i="1"/>
  <c r="P301" i="1"/>
  <c r="Q301" i="1"/>
  <c r="R301" i="1"/>
  <c r="P302" i="1"/>
  <c r="Q302" i="1"/>
  <c r="R302" i="1"/>
  <c r="P303" i="1"/>
  <c r="Q303" i="1"/>
  <c r="R303" i="1"/>
  <c r="P304" i="1"/>
  <c r="Q304" i="1"/>
  <c r="R304" i="1"/>
  <c r="P305" i="1"/>
  <c r="Q305" i="1"/>
  <c r="R305" i="1"/>
  <c r="P306" i="1"/>
  <c r="Q306" i="1"/>
  <c r="R306" i="1"/>
  <c r="P307" i="1"/>
  <c r="Q307" i="1"/>
  <c r="R307" i="1"/>
  <c r="P308" i="1"/>
  <c r="Q308" i="1"/>
  <c r="R308" i="1"/>
  <c r="P309" i="1"/>
  <c r="Q309" i="1"/>
  <c r="R309" i="1"/>
  <c r="P310" i="1"/>
  <c r="Q310" i="1"/>
  <c r="R310" i="1"/>
  <c r="P311" i="1"/>
  <c r="Q311" i="1"/>
  <c r="R311" i="1"/>
  <c r="P312" i="1"/>
  <c r="Q312" i="1"/>
  <c r="R312" i="1"/>
  <c r="P313" i="1"/>
  <c r="Q313" i="1"/>
  <c r="R313" i="1"/>
  <c r="P314" i="1"/>
  <c r="Q314" i="1"/>
  <c r="R314" i="1"/>
  <c r="P315" i="1"/>
  <c r="Q315" i="1"/>
  <c r="R315" i="1"/>
  <c r="P316" i="1"/>
  <c r="Q316" i="1"/>
  <c r="R316" i="1"/>
  <c r="P317" i="1"/>
  <c r="Q317" i="1"/>
  <c r="R317" i="1"/>
  <c r="P318" i="1"/>
  <c r="Q318" i="1"/>
  <c r="R318" i="1"/>
  <c r="P319" i="1"/>
  <c r="Q319" i="1"/>
  <c r="R319" i="1"/>
  <c r="P320" i="1"/>
  <c r="Q320" i="1"/>
  <c r="R320" i="1"/>
  <c r="P321" i="1"/>
  <c r="Q321" i="1"/>
  <c r="R321" i="1"/>
  <c r="P322" i="1"/>
  <c r="Q322" i="1"/>
  <c r="R322" i="1"/>
  <c r="P323" i="1"/>
  <c r="Q323" i="1"/>
  <c r="R323" i="1"/>
  <c r="P324" i="1"/>
  <c r="Q324" i="1"/>
  <c r="R324" i="1"/>
  <c r="P325" i="1"/>
  <c r="Q325" i="1"/>
  <c r="R325" i="1"/>
  <c r="P326" i="1"/>
  <c r="Q326" i="1"/>
  <c r="R326" i="1"/>
  <c r="P327" i="1"/>
  <c r="Q327" i="1"/>
  <c r="R327" i="1"/>
  <c r="P328" i="1"/>
  <c r="Q328" i="1"/>
  <c r="R328" i="1"/>
  <c r="P329" i="1"/>
  <c r="Q329" i="1"/>
  <c r="R329" i="1"/>
  <c r="P330" i="1"/>
  <c r="Q330" i="1"/>
  <c r="R330" i="1"/>
  <c r="P331" i="1"/>
  <c r="Q331" i="1"/>
  <c r="R331" i="1"/>
  <c r="P332" i="1"/>
  <c r="Q332" i="1"/>
  <c r="R332" i="1"/>
  <c r="P333" i="1"/>
  <c r="Q333" i="1"/>
  <c r="R333" i="1"/>
  <c r="P334" i="1"/>
  <c r="Q334" i="1"/>
  <c r="R334" i="1"/>
  <c r="P335" i="1"/>
  <c r="Q335" i="1"/>
  <c r="R335" i="1"/>
  <c r="P336" i="1"/>
  <c r="Q336" i="1"/>
  <c r="R336" i="1"/>
  <c r="P337" i="1"/>
  <c r="Q337" i="1"/>
  <c r="R337" i="1"/>
  <c r="P338" i="1"/>
  <c r="Q338" i="1"/>
  <c r="R338" i="1"/>
  <c r="P339" i="1"/>
  <c r="Q339" i="1"/>
  <c r="R339" i="1"/>
  <c r="P340" i="1"/>
  <c r="Q340" i="1"/>
  <c r="R340" i="1"/>
  <c r="P341" i="1"/>
  <c r="Q341" i="1"/>
  <c r="R341" i="1"/>
  <c r="P342" i="1"/>
  <c r="Q342" i="1"/>
  <c r="R342" i="1"/>
  <c r="P343" i="1"/>
  <c r="Q343" i="1"/>
  <c r="R343" i="1"/>
  <c r="P344" i="1"/>
  <c r="Q344" i="1"/>
  <c r="R344" i="1"/>
  <c r="P345" i="1"/>
  <c r="Q345" i="1"/>
  <c r="R345" i="1"/>
  <c r="P346" i="1"/>
  <c r="Q346" i="1"/>
  <c r="R346" i="1"/>
  <c r="P347" i="1"/>
  <c r="Q347" i="1"/>
  <c r="R347" i="1"/>
  <c r="P348" i="1"/>
  <c r="Q348" i="1"/>
  <c r="R348" i="1"/>
  <c r="P349" i="1"/>
  <c r="Q349" i="1"/>
  <c r="R349" i="1"/>
  <c r="P350" i="1"/>
  <c r="Q350" i="1"/>
  <c r="R350" i="1"/>
  <c r="P351" i="1"/>
  <c r="Q351" i="1"/>
  <c r="R351" i="1"/>
  <c r="P352" i="1"/>
  <c r="Q352" i="1"/>
  <c r="R352" i="1"/>
  <c r="P353" i="1"/>
  <c r="Q353" i="1"/>
  <c r="R353" i="1"/>
  <c r="P354" i="1"/>
  <c r="Q354" i="1"/>
  <c r="R354" i="1"/>
  <c r="P355" i="1"/>
  <c r="Q355" i="1"/>
  <c r="R355" i="1"/>
  <c r="P356" i="1"/>
  <c r="Q356" i="1"/>
  <c r="R356" i="1"/>
  <c r="P357" i="1"/>
  <c r="Q357" i="1"/>
  <c r="R357" i="1"/>
  <c r="P358" i="1"/>
  <c r="Q358" i="1"/>
  <c r="R358" i="1"/>
  <c r="P359" i="1"/>
  <c r="Q359" i="1"/>
  <c r="R359" i="1"/>
  <c r="P360" i="1"/>
  <c r="Q360" i="1"/>
  <c r="R360" i="1"/>
  <c r="P361" i="1"/>
  <c r="Q361" i="1"/>
  <c r="R361" i="1"/>
  <c r="P362" i="1"/>
  <c r="Q362" i="1"/>
  <c r="R362" i="1"/>
  <c r="P363" i="1"/>
  <c r="Q363" i="1"/>
  <c r="R363" i="1"/>
  <c r="P364" i="1"/>
  <c r="Q364" i="1"/>
  <c r="R364" i="1"/>
  <c r="P365" i="1"/>
  <c r="Q365" i="1"/>
  <c r="R365" i="1"/>
  <c r="P366" i="1"/>
  <c r="Q366" i="1"/>
  <c r="R366" i="1"/>
  <c r="P367" i="1"/>
  <c r="Q367" i="1"/>
  <c r="R367" i="1"/>
  <c r="P368" i="1"/>
  <c r="Q368" i="1"/>
  <c r="R368" i="1"/>
  <c r="P369" i="1"/>
  <c r="Q369" i="1"/>
  <c r="R369" i="1"/>
  <c r="P370" i="1"/>
  <c r="Q370" i="1"/>
  <c r="R370" i="1"/>
  <c r="P371" i="1"/>
  <c r="Q371" i="1"/>
  <c r="R371" i="1"/>
  <c r="P372" i="1"/>
  <c r="Q372" i="1"/>
  <c r="R372" i="1"/>
  <c r="P373" i="1"/>
  <c r="Q373" i="1"/>
  <c r="R373" i="1"/>
  <c r="P374" i="1"/>
  <c r="Q374" i="1"/>
  <c r="R374" i="1"/>
  <c r="P375" i="1"/>
  <c r="Q375" i="1"/>
  <c r="R375" i="1"/>
  <c r="P376" i="1"/>
  <c r="Q376" i="1"/>
  <c r="R376" i="1"/>
  <c r="P377" i="1"/>
  <c r="Q377" i="1"/>
  <c r="R377" i="1"/>
  <c r="P378" i="1"/>
  <c r="Q378" i="1"/>
  <c r="R378" i="1"/>
  <c r="P379" i="1"/>
  <c r="Q379" i="1"/>
  <c r="R379" i="1"/>
  <c r="P380" i="1"/>
  <c r="Q380" i="1"/>
  <c r="R380" i="1"/>
  <c r="P381" i="1"/>
  <c r="Q381" i="1"/>
  <c r="R381" i="1"/>
  <c r="P382" i="1"/>
  <c r="Q382" i="1"/>
  <c r="R382" i="1"/>
  <c r="P383" i="1"/>
  <c r="Q383" i="1"/>
  <c r="R383" i="1"/>
  <c r="P384" i="1"/>
  <c r="Q384" i="1"/>
  <c r="R384" i="1"/>
  <c r="P385" i="1"/>
  <c r="Q385" i="1"/>
  <c r="R385" i="1"/>
  <c r="P386" i="1"/>
  <c r="Q386" i="1"/>
  <c r="R386" i="1"/>
  <c r="P387" i="1"/>
  <c r="Q387" i="1"/>
  <c r="R387" i="1"/>
  <c r="P388" i="1"/>
  <c r="Q388" i="1"/>
  <c r="R388" i="1"/>
  <c r="P389" i="1"/>
  <c r="Q389" i="1"/>
  <c r="R389" i="1"/>
  <c r="P390" i="1"/>
  <c r="Q390" i="1"/>
  <c r="R390" i="1"/>
  <c r="P391" i="1"/>
  <c r="Q391" i="1"/>
  <c r="R391" i="1"/>
  <c r="P392" i="1"/>
  <c r="Q392" i="1"/>
  <c r="R392" i="1"/>
  <c r="P393" i="1"/>
  <c r="Q393" i="1"/>
  <c r="R393" i="1"/>
  <c r="P394" i="1"/>
  <c r="Q394" i="1"/>
  <c r="R394" i="1"/>
  <c r="P395" i="1"/>
  <c r="Q395" i="1"/>
  <c r="R395" i="1"/>
  <c r="P396" i="1"/>
  <c r="Q396" i="1"/>
  <c r="R396" i="1"/>
  <c r="P397" i="1"/>
  <c r="Q397" i="1"/>
  <c r="R397" i="1"/>
  <c r="P398" i="1"/>
  <c r="Q398" i="1"/>
  <c r="R398" i="1"/>
  <c r="P399" i="1"/>
  <c r="Q399" i="1"/>
  <c r="R399" i="1"/>
  <c r="P400" i="1"/>
  <c r="Q400" i="1"/>
  <c r="R400" i="1"/>
  <c r="P401" i="1"/>
  <c r="Q401" i="1"/>
  <c r="R401" i="1"/>
  <c r="P402" i="1"/>
  <c r="Q402" i="1"/>
  <c r="R402" i="1"/>
  <c r="P403" i="1"/>
  <c r="Q403" i="1"/>
  <c r="R403" i="1"/>
  <c r="P404" i="1"/>
  <c r="Q404" i="1"/>
  <c r="R404" i="1"/>
  <c r="P405" i="1"/>
  <c r="Q405" i="1"/>
  <c r="R405" i="1"/>
  <c r="P406" i="1"/>
  <c r="Q406" i="1"/>
  <c r="R406" i="1"/>
  <c r="P407" i="1"/>
  <c r="Q407" i="1"/>
  <c r="R407" i="1"/>
  <c r="P408" i="1"/>
  <c r="Q408" i="1"/>
  <c r="R408" i="1"/>
  <c r="P409" i="1"/>
  <c r="Q409" i="1"/>
  <c r="R409" i="1"/>
  <c r="P410" i="1"/>
  <c r="Q410" i="1"/>
  <c r="R410" i="1"/>
  <c r="P411" i="1"/>
  <c r="Q411" i="1"/>
  <c r="R411" i="1"/>
  <c r="P412" i="1"/>
  <c r="Q412" i="1"/>
  <c r="R412" i="1"/>
  <c r="P413" i="1"/>
  <c r="Q413" i="1"/>
  <c r="R413" i="1"/>
  <c r="P414" i="1"/>
  <c r="Q414" i="1"/>
  <c r="R414" i="1"/>
  <c r="P415" i="1"/>
  <c r="Q415" i="1"/>
  <c r="R415" i="1"/>
  <c r="P416" i="1"/>
  <c r="Q416" i="1"/>
  <c r="R416" i="1"/>
  <c r="P417" i="1"/>
  <c r="Q417" i="1"/>
  <c r="R417" i="1"/>
  <c r="P418" i="1"/>
  <c r="Q418" i="1"/>
  <c r="R418" i="1"/>
  <c r="P419" i="1"/>
  <c r="Q419" i="1"/>
  <c r="R419" i="1"/>
  <c r="P420" i="1"/>
  <c r="Q420" i="1"/>
  <c r="R420" i="1"/>
  <c r="P421" i="1"/>
  <c r="Q421" i="1"/>
  <c r="R421" i="1"/>
  <c r="P422" i="1"/>
  <c r="Q422" i="1"/>
  <c r="R422" i="1"/>
  <c r="P423" i="1"/>
  <c r="Q423" i="1"/>
  <c r="R423" i="1"/>
  <c r="P424" i="1"/>
  <c r="Q424" i="1"/>
  <c r="R424" i="1"/>
  <c r="P425" i="1"/>
  <c r="Q425" i="1"/>
  <c r="R425" i="1"/>
  <c r="P426" i="1"/>
  <c r="Q426" i="1"/>
  <c r="R426" i="1"/>
  <c r="P427" i="1"/>
  <c r="Q427" i="1"/>
  <c r="R427" i="1"/>
  <c r="P428" i="1"/>
  <c r="Q428" i="1"/>
  <c r="R428" i="1"/>
  <c r="P429" i="1"/>
  <c r="Q429" i="1"/>
  <c r="R429" i="1"/>
  <c r="P430" i="1"/>
  <c r="Q430" i="1"/>
  <c r="R430" i="1"/>
  <c r="P431" i="1"/>
  <c r="Q431" i="1"/>
  <c r="R431" i="1"/>
  <c r="P432" i="1"/>
  <c r="Q432" i="1"/>
  <c r="R432" i="1"/>
  <c r="P433" i="1"/>
  <c r="Q433" i="1"/>
  <c r="R433" i="1"/>
  <c r="P434" i="1"/>
  <c r="Q434" i="1"/>
  <c r="R434" i="1"/>
  <c r="P435" i="1"/>
  <c r="Q435" i="1"/>
  <c r="R435" i="1"/>
  <c r="P436" i="1"/>
  <c r="Q436" i="1"/>
  <c r="R436" i="1"/>
  <c r="P437" i="1"/>
  <c r="Q437" i="1"/>
  <c r="R437" i="1"/>
  <c r="P438" i="1"/>
  <c r="Q438" i="1"/>
  <c r="R438" i="1"/>
  <c r="P439" i="1"/>
  <c r="Q439" i="1"/>
  <c r="R439" i="1"/>
  <c r="P440" i="1"/>
  <c r="Q440" i="1"/>
  <c r="R440" i="1"/>
  <c r="P441" i="1"/>
  <c r="Q441" i="1"/>
  <c r="R441" i="1"/>
  <c r="P442" i="1"/>
  <c r="Q442" i="1"/>
  <c r="R442" i="1"/>
  <c r="P443" i="1"/>
  <c r="Q443" i="1"/>
  <c r="R443" i="1"/>
  <c r="P444" i="1"/>
  <c r="Q444" i="1"/>
  <c r="R444" i="1"/>
  <c r="P445" i="1"/>
  <c r="Q445" i="1"/>
  <c r="R445" i="1"/>
  <c r="P446" i="1"/>
  <c r="Q446" i="1"/>
  <c r="R446" i="1"/>
  <c r="P447" i="1"/>
  <c r="Q447" i="1"/>
  <c r="R447" i="1"/>
  <c r="P448" i="1"/>
  <c r="Q448" i="1"/>
  <c r="R448" i="1"/>
  <c r="P449" i="1"/>
  <c r="Q449" i="1"/>
  <c r="R449" i="1"/>
  <c r="P450" i="1"/>
  <c r="Q450" i="1"/>
  <c r="R450" i="1"/>
  <c r="P451" i="1"/>
  <c r="Q451" i="1"/>
  <c r="R451" i="1"/>
  <c r="P452" i="1"/>
  <c r="Q452" i="1"/>
  <c r="R452" i="1"/>
  <c r="P453" i="1"/>
  <c r="Q453" i="1"/>
  <c r="R453" i="1"/>
  <c r="P454" i="1"/>
  <c r="Q454" i="1"/>
  <c r="R454" i="1"/>
  <c r="P455" i="1"/>
  <c r="Q455" i="1"/>
  <c r="R455" i="1"/>
  <c r="P456" i="1"/>
  <c r="Q456" i="1"/>
  <c r="R456" i="1"/>
  <c r="P457" i="1"/>
  <c r="Q457" i="1"/>
  <c r="R457" i="1"/>
  <c r="P458" i="1"/>
  <c r="Q458" i="1"/>
  <c r="R458" i="1"/>
  <c r="P459" i="1"/>
  <c r="Q459" i="1"/>
  <c r="R459" i="1"/>
  <c r="P460" i="1"/>
  <c r="Q460" i="1"/>
  <c r="R460" i="1"/>
  <c r="P461" i="1"/>
  <c r="Q461" i="1"/>
  <c r="R461" i="1"/>
  <c r="P462" i="1"/>
  <c r="Q462" i="1"/>
  <c r="R462" i="1"/>
  <c r="P463" i="1"/>
  <c r="Q463" i="1"/>
  <c r="R463" i="1"/>
  <c r="P464" i="1"/>
  <c r="Q464" i="1"/>
  <c r="R464" i="1"/>
  <c r="P465" i="1"/>
  <c r="Q465" i="1"/>
  <c r="R465" i="1"/>
  <c r="P466" i="1"/>
  <c r="Q466" i="1"/>
  <c r="R466" i="1"/>
  <c r="P467" i="1"/>
  <c r="Q467" i="1"/>
  <c r="R467" i="1"/>
  <c r="P468" i="1"/>
  <c r="Q468" i="1"/>
  <c r="R468" i="1"/>
  <c r="P469" i="1"/>
  <c r="Q469" i="1"/>
  <c r="R469" i="1"/>
  <c r="P470" i="1"/>
  <c r="Q470" i="1"/>
  <c r="R470" i="1"/>
  <c r="P471" i="1"/>
  <c r="Q471" i="1"/>
  <c r="R471" i="1"/>
  <c r="P472" i="1"/>
  <c r="Q472" i="1"/>
  <c r="R472" i="1"/>
  <c r="P473" i="1"/>
  <c r="Q473" i="1"/>
  <c r="R473" i="1"/>
  <c r="P474" i="1"/>
  <c r="Q474" i="1"/>
  <c r="R474" i="1"/>
  <c r="P475" i="1"/>
  <c r="Q475" i="1"/>
  <c r="R475" i="1"/>
  <c r="P476" i="1"/>
  <c r="Q476" i="1"/>
  <c r="R476" i="1"/>
  <c r="P477" i="1"/>
  <c r="Q477" i="1"/>
  <c r="R477" i="1"/>
  <c r="P478" i="1"/>
  <c r="Q478" i="1"/>
  <c r="R478" i="1"/>
  <c r="P479" i="1"/>
  <c r="Q479" i="1"/>
  <c r="R479" i="1"/>
  <c r="P480" i="1"/>
  <c r="Q480" i="1"/>
  <c r="R480" i="1"/>
  <c r="P481" i="1"/>
  <c r="Q481" i="1"/>
  <c r="R481" i="1"/>
  <c r="P482" i="1"/>
  <c r="Q482" i="1"/>
  <c r="R482" i="1"/>
  <c r="P483" i="1"/>
  <c r="Q483" i="1"/>
  <c r="R483" i="1"/>
  <c r="P484" i="1"/>
  <c r="Q484" i="1"/>
  <c r="R484" i="1"/>
  <c r="P485" i="1"/>
  <c r="Q485" i="1"/>
  <c r="R485" i="1"/>
  <c r="P486" i="1"/>
  <c r="Q486" i="1"/>
  <c r="R486" i="1"/>
  <c r="P487" i="1"/>
  <c r="Q487" i="1"/>
  <c r="R487" i="1"/>
  <c r="P488" i="1"/>
  <c r="Q488" i="1"/>
  <c r="R488" i="1"/>
  <c r="P489" i="1"/>
  <c r="Q489" i="1"/>
  <c r="R489" i="1"/>
  <c r="P490" i="1"/>
  <c r="Q490" i="1"/>
  <c r="R490" i="1"/>
  <c r="P491" i="1"/>
  <c r="Q491" i="1"/>
  <c r="R491" i="1"/>
  <c r="P492" i="1"/>
  <c r="Q492" i="1"/>
  <c r="R492" i="1"/>
  <c r="P493" i="1"/>
  <c r="Q493" i="1"/>
  <c r="R493" i="1"/>
  <c r="P494" i="1"/>
  <c r="Q494" i="1"/>
  <c r="R494" i="1"/>
  <c r="P495" i="1"/>
  <c r="Q495" i="1"/>
  <c r="R495" i="1"/>
  <c r="P496" i="1"/>
  <c r="Q496" i="1"/>
  <c r="R496" i="1"/>
  <c r="P497" i="1"/>
  <c r="Q497" i="1"/>
  <c r="R497" i="1"/>
  <c r="P498" i="1"/>
  <c r="Q498" i="1"/>
  <c r="R498" i="1"/>
  <c r="P499" i="1"/>
  <c r="Q499" i="1"/>
  <c r="R499" i="1"/>
  <c r="P500" i="1"/>
  <c r="Q500" i="1"/>
  <c r="R500" i="1"/>
  <c r="P501" i="1"/>
  <c r="Q501" i="1"/>
  <c r="R501" i="1"/>
  <c r="P502" i="1"/>
  <c r="Q502" i="1"/>
  <c r="R502" i="1"/>
  <c r="P503" i="1"/>
  <c r="Q503" i="1"/>
  <c r="R503" i="1"/>
  <c r="P504" i="1"/>
  <c r="Q504" i="1"/>
  <c r="R504" i="1"/>
  <c r="P505" i="1"/>
  <c r="Q505" i="1"/>
  <c r="R505" i="1"/>
  <c r="P506" i="1"/>
  <c r="Q506" i="1"/>
  <c r="R506" i="1"/>
  <c r="P507" i="1"/>
  <c r="Q507" i="1"/>
  <c r="R507" i="1"/>
  <c r="P508" i="1"/>
  <c r="Q508" i="1"/>
  <c r="R508" i="1"/>
  <c r="P509" i="1"/>
  <c r="Q509" i="1"/>
  <c r="R509" i="1"/>
  <c r="P510" i="1"/>
  <c r="Q510" i="1"/>
  <c r="R510" i="1"/>
  <c r="P511" i="1"/>
  <c r="Q511" i="1"/>
  <c r="R511" i="1"/>
  <c r="P512" i="1"/>
  <c r="Q512" i="1"/>
  <c r="R512" i="1"/>
  <c r="P513" i="1"/>
  <c r="Q513" i="1"/>
  <c r="R513" i="1"/>
  <c r="P514" i="1"/>
  <c r="Q514" i="1"/>
  <c r="R514" i="1"/>
  <c r="P515" i="1"/>
  <c r="Q515" i="1"/>
  <c r="R515" i="1"/>
  <c r="P516" i="1"/>
  <c r="Q516" i="1"/>
  <c r="R516" i="1"/>
  <c r="P517" i="1"/>
  <c r="Q517" i="1"/>
  <c r="R517" i="1"/>
  <c r="P518" i="1"/>
  <c r="Q518" i="1"/>
  <c r="R518" i="1"/>
  <c r="P519" i="1"/>
  <c r="Q519" i="1"/>
  <c r="R519" i="1"/>
  <c r="P520" i="1"/>
  <c r="Q520" i="1"/>
  <c r="R520" i="1"/>
  <c r="P521" i="1"/>
  <c r="Q521" i="1"/>
  <c r="R521" i="1"/>
  <c r="P522" i="1"/>
  <c r="Q522" i="1"/>
  <c r="R522" i="1"/>
  <c r="P523" i="1"/>
  <c r="Q523" i="1"/>
  <c r="R523" i="1"/>
  <c r="P524" i="1"/>
  <c r="Q524" i="1"/>
  <c r="R524" i="1"/>
  <c r="P525" i="1"/>
  <c r="Q525" i="1"/>
  <c r="R525" i="1"/>
  <c r="P526" i="1"/>
  <c r="Q526" i="1"/>
  <c r="R526" i="1"/>
  <c r="P527" i="1"/>
  <c r="Q527" i="1"/>
  <c r="R527" i="1"/>
  <c r="P528" i="1"/>
  <c r="Q528" i="1"/>
  <c r="R528" i="1"/>
  <c r="P529" i="1"/>
  <c r="Q529" i="1"/>
  <c r="R529" i="1"/>
  <c r="P530" i="1"/>
  <c r="Q530" i="1"/>
  <c r="R530" i="1"/>
  <c r="P531" i="1"/>
  <c r="Q531" i="1"/>
  <c r="R531" i="1"/>
  <c r="P532" i="1"/>
  <c r="Q532" i="1"/>
  <c r="R532" i="1"/>
  <c r="P533" i="1"/>
  <c r="Q533" i="1"/>
  <c r="R533" i="1"/>
  <c r="P534" i="1"/>
  <c r="Q534" i="1"/>
  <c r="R534" i="1"/>
  <c r="P535" i="1"/>
  <c r="Q535" i="1"/>
  <c r="R535" i="1"/>
  <c r="P536" i="1"/>
  <c r="Q536" i="1"/>
  <c r="R536" i="1"/>
  <c r="P537" i="1"/>
  <c r="Q537" i="1"/>
  <c r="R537" i="1"/>
  <c r="P538" i="1"/>
  <c r="Q538" i="1"/>
  <c r="R538" i="1"/>
  <c r="P539" i="1"/>
  <c r="Q539" i="1"/>
  <c r="R539" i="1"/>
  <c r="P540" i="1"/>
  <c r="Q540" i="1"/>
  <c r="R540" i="1"/>
  <c r="P541" i="1"/>
  <c r="Q541" i="1"/>
  <c r="R541" i="1"/>
  <c r="P542" i="1"/>
  <c r="Q542" i="1"/>
  <c r="R542" i="1"/>
  <c r="P543" i="1"/>
  <c r="Q543" i="1"/>
  <c r="R543" i="1"/>
  <c r="P544" i="1"/>
  <c r="Q544" i="1"/>
  <c r="R544" i="1"/>
  <c r="P545" i="1"/>
  <c r="Q545" i="1"/>
  <c r="R545" i="1"/>
  <c r="P546" i="1"/>
  <c r="Q546" i="1"/>
  <c r="R546" i="1"/>
  <c r="P547" i="1"/>
  <c r="Q547" i="1"/>
  <c r="R547" i="1"/>
  <c r="P548" i="1"/>
  <c r="Q548" i="1"/>
  <c r="R548" i="1"/>
  <c r="P549" i="1"/>
  <c r="Q549" i="1"/>
  <c r="R549" i="1"/>
  <c r="P550" i="1"/>
  <c r="Q550" i="1"/>
  <c r="R550" i="1"/>
  <c r="P551" i="1"/>
  <c r="Q551" i="1"/>
  <c r="R551" i="1"/>
  <c r="P552" i="1"/>
  <c r="Q552" i="1"/>
  <c r="R552" i="1"/>
  <c r="P553" i="1"/>
  <c r="Q553" i="1"/>
  <c r="R553" i="1"/>
  <c r="P554" i="1"/>
  <c r="Q554" i="1"/>
  <c r="R554" i="1"/>
  <c r="P555" i="1"/>
  <c r="Q555" i="1"/>
  <c r="R555" i="1"/>
  <c r="P556" i="1"/>
  <c r="Q556" i="1"/>
  <c r="R556" i="1"/>
  <c r="P557" i="1"/>
  <c r="Q557" i="1"/>
  <c r="R557" i="1"/>
  <c r="P558" i="1"/>
  <c r="Q558" i="1"/>
  <c r="R558" i="1"/>
  <c r="P559" i="1"/>
  <c r="Q559" i="1"/>
  <c r="R559" i="1"/>
  <c r="P560" i="1"/>
  <c r="Q560" i="1"/>
  <c r="R560" i="1"/>
  <c r="P561" i="1"/>
  <c r="Q561" i="1"/>
  <c r="R561" i="1"/>
  <c r="P562" i="1"/>
  <c r="Q562" i="1"/>
  <c r="R562" i="1"/>
  <c r="P563" i="1"/>
  <c r="Q563" i="1"/>
  <c r="R563" i="1"/>
  <c r="P564" i="1"/>
  <c r="Q564" i="1"/>
  <c r="R564" i="1"/>
  <c r="P565" i="1"/>
  <c r="Q565" i="1"/>
  <c r="R565" i="1"/>
  <c r="P566" i="1"/>
  <c r="Q566" i="1"/>
  <c r="R566" i="1"/>
  <c r="P567" i="1"/>
  <c r="Q567" i="1"/>
  <c r="R567" i="1"/>
  <c r="P568" i="1"/>
  <c r="Q568" i="1"/>
  <c r="R568" i="1"/>
  <c r="P569" i="1"/>
  <c r="Q569" i="1"/>
  <c r="R569" i="1"/>
  <c r="P570" i="1"/>
  <c r="Q570" i="1"/>
  <c r="R570" i="1"/>
  <c r="P571" i="1"/>
  <c r="Q571" i="1"/>
  <c r="R571" i="1"/>
  <c r="P572" i="1"/>
  <c r="Q572" i="1"/>
  <c r="R572" i="1"/>
  <c r="P573" i="1"/>
  <c r="Q573" i="1"/>
  <c r="R573" i="1"/>
  <c r="P574" i="1"/>
  <c r="Q574" i="1"/>
  <c r="R574" i="1"/>
  <c r="P575" i="1"/>
  <c r="Q575" i="1"/>
  <c r="R575" i="1"/>
  <c r="P576" i="1"/>
  <c r="Q576" i="1"/>
  <c r="R576" i="1"/>
  <c r="P577" i="1"/>
  <c r="Q577" i="1"/>
  <c r="R577" i="1"/>
  <c r="P578" i="1"/>
  <c r="Q578" i="1"/>
  <c r="R578" i="1"/>
  <c r="P579" i="1"/>
  <c r="Q579" i="1"/>
  <c r="R579" i="1"/>
  <c r="P580" i="1"/>
  <c r="Q580" i="1"/>
  <c r="R580" i="1"/>
  <c r="P581" i="1"/>
  <c r="Q581" i="1"/>
  <c r="R581" i="1"/>
  <c r="P582" i="1"/>
  <c r="Q582" i="1"/>
  <c r="R582" i="1"/>
  <c r="P583" i="1"/>
  <c r="Q583" i="1"/>
  <c r="R583" i="1"/>
  <c r="P584" i="1"/>
  <c r="Q584" i="1"/>
  <c r="R584" i="1"/>
  <c r="P585" i="1"/>
  <c r="Q585" i="1"/>
  <c r="R585" i="1"/>
  <c r="P586" i="1"/>
  <c r="Q586" i="1"/>
  <c r="R586" i="1"/>
  <c r="P587" i="1"/>
  <c r="Q587" i="1"/>
  <c r="R587" i="1"/>
  <c r="P588" i="1"/>
  <c r="Q588" i="1"/>
  <c r="R588" i="1"/>
  <c r="P589" i="1"/>
  <c r="Q589" i="1"/>
  <c r="R589" i="1"/>
  <c r="P590" i="1"/>
  <c r="Q590" i="1"/>
  <c r="R590" i="1"/>
  <c r="P591" i="1"/>
  <c r="Q591" i="1"/>
  <c r="R591" i="1"/>
  <c r="P592" i="1"/>
  <c r="Q592" i="1"/>
  <c r="R592" i="1"/>
  <c r="P593" i="1"/>
  <c r="Q593" i="1"/>
  <c r="R593" i="1"/>
  <c r="P594" i="1"/>
  <c r="Q594" i="1"/>
  <c r="R594" i="1"/>
  <c r="P595" i="1"/>
  <c r="Q595" i="1"/>
  <c r="R595" i="1"/>
  <c r="P596" i="1"/>
  <c r="Q596" i="1"/>
  <c r="R596" i="1"/>
  <c r="P597" i="1"/>
  <c r="Q597" i="1"/>
  <c r="R597" i="1"/>
  <c r="P598" i="1"/>
  <c r="Q598" i="1"/>
  <c r="R598" i="1"/>
  <c r="P599" i="1"/>
  <c r="Q599" i="1"/>
  <c r="R599" i="1"/>
  <c r="P600" i="1"/>
  <c r="Q600" i="1"/>
  <c r="R600" i="1"/>
  <c r="P601" i="1"/>
  <c r="Q601" i="1"/>
  <c r="R601" i="1"/>
  <c r="P602" i="1"/>
  <c r="Q602" i="1"/>
  <c r="R602" i="1"/>
  <c r="P603" i="1"/>
  <c r="Q603" i="1"/>
  <c r="R603" i="1"/>
  <c r="P604" i="1"/>
  <c r="Q604" i="1"/>
  <c r="R604" i="1"/>
  <c r="P605" i="1"/>
  <c r="Q605" i="1"/>
  <c r="R605" i="1"/>
  <c r="P606" i="1"/>
  <c r="Q606" i="1"/>
  <c r="R606" i="1"/>
  <c r="P607" i="1"/>
  <c r="Q607" i="1"/>
  <c r="R607" i="1"/>
  <c r="P608" i="1"/>
  <c r="Q608" i="1"/>
  <c r="R608" i="1"/>
  <c r="P609" i="1"/>
  <c r="Q609" i="1"/>
  <c r="R609" i="1"/>
  <c r="P610" i="1"/>
  <c r="Q610" i="1"/>
  <c r="R610" i="1"/>
  <c r="P611" i="1"/>
  <c r="Q611" i="1"/>
  <c r="R611" i="1"/>
  <c r="P612" i="1"/>
  <c r="Q612" i="1"/>
  <c r="R612" i="1"/>
  <c r="P613" i="1"/>
  <c r="Q613" i="1"/>
  <c r="R613" i="1"/>
  <c r="P614" i="1"/>
  <c r="Q614" i="1"/>
  <c r="R614" i="1"/>
  <c r="P615" i="1"/>
  <c r="Q615" i="1"/>
  <c r="R615" i="1"/>
  <c r="J1" i="1"/>
  <c r="G47" i="71" l="1"/>
  <c r="G35" i="71"/>
  <c r="G41" i="71"/>
  <c r="F8" i="71"/>
  <c r="H50" i="71"/>
  <c r="I50" i="71" s="1"/>
  <c r="F52" i="71"/>
  <c r="G9" i="71"/>
  <c r="F50" i="71"/>
  <c r="H7" i="71"/>
  <c r="I7" i="71" s="1"/>
  <c r="H22" i="71"/>
  <c r="I22" i="71" s="1"/>
  <c r="H31" i="71"/>
  <c r="I31" i="71" s="1"/>
  <c r="H11" i="71"/>
  <c r="I11" i="71" s="1"/>
  <c r="H25" i="71"/>
  <c r="I25" i="71" s="1"/>
  <c r="H37" i="71"/>
  <c r="I37" i="71" s="1"/>
  <c r="G23" i="71"/>
  <c r="G24" i="71"/>
  <c r="G6" i="71"/>
  <c r="G15" i="71"/>
  <c r="G4" i="71"/>
  <c r="G29" i="71"/>
  <c r="G26" i="71"/>
  <c r="G45" i="71"/>
  <c r="G3" i="71"/>
  <c r="G17" i="71"/>
  <c r="G32" i="71"/>
  <c r="H34" i="71"/>
  <c r="I34" i="71" s="1"/>
  <c r="G50" i="71"/>
  <c r="H40" i="71"/>
  <c r="I40" i="71" s="1"/>
  <c r="H49" i="71"/>
  <c r="I49" i="71" s="1"/>
  <c r="H41" i="71"/>
  <c r="I41" i="71" s="1"/>
  <c r="H16" i="71"/>
  <c r="I16" i="71" s="1"/>
  <c r="H10" i="71"/>
  <c r="I10" i="71" s="1"/>
  <c r="H21" i="71"/>
  <c r="I21" i="71" s="1"/>
  <c r="H28" i="71"/>
  <c r="I28" i="71" s="1"/>
  <c r="H38" i="71"/>
  <c r="I38" i="71" s="1"/>
  <c r="F18" i="71"/>
  <c r="F48" i="71"/>
  <c r="F3" i="71"/>
  <c r="F44" i="71"/>
  <c r="G12" i="71"/>
  <c r="G42" i="71"/>
  <c r="G13" i="71"/>
  <c r="G43" i="71"/>
  <c r="F12" i="71"/>
  <c r="F42" i="71"/>
  <c r="G14" i="71"/>
  <c r="G36" i="71"/>
  <c r="G33" i="71"/>
  <c r="G51" i="71"/>
  <c r="G7" i="71"/>
  <c r="G22" i="71"/>
  <c r="G31" i="71"/>
  <c r="G11" i="71"/>
  <c r="G25" i="71"/>
  <c r="G48" i="71"/>
  <c r="F9" i="71"/>
  <c r="F13" i="71"/>
  <c r="F43" i="71"/>
  <c r="F14" i="71"/>
  <c r="F51" i="71"/>
  <c r="G37" i="71"/>
  <c r="G18" i="71"/>
  <c r="F17" i="71"/>
  <c r="G27" i="71"/>
  <c r="F39" i="71"/>
  <c r="F38" i="71"/>
  <c r="F6" i="71"/>
  <c r="F15" i="71"/>
  <c r="F4" i="71"/>
  <c r="F29" i="71"/>
  <c r="F26" i="71"/>
  <c r="F45" i="71"/>
  <c r="H14" i="71"/>
  <c r="I14" i="71" s="1"/>
  <c r="G16" i="71"/>
  <c r="H8" i="71"/>
  <c r="I8" i="71" s="1"/>
  <c r="G10" i="71"/>
  <c r="H36" i="71"/>
  <c r="I36" i="71" s="1"/>
  <c r="G21" i="71"/>
  <c r="H33" i="71"/>
  <c r="I33" i="71" s="1"/>
  <c r="G28" i="71"/>
  <c r="H51" i="71"/>
  <c r="I51" i="71" s="1"/>
  <c r="H19" i="71"/>
  <c r="I19" i="71" s="1"/>
  <c r="F41" i="71"/>
  <c r="H3" i="71"/>
  <c r="I3" i="71" s="1"/>
  <c r="F16" i="71"/>
  <c r="H44" i="71"/>
  <c r="I44" i="71" s="1"/>
  <c r="H30" i="71"/>
  <c r="I30" i="71" s="1"/>
  <c r="F21" i="71"/>
  <c r="H17" i="71"/>
  <c r="I17" i="71" s="1"/>
  <c r="F28" i="71"/>
  <c r="H39" i="71"/>
  <c r="I39" i="71" s="1"/>
  <c r="H52" i="71"/>
  <c r="I52" i="71" s="1"/>
  <c r="G19" i="71"/>
  <c r="H35" i="71"/>
  <c r="I35" i="71" s="1"/>
  <c r="H32" i="71"/>
  <c r="I32" i="71" s="1"/>
  <c r="G44" i="71"/>
  <c r="H23" i="71"/>
  <c r="I23" i="71" s="1"/>
  <c r="F36" i="71"/>
  <c r="G30" i="71"/>
  <c r="H24" i="71"/>
  <c r="I24" i="71" s="1"/>
  <c r="H27" i="71"/>
  <c r="I27" i="71" s="1"/>
  <c r="G39" i="71"/>
  <c r="H47" i="71"/>
  <c r="I47" i="71" s="1"/>
  <c r="C53" i="71"/>
  <c r="H5" i="71"/>
  <c r="I5" i="71" s="1"/>
  <c r="H20" i="71"/>
  <c r="I20" i="71" s="1"/>
  <c r="H46" i="71"/>
  <c r="I46" i="71" s="1"/>
  <c r="G2" i="71"/>
  <c r="F35" i="71"/>
  <c r="G5" i="71"/>
  <c r="F32" i="71"/>
  <c r="G40" i="71"/>
  <c r="F23" i="71"/>
  <c r="G34" i="71"/>
  <c r="F24" i="71"/>
  <c r="G20" i="71"/>
  <c r="F27" i="71"/>
  <c r="G49" i="71"/>
  <c r="F47" i="71"/>
  <c r="G46" i="71"/>
  <c r="G38" i="71"/>
  <c r="F30" i="71"/>
  <c r="F33" i="71"/>
  <c r="G52" i="71"/>
  <c r="F19" i="71"/>
  <c r="H2" i="71"/>
  <c r="I2" i="71" s="1"/>
  <c r="H6" i="71"/>
  <c r="I6" i="71" s="1"/>
  <c r="F5" i="71"/>
  <c r="H15" i="71"/>
  <c r="I15" i="71" s="1"/>
  <c r="F40" i="71"/>
  <c r="H4" i="71"/>
  <c r="I4" i="71" s="1"/>
  <c r="F34" i="71"/>
  <c r="H29" i="71"/>
  <c r="I29" i="71" s="1"/>
  <c r="F20" i="71"/>
  <c r="H26" i="71"/>
  <c r="I26" i="71" s="1"/>
  <c r="F49" i="71"/>
  <c r="H45" i="71"/>
  <c r="I45" i="71" s="1"/>
  <c r="F46" i="71"/>
  <c r="D53" i="71"/>
  <c r="F10" i="71"/>
  <c r="G8" i="71"/>
  <c r="H12" i="71"/>
  <c r="I12" i="71" s="1"/>
  <c r="F7" i="71"/>
  <c r="H9" i="71"/>
  <c r="I9" i="71" s="1"/>
  <c r="F22" i="71"/>
  <c r="H42" i="71"/>
  <c r="I42" i="71" s="1"/>
  <c r="F31" i="71"/>
  <c r="H18" i="71"/>
  <c r="I18" i="71" s="1"/>
  <c r="F11" i="71"/>
  <c r="H13" i="71"/>
  <c r="I13" i="71" s="1"/>
  <c r="F25" i="71"/>
  <c r="H43" i="71"/>
  <c r="I43" i="71" s="1"/>
  <c r="F37" i="71"/>
  <c r="H48" i="71"/>
  <c r="I48" i="71" s="1"/>
  <c r="E53" i="71"/>
  <c r="F2" i="71"/>
  <c r="H4" i="1"/>
  <c r="G4" i="1"/>
  <c r="G53" i="71" l="1"/>
  <c r="H3" i="1"/>
  <c r="G3" i="1"/>
  <c r="O4" i="1"/>
  <c r="O3" i="1"/>
  <c r="G17" i="5" l="1"/>
  <c r="H17" i="5"/>
  <c r="I17" i="5"/>
  <c r="J17" i="5"/>
  <c r="K17" i="5"/>
  <c r="L17" i="5"/>
  <c r="M17" i="5"/>
  <c r="N17" i="5"/>
  <c r="Q17" i="5"/>
  <c r="R17" i="5"/>
  <c r="S17" i="5"/>
  <c r="T17" i="5"/>
  <c r="U17" i="5"/>
  <c r="V17" i="5"/>
  <c r="W17" i="5"/>
  <c r="X17" i="5"/>
  <c r="Y17" i="5"/>
  <c r="G8" i="5"/>
  <c r="H8" i="5"/>
  <c r="I8" i="5"/>
  <c r="J8" i="5"/>
  <c r="K8" i="5"/>
  <c r="L8" i="5"/>
  <c r="M8" i="5"/>
  <c r="N8" i="5"/>
  <c r="Q8" i="5"/>
  <c r="R8" i="5"/>
  <c r="S8" i="5"/>
  <c r="T8" i="5"/>
  <c r="U8" i="5"/>
  <c r="V8" i="5"/>
  <c r="W8" i="5"/>
  <c r="X8" i="5"/>
  <c r="Y8" i="5"/>
  <c r="J5" i="5"/>
  <c r="O8" i="5" l="1"/>
  <c r="Z8" i="5"/>
  <c r="P3" i="1"/>
  <c r="R3" i="1"/>
  <c r="Q3" i="1"/>
  <c r="J10" i="12"/>
  <c r="D11" i="25" s="1"/>
  <c r="AA8" i="5" l="1"/>
  <c r="G14" i="54"/>
  <c r="Q4" i="1"/>
  <c r="BA20" i="54"/>
  <c r="AZ20" i="54"/>
  <c r="BA19" i="54"/>
  <c r="AZ19" i="54"/>
  <c r="BA18" i="54"/>
  <c r="AZ18" i="54"/>
  <c r="BA17" i="54"/>
  <c r="AZ17" i="54"/>
  <c r="BA16" i="54"/>
  <c r="AZ16" i="54"/>
  <c r="BA15" i="54"/>
  <c r="AZ15" i="54"/>
  <c r="BA14" i="54"/>
  <c r="AZ14" i="54"/>
  <c r="BA13" i="54"/>
  <c r="AZ13" i="54"/>
  <c r="BA12" i="54"/>
  <c r="AZ12" i="54"/>
  <c r="BA11" i="54"/>
  <c r="AZ11" i="54"/>
  <c r="BA10" i="54"/>
  <c r="AZ10" i="54"/>
  <c r="BA9" i="54"/>
  <c r="AZ9" i="54"/>
  <c r="BA8" i="54"/>
  <c r="AZ8" i="54"/>
  <c r="BA7" i="54"/>
  <c r="AZ7" i="54"/>
  <c r="BA6" i="54"/>
  <c r="AZ6" i="54"/>
  <c r="BA5" i="54"/>
  <c r="AZ5" i="54"/>
  <c r="AR22" i="54"/>
  <c r="AQ22" i="54"/>
  <c r="AR21" i="54"/>
  <c r="AQ21" i="54"/>
  <c r="AR20" i="54"/>
  <c r="AQ20" i="54"/>
  <c r="AR19" i="54"/>
  <c r="AQ19" i="54"/>
  <c r="AR18" i="54"/>
  <c r="AQ18" i="54"/>
  <c r="AR17" i="54"/>
  <c r="AQ17" i="54"/>
  <c r="AR16" i="54"/>
  <c r="AQ16" i="54"/>
  <c r="AR15" i="54"/>
  <c r="AQ15" i="54"/>
  <c r="AR14" i="54"/>
  <c r="AQ14" i="54"/>
  <c r="AR13" i="54"/>
  <c r="AQ13" i="54"/>
  <c r="AR12" i="54"/>
  <c r="AQ12" i="54"/>
  <c r="AR11" i="54"/>
  <c r="AQ11" i="54"/>
  <c r="AR10" i="54"/>
  <c r="AQ10" i="54"/>
  <c r="AR9" i="54"/>
  <c r="AQ9" i="54"/>
  <c r="AR8" i="54"/>
  <c r="AQ8" i="54"/>
  <c r="AR7" i="54"/>
  <c r="AQ7" i="54"/>
  <c r="AR6" i="54"/>
  <c r="AQ6" i="54"/>
  <c r="AR5" i="54"/>
  <c r="AQ5" i="54"/>
  <c r="AI20" i="54"/>
  <c r="AH20" i="54"/>
  <c r="AI19" i="54"/>
  <c r="AH19" i="54"/>
  <c r="AI18" i="54"/>
  <c r="AH18" i="54"/>
  <c r="AI17" i="54"/>
  <c r="AH17" i="54"/>
  <c r="AI16" i="54"/>
  <c r="AH16" i="54"/>
  <c r="AI15" i="54"/>
  <c r="AH15" i="54"/>
  <c r="AI14" i="54"/>
  <c r="AH14" i="54"/>
  <c r="AI13" i="54"/>
  <c r="AH13" i="54"/>
  <c r="AI12" i="54"/>
  <c r="AH12" i="54"/>
  <c r="AI11" i="54"/>
  <c r="AH11" i="54"/>
  <c r="AI10" i="54"/>
  <c r="AH10" i="54"/>
  <c r="AI9" i="54"/>
  <c r="AH9" i="54"/>
  <c r="AI8" i="54"/>
  <c r="AH8" i="54"/>
  <c r="AI7" i="54"/>
  <c r="AH7" i="54"/>
  <c r="AI6" i="54"/>
  <c r="AH6" i="54"/>
  <c r="AI5" i="54"/>
  <c r="AH5" i="54"/>
  <c r="Z20" i="54"/>
  <c r="Y20" i="54"/>
  <c r="Z19" i="54"/>
  <c r="Y19" i="54"/>
  <c r="Z18" i="54"/>
  <c r="Y18" i="54"/>
  <c r="Z17" i="54"/>
  <c r="Y17" i="54"/>
  <c r="Z16" i="54"/>
  <c r="Y16" i="54"/>
  <c r="Z15" i="54"/>
  <c r="Y15" i="54"/>
  <c r="Z14" i="54"/>
  <c r="Y14" i="54"/>
  <c r="Z13" i="54"/>
  <c r="Y13" i="54"/>
  <c r="Z12" i="54"/>
  <c r="Y12" i="54"/>
  <c r="Z11" i="54"/>
  <c r="Y11" i="54"/>
  <c r="Z10" i="54"/>
  <c r="Y10" i="54"/>
  <c r="Z9" i="54"/>
  <c r="Y9" i="54"/>
  <c r="Z8" i="54"/>
  <c r="Y8" i="54"/>
  <c r="Z7" i="54"/>
  <c r="Y7" i="54"/>
  <c r="Z6" i="54"/>
  <c r="Y6" i="54"/>
  <c r="Z5" i="54"/>
  <c r="Y5" i="54"/>
  <c r="Q21" i="54"/>
  <c r="P21" i="54"/>
  <c r="Q20" i="54"/>
  <c r="P20" i="54"/>
  <c r="Q19" i="54"/>
  <c r="P19" i="54"/>
  <c r="Q18" i="54"/>
  <c r="P18" i="54"/>
  <c r="Q17" i="54"/>
  <c r="P17" i="54"/>
  <c r="Q16" i="54"/>
  <c r="P16" i="54"/>
  <c r="Q15" i="54"/>
  <c r="P15" i="54"/>
  <c r="Q14" i="54"/>
  <c r="P14" i="54"/>
  <c r="Q13" i="54"/>
  <c r="P13" i="54"/>
  <c r="Q12" i="54"/>
  <c r="P12" i="54"/>
  <c r="Q11" i="54"/>
  <c r="P11" i="54"/>
  <c r="Q10" i="54"/>
  <c r="P10" i="54"/>
  <c r="Q9" i="54"/>
  <c r="P9" i="54"/>
  <c r="Q8" i="54"/>
  <c r="P8" i="54"/>
  <c r="Q7" i="54"/>
  <c r="P7" i="54"/>
  <c r="Q6" i="54"/>
  <c r="P6" i="54"/>
  <c r="Q5" i="54"/>
  <c r="P5" i="54"/>
  <c r="K3" i="1"/>
  <c r="E3" i="1"/>
  <c r="C3" i="1"/>
  <c r="A3" i="1"/>
  <c r="D881" i="69"/>
  <c r="D867" i="69"/>
  <c r="K4" i="1"/>
  <c r="E4" i="1"/>
  <c r="A4" i="1"/>
  <c r="F53" i="16"/>
  <c r="H5" i="54"/>
  <c r="G5" i="54"/>
  <c r="H6" i="54"/>
  <c r="F5" i="16"/>
  <c r="F52" i="16"/>
  <c r="F54" i="16"/>
  <c r="G53" i="16"/>
  <c r="G54" i="16"/>
  <c r="H53" i="16"/>
  <c r="H54" i="16"/>
  <c r="H46" i="6"/>
  <c r="I46" i="6"/>
  <c r="J46" i="6"/>
  <c r="K46" i="6"/>
  <c r="L46" i="6"/>
  <c r="M46" i="6"/>
  <c r="N46" i="6"/>
  <c r="O46" i="6"/>
  <c r="R46" i="6"/>
  <c r="S46" i="6"/>
  <c r="T46" i="6"/>
  <c r="U46" i="6"/>
  <c r="V46" i="6"/>
  <c r="W46" i="6"/>
  <c r="X46" i="6"/>
  <c r="Y46" i="6"/>
  <c r="Z46" i="6"/>
  <c r="AA46" i="6"/>
  <c r="H9" i="6"/>
  <c r="I9" i="6"/>
  <c r="J9" i="6"/>
  <c r="K9" i="6"/>
  <c r="L9" i="6"/>
  <c r="M9" i="6"/>
  <c r="N9" i="6"/>
  <c r="O9" i="6"/>
  <c r="R9" i="6"/>
  <c r="S9" i="6"/>
  <c r="T9" i="6"/>
  <c r="U9" i="6"/>
  <c r="V9" i="6"/>
  <c r="W9" i="6"/>
  <c r="X9" i="6"/>
  <c r="Y9" i="6"/>
  <c r="Z9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27" i="6"/>
  <c r="H16" i="6"/>
  <c r="I16" i="6"/>
  <c r="J16" i="6"/>
  <c r="K16" i="6"/>
  <c r="L16" i="6"/>
  <c r="M16" i="6"/>
  <c r="N16" i="6"/>
  <c r="O16" i="6"/>
  <c r="R16" i="6"/>
  <c r="S16" i="6"/>
  <c r="T16" i="6"/>
  <c r="U16" i="6"/>
  <c r="V16" i="6"/>
  <c r="W16" i="6"/>
  <c r="X16" i="6"/>
  <c r="Y16" i="6"/>
  <c r="Z16" i="6"/>
  <c r="H45" i="6"/>
  <c r="I45" i="6"/>
  <c r="J45" i="6"/>
  <c r="K45" i="6"/>
  <c r="L45" i="6"/>
  <c r="M45" i="6"/>
  <c r="N45" i="6"/>
  <c r="O45" i="6"/>
  <c r="R45" i="6"/>
  <c r="S45" i="6"/>
  <c r="T45" i="6"/>
  <c r="U45" i="6"/>
  <c r="V45" i="6"/>
  <c r="W45" i="6"/>
  <c r="X45" i="6"/>
  <c r="Y45" i="6"/>
  <c r="Z45" i="6"/>
  <c r="C16" i="6"/>
  <c r="B16" i="6"/>
  <c r="H23" i="6"/>
  <c r="I23" i="6"/>
  <c r="J23" i="6"/>
  <c r="K23" i="6"/>
  <c r="L23" i="6"/>
  <c r="M23" i="6"/>
  <c r="N23" i="6"/>
  <c r="O23" i="6"/>
  <c r="R23" i="6"/>
  <c r="S23" i="6"/>
  <c r="T23" i="6"/>
  <c r="U23" i="6"/>
  <c r="V23" i="6"/>
  <c r="W23" i="6"/>
  <c r="X23" i="6"/>
  <c r="Y23" i="6"/>
  <c r="Z23" i="6"/>
  <c r="H24" i="6"/>
  <c r="I24" i="6"/>
  <c r="J24" i="6"/>
  <c r="K24" i="6"/>
  <c r="L24" i="6"/>
  <c r="M24" i="6"/>
  <c r="N24" i="6"/>
  <c r="O24" i="6"/>
  <c r="R24" i="6"/>
  <c r="S24" i="6"/>
  <c r="T24" i="6"/>
  <c r="U24" i="6"/>
  <c r="V24" i="6"/>
  <c r="W24" i="6"/>
  <c r="X24" i="6"/>
  <c r="Y24" i="6"/>
  <c r="Z24" i="6"/>
  <c r="Z15" i="6"/>
  <c r="Y15" i="6"/>
  <c r="X15" i="6"/>
  <c r="W15" i="6"/>
  <c r="V15" i="6"/>
  <c r="U15" i="6"/>
  <c r="T15" i="6"/>
  <c r="S15" i="6"/>
  <c r="R15" i="6"/>
  <c r="O15" i="6"/>
  <c r="N15" i="6"/>
  <c r="M15" i="6"/>
  <c r="L15" i="6"/>
  <c r="K15" i="6"/>
  <c r="J15" i="6"/>
  <c r="I15" i="6"/>
  <c r="H15" i="6"/>
  <c r="Z10" i="6"/>
  <c r="Y10" i="6"/>
  <c r="X10" i="6"/>
  <c r="W10" i="6"/>
  <c r="V10" i="6"/>
  <c r="U10" i="6"/>
  <c r="T10" i="6"/>
  <c r="S10" i="6"/>
  <c r="R10" i="6"/>
  <c r="O10" i="6"/>
  <c r="N10" i="6"/>
  <c r="M10" i="6"/>
  <c r="L10" i="6"/>
  <c r="K10" i="6"/>
  <c r="J10" i="6"/>
  <c r="I10" i="6"/>
  <c r="H10" i="6"/>
  <c r="Z18" i="6"/>
  <c r="Y18" i="6"/>
  <c r="X18" i="6"/>
  <c r="W18" i="6"/>
  <c r="V18" i="6"/>
  <c r="U18" i="6"/>
  <c r="T18" i="6"/>
  <c r="S18" i="6"/>
  <c r="R18" i="6"/>
  <c r="O18" i="6"/>
  <c r="N18" i="6"/>
  <c r="M18" i="6"/>
  <c r="L18" i="6"/>
  <c r="K18" i="6"/>
  <c r="J18" i="6"/>
  <c r="I18" i="6"/>
  <c r="H18" i="6"/>
  <c r="C18" i="6"/>
  <c r="AD18" i="6" s="1"/>
  <c r="B18" i="6"/>
  <c r="AC18" i="6" s="1"/>
  <c r="Z12" i="6"/>
  <c r="Y12" i="6"/>
  <c r="X12" i="6"/>
  <c r="W12" i="6"/>
  <c r="V12" i="6"/>
  <c r="U12" i="6"/>
  <c r="T12" i="6"/>
  <c r="S12" i="6"/>
  <c r="R12" i="6"/>
  <c r="O12" i="6"/>
  <c r="N12" i="6"/>
  <c r="M12" i="6"/>
  <c r="L12" i="6"/>
  <c r="K12" i="6"/>
  <c r="J12" i="6"/>
  <c r="I12" i="6"/>
  <c r="H12" i="6"/>
  <c r="Z14" i="6"/>
  <c r="Y14" i="6"/>
  <c r="X14" i="6"/>
  <c r="W14" i="6"/>
  <c r="V14" i="6"/>
  <c r="U14" i="6"/>
  <c r="T14" i="6"/>
  <c r="S14" i="6"/>
  <c r="R14" i="6"/>
  <c r="O14" i="6"/>
  <c r="N14" i="6"/>
  <c r="M14" i="6"/>
  <c r="L14" i="6"/>
  <c r="K14" i="6"/>
  <c r="J14" i="6"/>
  <c r="I14" i="6"/>
  <c r="H14" i="6"/>
  <c r="H19" i="6"/>
  <c r="I19" i="6"/>
  <c r="J19" i="6"/>
  <c r="K19" i="6"/>
  <c r="L19" i="6"/>
  <c r="M19" i="6"/>
  <c r="N19" i="6"/>
  <c r="O19" i="6"/>
  <c r="R19" i="6"/>
  <c r="S19" i="6"/>
  <c r="T19" i="6"/>
  <c r="U19" i="6"/>
  <c r="V19" i="6"/>
  <c r="W19" i="6"/>
  <c r="X19" i="6"/>
  <c r="Y19" i="6"/>
  <c r="Z19" i="6"/>
  <c r="H20" i="6"/>
  <c r="I20" i="6"/>
  <c r="J20" i="6"/>
  <c r="K20" i="6"/>
  <c r="L20" i="6"/>
  <c r="M20" i="6"/>
  <c r="N20" i="6"/>
  <c r="O20" i="6"/>
  <c r="R20" i="6"/>
  <c r="S20" i="6"/>
  <c r="T20" i="6"/>
  <c r="U20" i="6"/>
  <c r="V20" i="6"/>
  <c r="W20" i="6"/>
  <c r="X20" i="6"/>
  <c r="Y20" i="6"/>
  <c r="Z20" i="6"/>
  <c r="P9" i="6" l="1"/>
  <c r="AA9" i="6"/>
  <c r="AA16" i="6"/>
  <c r="P16" i="6"/>
  <c r="AA23" i="6"/>
  <c r="P24" i="6"/>
  <c r="AA24" i="6"/>
  <c r="P23" i="6"/>
  <c r="P15" i="6"/>
  <c r="AA15" i="6"/>
  <c r="P10" i="6"/>
  <c r="AA10" i="6"/>
  <c r="AA18" i="6"/>
  <c r="P18" i="6"/>
  <c r="P12" i="6"/>
  <c r="AA12" i="6"/>
  <c r="P14" i="6"/>
  <c r="AA14" i="6"/>
  <c r="AA20" i="6"/>
  <c r="P19" i="6"/>
  <c r="AA19" i="6"/>
  <c r="P20" i="6"/>
  <c r="AB9" i="6" l="1"/>
  <c r="AB16" i="6"/>
  <c r="AB24" i="6"/>
  <c r="AB23" i="6"/>
  <c r="AB15" i="6"/>
  <c r="AB18" i="6"/>
  <c r="AB10" i="6"/>
  <c r="AB12" i="6"/>
  <c r="AB14" i="6"/>
  <c r="AB19" i="6"/>
  <c r="H44" i="6" l="1"/>
  <c r="I44" i="6"/>
  <c r="J44" i="6"/>
  <c r="K44" i="6"/>
  <c r="L44" i="6"/>
  <c r="M44" i="6"/>
  <c r="N44" i="6"/>
  <c r="O44" i="6"/>
  <c r="R44" i="6"/>
  <c r="S44" i="6"/>
  <c r="T44" i="6"/>
  <c r="U44" i="6"/>
  <c r="V44" i="6"/>
  <c r="W44" i="6"/>
  <c r="X44" i="6"/>
  <c r="Y44" i="6"/>
  <c r="Z44" i="6"/>
  <c r="G29" i="7"/>
  <c r="H29" i="7"/>
  <c r="I29" i="7"/>
  <c r="J29" i="7"/>
  <c r="K29" i="7"/>
  <c r="L29" i="7"/>
  <c r="M29" i="7"/>
  <c r="N29" i="7"/>
  <c r="Q29" i="7"/>
  <c r="R29" i="7"/>
  <c r="S29" i="7"/>
  <c r="T29" i="7"/>
  <c r="U29" i="7"/>
  <c r="V29" i="7"/>
  <c r="W29" i="7"/>
  <c r="X29" i="7"/>
  <c r="Y29" i="7"/>
  <c r="G15" i="7"/>
  <c r="H15" i="7"/>
  <c r="I15" i="7"/>
  <c r="J15" i="7"/>
  <c r="K15" i="7"/>
  <c r="L15" i="7"/>
  <c r="M15" i="7"/>
  <c r="N15" i="7"/>
  <c r="Q15" i="7"/>
  <c r="R15" i="7"/>
  <c r="S15" i="7"/>
  <c r="T15" i="7"/>
  <c r="U15" i="7"/>
  <c r="V15" i="7"/>
  <c r="W15" i="7"/>
  <c r="X15" i="7"/>
  <c r="Y15" i="7"/>
  <c r="O15" i="7" l="1"/>
  <c r="H13" i="6"/>
  <c r="I13" i="6"/>
  <c r="J13" i="6"/>
  <c r="K13" i="6"/>
  <c r="L13" i="6"/>
  <c r="M13" i="6"/>
  <c r="N13" i="6"/>
  <c r="O13" i="6"/>
  <c r="R13" i="6"/>
  <c r="S13" i="6"/>
  <c r="T13" i="6"/>
  <c r="U13" i="6"/>
  <c r="V13" i="6"/>
  <c r="W13" i="6"/>
  <c r="X13" i="6"/>
  <c r="Y13" i="6"/>
  <c r="Z13" i="6"/>
  <c r="H43" i="6"/>
  <c r="I43" i="6"/>
  <c r="J43" i="6"/>
  <c r="K43" i="6"/>
  <c r="L43" i="6"/>
  <c r="M43" i="6"/>
  <c r="N43" i="6"/>
  <c r="O43" i="6"/>
  <c r="R43" i="6"/>
  <c r="S43" i="6"/>
  <c r="T43" i="6"/>
  <c r="U43" i="6"/>
  <c r="V43" i="6"/>
  <c r="W43" i="6"/>
  <c r="X43" i="6"/>
  <c r="Y43" i="6"/>
  <c r="Z43" i="6"/>
  <c r="H42" i="6"/>
  <c r="I42" i="6"/>
  <c r="J42" i="6"/>
  <c r="K42" i="6"/>
  <c r="L42" i="6"/>
  <c r="M42" i="6"/>
  <c r="N42" i="6"/>
  <c r="O42" i="6"/>
  <c r="R42" i="6"/>
  <c r="S42" i="6"/>
  <c r="T42" i="6"/>
  <c r="U42" i="6"/>
  <c r="V42" i="6"/>
  <c r="W42" i="6"/>
  <c r="X42" i="6"/>
  <c r="Y42" i="6"/>
  <c r="Z42" i="6"/>
  <c r="H41" i="6"/>
  <c r="I41" i="6"/>
  <c r="J41" i="6"/>
  <c r="K41" i="6"/>
  <c r="L41" i="6"/>
  <c r="M41" i="6"/>
  <c r="N41" i="6"/>
  <c r="O41" i="6"/>
  <c r="R41" i="6"/>
  <c r="S41" i="6"/>
  <c r="T41" i="6"/>
  <c r="U41" i="6"/>
  <c r="V41" i="6"/>
  <c r="W41" i="6"/>
  <c r="X41" i="6"/>
  <c r="Y41" i="6"/>
  <c r="Z41" i="6"/>
  <c r="H22" i="6"/>
  <c r="I22" i="6"/>
  <c r="J22" i="6"/>
  <c r="K22" i="6"/>
  <c r="L22" i="6"/>
  <c r="M22" i="6"/>
  <c r="N22" i="6"/>
  <c r="O22" i="6"/>
  <c r="R22" i="6"/>
  <c r="S22" i="6"/>
  <c r="T22" i="6"/>
  <c r="U22" i="6"/>
  <c r="V22" i="6"/>
  <c r="W22" i="6"/>
  <c r="X22" i="6"/>
  <c r="Y22" i="6"/>
  <c r="Z22" i="6"/>
  <c r="Q18" i="5"/>
  <c r="R18" i="5"/>
  <c r="S18" i="5"/>
  <c r="T18" i="5"/>
  <c r="U18" i="5"/>
  <c r="V18" i="5"/>
  <c r="W18" i="5"/>
  <c r="X18" i="5"/>
  <c r="Y18" i="5"/>
  <c r="G18" i="5"/>
  <c r="H18" i="5"/>
  <c r="I18" i="5"/>
  <c r="J18" i="5"/>
  <c r="K18" i="5"/>
  <c r="L18" i="5"/>
  <c r="M18" i="5"/>
  <c r="N18" i="5"/>
  <c r="Q9" i="5"/>
  <c r="R9" i="5"/>
  <c r="S9" i="5"/>
  <c r="T9" i="5"/>
  <c r="U9" i="5"/>
  <c r="V9" i="5"/>
  <c r="W9" i="5"/>
  <c r="X9" i="5"/>
  <c r="Y9" i="5"/>
  <c r="G9" i="5"/>
  <c r="H9" i="5"/>
  <c r="I9" i="5"/>
  <c r="J9" i="5"/>
  <c r="K9" i="5"/>
  <c r="L9" i="5"/>
  <c r="M9" i="5"/>
  <c r="N9" i="5"/>
  <c r="AA13" i="6" l="1"/>
  <c r="P22" i="6"/>
  <c r="P13" i="6"/>
  <c r="O9" i="5"/>
  <c r="Z9" i="5"/>
  <c r="AA22" i="6"/>
  <c r="AA9" i="5" l="1"/>
  <c r="AB22" i="6"/>
  <c r="AB13" i="6"/>
  <c r="J4" i="70" l="1"/>
  <c r="J5" i="70"/>
  <c r="K4" i="70"/>
  <c r="E11" i="25" l="1"/>
  <c r="G5" i="12"/>
  <c r="C18" i="12"/>
  <c r="F47" i="16"/>
  <c r="F48" i="16"/>
  <c r="Z39" i="6" l="1"/>
  <c r="Y39" i="6"/>
  <c r="X39" i="6"/>
  <c r="W39" i="6"/>
  <c r="V39" i="6"/>
  <c r="U39" i="6"/>
  <c r="T39" i="6"/>
  <c r="S39" i="6"/>
  <c r="R39" i="6"/>
  <c r="O39" i="6"/>
  <c r="N39" i="6"/>
  <c r="M39" i="6"/>
  <c r="L39" i="6"/>
  <c r="K39" i="6"/>
  <c r="J39" i="6"/>
  <c r="I39" i="6"/>
  <c r="H39" i="6"/>
  <c r="Z38" i="6"/>
  <c r="Y38" i="6"/>
  <c r="X38" i="6"/>
  <c r="W38" i="6"/>
  <c r="V38" i="6"/>
  <c r="U38" i="6"/>
  <c r="T38" i="6"/>
  <c r="S38" i="6"/>
  <c r="R38" i="6"/>
  <c r="O38" i="6"/>
  <c r="N38" i="6"/>
  <c r="M38" i="6"/>
  <c r="L38" i="6"/>
  <c r="K38" i="6"/>
  <c r="J38" i="6"/>
  <c r="I38" i="6"/>
  <c r="H38" i="6"/>
  <c r="Z37" i="6"/>
  <c r="Y37" i="6"/>
  <c r="X37" i="6"/>
  <c r="W37" i="6"/>
  <c r="V37" i="6"/>
  <c r="U37" i="6"/>
  <c r="T37" i="6"/>
  <c r="S37" i="6"/>
  <c r="R37" i="6"/>
  <c r="O37" i="6"/>
  <c r="N37" i="6"/>
  <c r="M37" i="6"/>
  <c r="L37" i="6"/>
  <c r="K37" i="6"/>
  <c r="J37" i="6"/>
  <c r="I37" i="6"/>
  <c r="H37" i="6"/>
  <c r="Z36" i="6"/>
  <c r="Y36" i="6"/>
  <c r="X36" i="6"/>
  <c r="W36" i="6"/>
  <c r="V36" i="6"/>
  <c r="U36" i="6"/>
  <c r="T36" i="6"/>
  <c r="S36" i="6"/>
  <c r="R36" i="6"/>
  <c r="O36" i="6"/>
  <c r="N36" i="6"/>
  <c r="M36" i="6"/>
  <c r="L36" i="6"/>
  <c r="K36" i="6"/>
  <c r="J36" i="6"/>
  <c r="I36" i="6"/>
  <c r="H36" i="6"/>
  <c r="Z21" i="6"/>
  <c r="Y21" i="6"/>
  <c r="X21" i="6"/>
  <c r="W21" i="6"/>
  <c r="V21" i="6"/>
  <c r="U21" i="6"/>
  <c r="T21" i="6"/>
  <c r="S21" i="6"/>
  <c r="R21" i="6"/>
  <c r="O21" i="6"/>
  <c r="N21" i="6"/>
  <c r="M21" i="6"/>
  <c r="L21" i="6"/>
  <c r="K21" i="6"/>
  <c r="J21" i="6"/>
  <c r="I21" i="6"/>
  <c r="H21" i="6"/>
  <c r="P21" i="6" l="1"/>
  <c r="AA21" i="6"/>
  <c r="AB21" i="6" l="1"/>
  <c r="G6" i="12" l="1"/>
  <c r="G7" i="12"/>
  <c r="G8" i="12"/>
  <c r="G9" i="12"/>
  <c r="G10" i="12"/>
  <c r="G11" i="12"/>
  <c r="C16" i="12"/>
  <c r="D16" i="12"/>
  <c r="E16" i="12"/>
  <c r="F16" i="12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G6" i="54"/>
  <c r="G7" i="54"/>
  <c r="H7" i="54"/>
  <c r="G8" i="54"/>
  <c r="H8" i="54"/>
  <c r="G9" i="54"/>
  <c r="H9" i="54"/>
  <c r="G10" i="54"/>
  <c r="H10" i="54"/>
  <c r="G11" i="54"/>
  <c r="H11" i="54"/>
  <c r="G12" i="54"/>
  <c r="H12" i="54"/>
  <c r="G13" i="54"/>
  <c r="H13" i="54"/>
  <c r="H14" i="54"/>
  <c r="G15" i="54"/>
  <c r="H15" i="54"/>
  <c r="G16" i="54"/>
  <c r="H16" i="54"/>
  <c r="C4" i="1"/>
  <c r="G16" i="12" l="1"/>
  <c r="H16" i="12"/>
  <c r="N13" i="70" l="1"/>
  <c r="N12" i="70"/>
  <c r="N11" i="70"/>
  <c r="N10" i="70"/>
  <c r="N7" i="70"/>
  <c r="N6" i="70"/>
  <c r="N5" i="70"/>
  <c r="N4" i="70"/>
  <c r="N28" i="7"/>
  <c r="N27" i="7"/>
  <c r="N26" i="7"/>
  <c r="N25" i="7"/>
  <c r="N24" i="7"/>
  <c r="N23" i="7"/>
  <c r="N22" i="7"/>
  <c r="N21" i="7"/>
  <c r="N20" i="7"/>
  <c r="N19" i="7"/>
  <c r="N18" i="7"/>
  <c r="N14" i="7"/>
  <c r="N13" i="7"/>
  <c r="N12" i="7"/>
  <c r="N11" i="7"/>
  <c r="N10" i="7"/>
  <c r="N9" i="7"/>
  <c r="N8" i="7"/>
  <c r="N7" i="7"/>
  <c r="N6" i="7"/>
  <c r="N5" i="7"/>
  <c r="N22" i="8"/>
  <c r="N21" i="8"/>
  <c r="N20" i="8"/>
  <c r="N19" i="8"/>
  <c r="N18" i="8"/>
  <c r="N17" i="8"/>
  <c r="N16" i="8"/>
  <c r="N15" i="8"/>
  <c r="N10" i="8"/>
  <c r="N9" i="8"/>
  <c r="N8" i="8"/>
  <c r="N7" i="8"/>
  <c r="N6" i="8"/>
  <c r="N5" i="8"/>
  <c r="N4" i="8"/>
  <c r="N3" i="8"/>
  <c r="N16" i="5"/>
  <c r="N15" i="5"/>
  <c r="N14" i="5"/>
  <c r="N7" i="5"/>
  <c r="N6" i="5"/>
  <c r="N5" i="5"/>
  <c r="O40" i="6" l="1"/>
  <c r="O35" i="6"/>
  <c r="O34" i="6"/>
  <c r="O33" i="6"/>
  <c r="O32" i="6"/>
  <c r="O31" i="6"/>
  <c r="O30" i="6"/>
  <c r="O29" i="6"/>
  <c r="O28" i="6"/>
  <c r="O27" i="6"/>
  <c r="O17" i="6"/>
  <c r="O8" i="6"/>
  <c r="O11" i="6"/>
  <c r="O7" i="6"/>
  <c r="O6" i="6"/>
  <c r="O5" i="6"/>
  <c r="Y13" i="7" l="1"/>
  <c r="Y12" i="7" s="1"/>
  <c r="X13" i="7"/>
  <c r="X12" i="7" s="1"/>
  <c r="W13" i="7"/>
  <c r="W12" i="7" s="1"/>
  <c r="V13" i="7"/>
  <c r="V12" i="7" s="1"/>
  <c r="U13" i="7"/>
  <c r="U12" i="7" s="1"/>
  <c r="T13" i="7"/>
  <c r="T12" i="7" s="1"/>
  <c r="S13" i="7"/>
  <c r="S12" i="7" s="1"/>
  <c r="R13" i="7"/>
  <c r="R12" i="7" s="1"/>
  <c r="Q13" i="7"/>
  <c r="Q12" i="7" s="1"/>
  <c r="M13" i="7"/>
  <c r="M12" i="7" s="1"/>
  <c r="L13" i="7"/>
  <c r="L12" i="7" s="1"/>
  <c r="K13" i="7"/>
  <c r="K12" i="7" s="1"/>
  <c r="J13" i="7"/>
  <c r="I13" i="7"/>
  <c r="I12" i="7" s="1"/>
  <c r="H13" i="7"/>
  <c r="H12" i="7" s="1"/>
  <c r="G13" i="7"/>
  <c r="Y27" i="7"/>
  <c r="Y26" i="7" s="1"/>
  <c r="X27" i="7"/>
  <c r="X26" i="7" s="1"/>
  <c r="W27" i="7"/>
  <c r="W26" i="7" s="1"/>
  <c r="V27" i="7"/>
  <c r="V26" i="7" s="1"/>
  <c r="U27" i="7"/>
  <c r="U26" i="7" s="1"/>
  <c r="T27" i="7"/>
  <c r="T26" i="7" s="1"/>
  <c r="S27" i="7"/>
  <c r="S26" i="7" s="1"/>
  <c r="R27" i="7"/>
  <c r="R26" i="7" s="1"/>
  <c r="Q27" i="7"/>
  <c r="Q26" i="7" s="1"/>
  <c r="M27" i="7"/>
  <c r="M26" i="7" s="1"/>
  <c r="L27" i="7"/>
  <c r="L26" i="7" s="1"/>
  <c r="K27" i="7"/>
  <c r="K26" i="7" s="1"/>
  <c r="J27" i="7"/>
  <c r="J26" i="7" s="1"/>
  <c r="I27" i="7"/>
  <c r="I26" i="7" s="1"/>
  <c r="H27" i="7"/>
  <c r="H26" i="7" s="1"/>
  <c r="G27" i="7"/>
  <c r="G26" i="7" s="1"/>
  <c r="G12" i="7" l="1"/>
  <c r="O13" i="7"/>
  <c r="Z13" i="7"/>
  <c r="Z12" i="7" s="1"/>
  <c r="J12" i="7"/>
  <c r="O12" i="7" l="1"/>
  <c r="AA12" i="7" s="1"/>
  <c r="AA13" i="7"/>
  <c r="C5" i="6" l="1"/>
  <c r="B5" i="7"/>
  <c r="B18" i="7"/>
  <c r="AB18" i="7"/>
  <c r="T2" i="1"/>
  <c r="U2" i="1" l="1"/>
  <c r="V2" i="1" s="1"/>
  <c r="W2" i="1" l="1"/>
  <c r="X2" i="1"/>
  <c r="AC18" i="7"/>
  <c r="Y18" i="7"/>
  <c r="X18" i="7"/>
  <c r="W18" i="7"/>
  <c r="V18" i="7"/>
  <c r="U18" i="7"/>
  <c r="T18" i="7"/>
  <c r="S18" i="7"/>
  <c r="R18" i="7"/>
  <c r="Q18" i="7"/>
  <c r="M18" i="7"/>
  <c r="L18" i="7"/>
  <c r="K18" i="7"/>
  <c r="J18" i="7"/>
  <c r="I18" i="7"/>
  <c r="H18" i="7"/>
  <c r="G18" i="7"/>
  <c r="AC5" i="7" l="1"/>
  <c r="AB5" i="7"/>
  <c r="Y5" i="7"/>
  <c r="X5" i="7"/>
  <c r="W5" i="7"/>
  <c r="V5" i="7"/>
  <c r="U5" i="7"/>
  <c r="T5" i="7"/>
  <c r="S5" i="7"/>
  <c r="R5" i="7"/>
  <c r="Q5" i="7"/>
  <c r="M5" i="7"/>
  <c r="L5" i="7"/>
  <c r="K5" i="7"/>
  <c r="J5" i="7"/>
  <c r="I5" i="7"/>
  <c r="H5" i="7"/>
  <c r="G5" i="7"/>
  <c r="A5" i="70"/>
  <c r="AB5" i="70" s="1"/>
  <c r="A6" i="70"/>
  <c r="AB6" i="70" s="1"/>
  <c r="A7" i="70"/>
  <c r="AB7" i="70" s="1"/>
  <c r="A8" i="70"/>
  <c r="A9" i="70"/>
  <c r="A10" i="70"/>
  <c r="AB10" i="70" s="1"/>
  <c r="A11" i="70"/>
  <c r="AB11" i="70" s="1"/>
  <c r="A12" i="70"/>
  <c r="AB12" i="70" s="1"/>
  <c r="A13" i="70"/>
  <c r="AB13" i="70" s="1"/>
  <c r="A4" i="70"/>
  <c r="AB4" i="70" s="1"/>
  <c r="B5" i="70"/>
  <c r="AC5" i="70" s="1"/>
  <c r="B6" i="70"/>
  <c r="AC6" i="70" s="1"/>
  <c r="B7" i="70"/>
  <c r="AC7" i="70" s="1"/>
  <c r="B8" i="70"/>
  <c r="B9" i="70"/>
  <c r="B10" i="70"/>
  <c r="AC10" i="70" s="1"/>
  <c r="B11" i="70"/>
  <c r="AC11" i="70" s="1"/>
  <c r="B12" i="70"/>
  <c r="AC12" i="70" s="1"/>
  <c r="B13" i="70"/>
  <c r="AC13" i="70" s="1"/>
  <c r="B4" i="70"/>
  <c r="AC4" i="70" s="1"/>
  <c r="A20" i="7"/>
  <c r="AB20" i="7" s="1"/>
  <c r="B20" i="7"/>
  <c r="AC20" i="7" s="1"/>
  <c r="A21" i="7"/>
  <c r="AB21" i="7" s="1"/>
  <c r="B21" i="7"/>
  <c r="AC21" i="7" s="1"/>
  <c r="A22" i="7"/>
  <c r="AB22" i="7" s="1"/>
  <c r="B22" i="7"/>
  <c r="AC22" i="7" s="1"/>
  <c r="A23" i="7"/>
  <c r="AB23" i="7" s="1"/>
  <c r="B23" i="7"/>
  <c r="AC23" i="7" s="1"/>
  <c r="A24" i="7"/>
  <c r="AB24" i="7" s="1"/>
  <c r="B24" i="7"/>
  <c r="AC24" i="7" s="1"/>
  <c r="A25" i="7"/>
  <c r="AB25" i="7" s="1"/>
  <c r="B25" i="7"/>
  <c r="AC25" i="7" s="1"/>
  <c r="A26" i="7"/>
  <c r="AB26" i="7" s="1"/>
  <c r="B26" i="7"/>
  <c r="AC26" i="7" s="1"/>
  <c r="A28" i="7"/>
  <c r="AB28" i="7" s="1"/>
  <c r="B28" i="7"/>
  <c r="AC28" i="7" s="1"/>
  <c r="B19" i="7"/>
  <c r="AC19" i="7" s="1"/>
  <c r="A19" i="7"/>
  <c r="AB19" i="7" s="1"/>
  <c r="A7" i="7"/>
  <c r="AB7" i="7" s="1"/>
  <c r="B7" i="7"/>
  <c r="AC7" i="7" s="1"/>
  <c r="A8" i="7"/>
  <c r="AB8" i="7" s="1"/>
  <c r="B8" i="7"/>
  <c r="AC8" i="7" s="1"/>
  <c r="A9" i="7"/>
  <c r="AB9" i="7" s="1"/>
  <c r="B9" i="7"/>
  <c r="AC9" i="7" s="1"/>
  <c r="A10" i="7"/>
  <c r="AB10" i="7" s="1"/>
  <c r="B10" i="7"/>
  <c r="AC10" i="7" s="1"/>
  <c r="A11" i="7"/>
  <c r="AB11" i="7" s="1"/>
  <c r="B11" i="7"/>
  <c r="AC11" i="7" s="1"/>
  <c r="A12" i="7"/>
  <c r="AB12" i="7" s="1"/>
  <c r="B12" i="7"/>
  <c r="AC12" i="7" s="1"/>
  <c r="A14" i="7"/>
  <c r="AB14" i="7" s="1"/>
  <c r="B14" i="7"/>
  <c r="AC14" i="7" s="1"/>
  <c r="B6" i="7"/>
  <c r="AC6" i="7" s="1"/>
  <c r="A6" i="7"/>
  <c r="AB6" i="7" s="1"/>
  <c r="B22" i="8"/>
  <c r="AC22" i="8" s="1"/>
  <c r="B21" i="8"/>
  <c r="AC21" i="8" s="1"/>
  <c r="B20" i="8"/>
  <c r="AC20" i="8" s="1"/>
  <c r="B19" i="8"/>
  <c r="AC19" i="8" s="1"/>
  <c r="B18" i="8"/>
  <c r="AC18" i="8" s="1"/>
  <c r="B17" i="8"/>
  <c r="AC17" i="8" s="1"/>
  <c r="B16" i="8"/>
  <c r="AC16" i="8" s="1"/>
  <c r="B15" i="8"/>
  <c r="AC15" i="8" s="1"/>
  <c r="B14" i="8"/>
  <c r="B13" i="8"/>
  <c r="B12" i="8"/>
  <c r="B11" i="8"/>
  <c r="B10" i="8"/>
  <c r="AC10" i="8" s="1"/>
  <c r="B9" i="8"/>
  <c r="AC9" i="8" s="1"/>
  <c r="B8" i="8"/>
  <c r="AC8" i="8" s="1"/>
  <c r="B7" i="8"/>
  <c r="AC7" i="8" s="1"/>
  <c r="B6" i="8"/>
  <c r="AC6" i="8" s="1"/>
  <c r="B5" i="8"/>
  <c r="AC5" i="8" s="1"/>
  <c r="B4" i="8"/>
  <c r="AC4" i="8" s="1"/>
  <c r="B3" i="8"/>
  <c r="AC3" i="8" s="1"/>
  <c r="A22" i="8"/>
  <c r="AB22" i="8" s="1"/>
  <c r="A21" i="8"/>
  <c r="AB21" i="8" s="1"/>
  <c r="A20" i="8"/>
  <c r="AB20" i="8" s="1"/>
  <c r="A19" i="8"/>
  <c r="AB19" i="8" s="1"/>
  <c r="A18" i="8"/>
  <c r="AB18" i="8" s="1"/>
  <c r="A17" i="8"/>
  <c r="AB17" i="8" s="1"/>
  <c r="A16" i="8"/>
  <c r="AB16" i="8" s="1"/>
  <c r="A15" i="8"/>
  <c r="AB15" i="8" s="1"/>
  <c r="A14" i="8"/>
  <c r="A13" i="8"/>
  <c r="A12" i="8"/>
  <c r="A11" i="8"/>
  <c r="A10" i="8"/>
  <c r="AB10" i="8" s="1"/>
  <c r="A9" i="8"/>
  <c r="AB9" i="8" s="1"/>
  <c r="A8" i="8"/>
  <c r="AB8" i="8" s="1"/>
  <c r="A7" i="8"/>
  <c r="AB7" i="8" s="1"/>
  <c r="A6" i="8"/>
  <c r="AB6" i="8" s="1"/>
  <c r="A5" i="8"/>
  <c r="AB5" i="8" s="1"/>
  <c r="A4" i="8"/>
  <c r="AB4" i="8" s="1"/>
  <c r="A3" i="8"/>
  <c r="AB3" i="8" s="1"/>
  <c r="AD5" i="6"/>
  <c r="C6" i="6"/>
  <c r="AD6" i="6" s="1"/>
  <c r="C7" i="6"/>
  <c r="AD7" i="6" s="1"/>
  <c r="C11" i="6"/>
  <c r="AD11" i="6" s="1"/>
  <c r="C20" i="6"/>
  <c r="AD20" i="6" s="1"/>
  <c r="C8" i="6"/>
  <c r="AD8" i="6" s="1"/>
  <c r="C17" i="6"/>
  <c r="AD17" i="6" s="1"/>
  <c r="C26" i="6"/>
  <c r="C27" i="6"/>
  <c r="AD27" i="6" s="1"/>
  <c r="C28" i="6"/>
  <c r="AD28" i="6" s="1"/>
  <c r="C29" i="6"/>
  <c r="AD29" i="6" s="1"/>
  <c r="C30" i="6"/>
  <c r="AD30" i="6" s="1"/>
  <c r="C31" i="6"/>
  <c r="AD31" i="6" s="1"/>
  <c r="C32" i="6"/>
  <c r="AD32" i="6" s="1"/>
  <c r="C33" i="6"/>
  <c r="AD33" i="6" s="1"/>
  <c r="C34" i="6"/>
  <c r="AD34" i="6" s="1"/>
  <c r="C35" i="6"/>
  <c r="AD35" i="6" s="1"/>
  <c r="C40" i="6"/>
  <c r="AD40" i="6" s="1"/>
  <c r="B6" i="6"/>
  <c r="AC6" i="6" s="1"/>
  <c r="B7" i="6"/>
  <c r="AC7" i="6" s="1"/>
  <c r="B11" i="6"/>
  <c r="AC11" i="6" s="1"/>
  <c r="B20" i="6"/>
  <c r="AC20" i="6" s="1"/>
  <c r="B8" i="6"/>
  <c r="AC8" i="6" s="1"/>
  <c r="B17" i="6"/>
  <c r="AC17" i="6" s="1"/>
  <c r="B26" i="6"/>
  <c r="B27" i="6"/>
  <c r="AC27" i="6" s="1"/>
  <c r="B28" i="6"/>
  <c r="AC28" i="6" s="1"/>
  <c r="B29" i="6"/>
  <c r="AC29" i="6" s="1"/>
  <c r="B30" i="6"/>
  <c r="AC30" i="6" s="1"/>
  <c r="B31" i="6"/>
  <c r="AC31" i="6" s="1"/>
  <c r="B32" i="6"/>
  <c r="AC32" i="6" s="1"/>
  <c r="B33" i="6"/>
  <c r="AC33" i="6" s="1"/>
  <c r="B34" i="6"/>
  <c r="AC34" i="6" s="1"/>
  <c r="B35" i="6"/>
  <c r="AC35" i="6" s="1"/>
  <c r="B40" i="6"/>
  <c r="AC40" i="6" s="1"/>
  <c r="B5" i="6"/>
  <c r="AC5" i="6" s="1"/>
  <c r="B16" i="5"/>
  <c r="AC16" i="5" s="1"/>
  <c r="B15" i="5"/>
  <c r="AC15" i="5" s="1"/>
  <c r="B14" i="5"/>
  <c r="AC14" i="5" s="1"/>
  <c r="B13" i="5"/>
  <c r="B12" i="5"/>
  <c r="B7" i="5"/>
  <c r="AC7" i="5" s="1"/>
  <c r="B6" i="5"/>
  <c r="AC6" i="5" s="1"/>
  <c r="B5" i="5"/>
  <c r="AC5" i="5" s="1"/>
  <c r="A16" i="5"/>
  <c r="AB16" i="5" s="1"/>
  <c r="A15" i="5"/>
  <c r="AB15" i="5" s="1"/>
  <c r="A14" i="5"/>
  <c r="AB14" i="5" s="1"/>
  <c r="A13" i="5"/>
  <c r="A12" i="5"/>
  <c r="A11" i="5"/>
  <c r="A7" i="5"/>
  <c r="AB7" i="5" s="1"/>
  <c r="A6" i="5"/>
  <c r="AB6" i="5" s="1"/>
  <c r="A5" i="5"/>
  <c r="AB5" i="5" s="1"/>
  <c r="O5" i="7" l="1"/>
  <c r="Z5" i="7"/>
  <c r="K22" i="8"/>
  <c r="K21" i="8"/>
  <c r="K20" i="8"/>
  <c r="K19" i="8"/>
  <c r="K18" i="8"/>
  <c r="K17" i="8"/>
  <c r="K16" i="8"/>
  <c r="K15" i="8"/>
  <c r="K10" i="8"/>
  <c r="K9" i="8"/>
  <c r="K8" i="8"/>
  <c r="K7" i="8"/>
  <c r="K6" i="8"/>
  <c r="K5" i="8"/>
  <c r="K4" i="8"/>
  <c r="K3" i="8"/>
  <c r="K13" i="70"/>
  <c r="K12" i="70"/>
  <c r="K11" i="70"/>
  <c r="K10" i="70"/>
  <c r="K7" i="70"/>
  <c r="K6" i="70"/>
  <c r="K5" i="70"/>
  <c r="AA5" i="7" l="1"/>
  <c r="Y14" i="7"/>
  <c r="A11" i="25" l="1"/>
  <c r="C1" i="25"/>
  <c r="B11" i="25" l="1"/>
  <c r="A9" i="25"/>
  <c r="B13" i="25" s="1"/>
  <c r="X16" i="5"/>
  <c r="X15" i="5"/>
  <c r="X14" i="5"/>
  <c r="Y40" i="6"/>
  <c r="Y35" i="6"/>
  <c r="Y34" i="6"/>
  <c r="Y33" i="6"/>
  <c r="Y32" i="6"/>
  <c r="Y31" i="6"/>
  <c r="Y30" i="6"/>
  <c r="Y29" i="6"/>
  <c r="Y28" i="6"/>
  <c r="Y27" i="6"/>
  <c r="Y17" i="6"/>
  <c r="Y8" i="6"/>
  <c r="Y11" i="6"/>
  <c r="Y7" i="6"/>
  <c r="Y6" i="6"/>
  <c r="Y5" i="6"/>
  <c r="X13" i="70"/>
  <c r="X12" i="70"/>
  <c r="X11" i="70"/>
  <c r="X10" i="70"/>
  <c r="X7" i="70"/>
  <c r="X6" i="70"/>
  <c r="X5" i="70"/>
  <c r="X4" i="70"/>
  <c r="X22" i="8"/>
  <c r="X21" i="8"/>
  <c r="X20" i="8"/>
  <c r="X19" i="8"/>
  <c r="X18" i="8"/>
  <c r="X17" i="8"/>
  <c r="X16" i="8"/>
  <c r="X15" i="8"/>
  <c r="X10" i="8"/>
  <c r="X9" i="8"/>
  <c r="X8" i="8"/>
  <c r="X7" i="8"/>
  <c r="X6" i="8"/>
  <c r="X5" i="8"/>
  <c r="X4" i="8"/>
  <c r="X3" i="8"/>
  <c r="X28" i="7"/>
  <c r="X25" i="7"/>
  <c r="X24" i="7"/>
  <c r="X23" i="7"/>
  <c r="X22" i="7"/>
  <c r="X21" i="7"/>
  <c r="X20" i="7"/>
  <c r="X19" i="7"/>
  <c r="Z17" i="6"/>
  <c r="Z8" i="6"/>
  <c r="Z11" i="6"/>
  <c r="Z7" i="6"/>
  <c r="Z6" i="6"/>
  <c r="Z5" i="6"/>
  <c r="X17" i="6"/>
  <c r="X8" i="6"/>
  <c r="X11" i="6"/>
  <c r="X7" i="6"/>
  <c r="X6" i="6"/>
  <c r="X5" i="6"/>
  <c r="W6" i="6"/>
  <c r="W7" i="6"/>
  <c r="W11" i="6"/>
  <c r="W8" i="6"/>
  <c r="W17" i="6"/>
  <c r="W5" i="6"/>
  <c r="V6" i="6"/>
  <c r="V7" i="6"/>
  <c r="V11" i="6"/>
  <c r="V8" i="6"/>
  <c r="V17" i="6"/>
  <c r="V5" i="6"/>
  <c r="U6" i="6"/>
  <c r="U7" i="6"/>
  <c r="U11" i="6"/>
  <c r="U8" i="6"/>
  <c r="U17" i="6"/>
  <c r="U5" i="6"/>
  <c r="T6" i="6"/>
  <c r="T7" i="6"/>
  <c r="T11" i="6"/>
  <c r="T8" i="6"/>
  <c r="T17" i="6"/>
  <c r="T5" i="6"/>
  <c r="S6" i="6"/>
  <c r="S7" i="6"/>
  <c r="S11" i="6"/>
  <c r="S8" i="6"/>
  <c r="S17" i="6"/>
  <c r="S5" i="6"/>
  <c r="R6" i="6"/>
  <c r="R7" i="6"/>
  <c r="R11" i="6"/>
  <c r="R8" i="6"/>
  <c r="R17" i="6"/>
  <c r="R5" i="6"/>
  <c r="N17" i="6"/>
  <c r="N8" i="6"/>
  <c r="N11" i="6"/>
  <c r="N7" i="6"/>
  <c r="N6" i="6"/>
  <c r="N5" i="6"/>
  <c r="M17" i="6"/>
  <c r="M8" i="6"/>
  <c r="M11" i="6"/>
  <c r="M7" i="6"/>
  <c r="M6" i="6"/>
  <c r="M5" i="6"/>
  <c r="L17" i="6"/>
  <c r="L8" i="6"/>
  <c r="L11" i="6"/>
  <c r="L7" i="6"/>
  <c r="L6" i="6"/>
  <c r="L5" i="6"/>
  <c r="K17" i="6"/>
  <c r="K8" i="6"/>
  <c r="K11" i="6"/>
  <c r="K7" i="6"/>
  <c r="K6" i="6"/>
  <c r="K5" i="6"/>
  <c r="J17" i="6"/>
  <c r="J8" i="6"/>
  <c r="J11" i="6"/>
  <c r="J7" i="6"/>
  <c r="J6" i="6"/>
  <c r="J5" i="6"/>
  <c r="I17" i="6"/>
  <c r="I8" i="6"/>
  <c r="I11" i="6"/>
  <c r="I7" i="6"/>
  <c r="I6" i="6"/>
  <c r="I5" i="6"/>
  <c r="H17" i="6"/>
  <c r="H8" i="6"/>
  <c r="H11" i="6"/>
  <c r="H7" i="6"/>
  <c r="H6" i="6"/>
  <c r="H5" i="6"/>
  <c r="X6" i="5"/>
  <c r="X7" i="5"/>
  <c r="X5" i="5"/>
  <c r="H52" i="16"/>
  <c r="G52" i="16"/>
  <c r="H51" i="16"/>
  <c r="G51" i="16"/>
  <c r="F51" i="16"/>
  <c r="H50" i="16"/>
  <c r="G50" i="16"/>
  <c r="F50" i="16"/>
  <c r="H49" i="16"/>
  <c r="G49" i="16"/>
  <c r="F49" i="16"/>
  <c r="H48" i="16"/>
  <c r="G48" i="16"/>
  <c r="P6" i="6" l="1"/>
  <c r="P11" i="6"/>
  <c r="P17" i="6"/>
  <c r="P8" i="6"/>
  <c r="P5" i="6"/>
  <c r="P7" i="6"/>
  <c r="AA6" i="6"/>
  <c r="AA8" i="6"/>
  <c r="AA7" i="6"/>
  <c r="AA11" i="6"/>
  <c r="AA17" i="6"/>
  <c r="AA5" i="6"/>
  <c r="Y28" i="7"/>
  <c r="W28" i="7"/>
  <c r="V28" i="7"/>
  <c r="U28" i="7"/>
  <c r="T28" i="7"/>
  <c r="S28" i="7"/>
  <c r="R28" i="7"/>
  <c r="Q28" i="7"/>
  <c r="M28" i="7"/>
  <c r="L28" i="7"/>
  <c r="K28" i="7"/>
  <c r="J28" i="7"/>
  <c r="I28" i="7"/>
  <c r="H28" i="7"/>
  <c r="G28" i="7"/>
  <c r="Y13" i="70"/>
  <c r="W13" i="70"/>
  <c r="V13" i="70"/>
  <c r="U13" i="70"/>
  <c r="T13" i="70"/>
  <c r="S13" i="70"/>
  <c r="R13" i="70"/>
  <c r="Q13" i="70"/>
  <c r="Y12" i="70"/>
  <c r="W12" i="70"/>
  <c r="V12" i="70"/>
  <c r="U12" i="70"/>
  <c r="T12" i="70"/>
  <c r="S12" i="70"/>
  <c r="R12" i="70"/>
  <c r="Q12" i="70"/>
  <c r="Y11" i="70"/>
  <c r="W11" i="70"/>
  <c r="V11" i="70"/>
  <c r="U11" i="70"/>
  <c r="T11" i="70"/>
  <c r="S11" i="70"/>
  <c r="R11" i="70"/>
  <c r="Q11" i="70"/>
  <c r="Y10" i="70"/>
  <c r="W10" i="70"/>
  <c r="V10" i="70"/>
  <c r="U10" i="70"/>
  <c r="T10" i="70"/>
  <c r="S10" i="70"/>
  <c r="R10" i="70"/>
  <c r="Q10" i="70"/>
  <c r="M13" i="70"/>
  <c r="L13" i="70"/>
  <c r="J13" i="70"/>
  <c r="I13" i="70"/>
  <c r="H13" i="70"/>
  <c r="G13" i="70"/>
  <c r="M12" i="70"/>
  <c r="L12" i="70"/>
  <c r="J12" i="70"/>
  <c r="I12" i="70"/>
  <c r="H12" i="70"/>
  <c r="G12" i="70"/>
  <c r="M11" i="70"/>
  <c r="L11" i="70"/>
  <c r="J11" i="70"/>
  <c r="I11" i="70"/>
  <c r="H11" i="70"/>
  <c r="G11" i="70"/>
  <c r="M10" i="70"/>
  <c r="L10" i="70"/>
  <c r="J10" i="70"/>
  <c r="I10" i="70"/>
  <c r="H10" i="70"/>
  <c r="G10" i="70"/>
  <c r="Y7" i="70"/>
  <c r="W7" i="70"/>
  <c r="V7" i="70"/>
  <c r="U7" i="70"/>
  <c r="T7" i="70"/>
  <c r="S7" i="70"/>
  <c r="R7" i="70"/>
  <c r="Q7" i="70"/>
  <c r="Y6" i="70"/>
  <c r="W6" i="70"/>
  <c r="V6" i="70"/>
  <c r="U6" i="70"/>
  <c r="T6" i="70"/>
  <c r="S6" i="70"/>
  <c r="R6" i="70"/>
  <c r="Q6" i="70"/>
  <c r="Y5" i="70"/>
  <c r="W5" i="70"/>
  <c r="V5" i="70"/>
  <c r="U5" i="70"/>
  <c r="T5" i="70"/>
  <c r="S5" i="70"/>
  <c r="R5" i="70"/>
  <c r="Q5" i="70"/>
  <c r="Y4" i="70"/>
  <c r="W4" i="70"/>
  <c r="V4" i="70"/>
  <c r="U4" i="70"/>
  <c r="T4" i="70"/>
  <c r="S4" i="70"/>
  <c r="R4" i="70"/>
  <c r="Q4" i="70"/>
  <c r="M7" i="70"/>
  <c r="M6" i="70"/>
  <c r="M5" i="70"/>
  <c r="M4" i="70"/>
  <c r="L7" i="70"/>
  <c r="J7" i="70"/>
  <c r="I7" i="70"/>
  <c r="H7" i="70"/>
  <c r="G7" i="70"/>
  <c r="L6" i="70"/>
  <c r="J6" i="70"/>
  <c r="I6" i="70"/>
  <c r="H6" i="70"/>
  <c r="G6" i="70"/>
  <c r="L5" i="70"/>
  <c r="I5" i="70"/>
  <c r="H5" i="70"/>
  <c r="G5" i="70"/>
  <c r="L4" i="70"/>
  <c r="I4" i="70"/>
  <c r="H4" i="70"/>
  <c r="G4" i="70"/>
  <c r="Y22" i="8"/>
  <c r="W22" i="8"/>
  <c r="V22" i="8"/>
  <c r="U22" i="8"/>
  <c r="T22" i="8"/>
  <c r="S22" i="8"/>
  <c r="R22" i="8"/>
  <c r="Q22" i="8"/>
  <c r="Y21" i="8"/>
  <c r="W21" i="8"/>
  <c r="V21" i="8"/>
  <c r="U21" i="8"/>
  <c r="T21" i="8"/>
  <c r="S21" i="8"/>
  <c r="R21" i="8"/>
  <c r="Q21" i="8"/>
  <c r="Y20" i="8"/>
  <c r="W20" i="8"/>
  <c r="V20" i="8"/>
  <c r="U20" i="8"/>
  <c r="T20" i="8"/>
  <c r="S20" i="8"/>
  <c r="R20" i="8"/>
  <c r="Q20" i="8"/>
  <c r="Y19" i="8"/>
  <c r="W19" i="8"/>
  <c r="V19" i="8"/>
  <c r="U19" i="8"/>
  <c r="T19" i="8"/>
  <c r="S19" i="8"/>
  <c r="R19" i="8"/>
  <c r="Q19" i="8"/>
  <c r="Y18" i="8"/>
  <c r="W18" i="8"/>
  <c r="V18" i="8"/>
  <c r="U18" i="8"/>
  <c r="T18" i="8"/>
  <c r="S18" i="8"/>
  <c r="R18" i="8"/>
  <c r="Q18" i="8"/>
  <c r="Y17" i="8"/>
  <c r="W17" i="8"/>
  <c r="V17" i="8"/>
  <c r="U17" i="8"/>
  <c r="T17" i="8"/>
  <c r="S17" i="8"/>
  <c r="R17" i="8"/>
  <c r="Q17" i="8"/>
  <c r="Y16" i="8"/>
  <c r="W16" i="8"/>
  <c r="V16" i="8"/>
  <c r="U16" i="8"/>
  <c r="T16" i="8"/>
  <c r="S16" i="8"/>
  <c r="R16" i="8"/>
  <c r="Q16" i="8"/>
  <c r="Y15" i="8"/>
  <c r="W15" i="8"/>
  <c r="V15" i="8"/>
  <c r="U15" i="8"/>
  <c r="T15" i="8"/>
  <c r="S15" i="8"/>
  <c r="R15" i="8"/>
  <c r="Q15" i="8"/>
  <c r="M22" i="8"/>
  <c r="L22" i="8"/>
  <c r="J22" i="8"/>
  <c r="I22" i="8"/>
  <c r="H22" i="8"/>
  <c r="G22" i="8"/>
  <c r="M21" i="8"/>
  <c r="L21" i="8"/>
  <c r="J21" i="8"/>
  <c r="I21" i="8"/>
  <c r="H21" i="8"/>
  <c r="G21" i="8"/>
  <c r="M20" i="8"/>
  <c r="L20" i="8"/>
  <c r="J20" i="8"/>
  <c r="I20" i="8"/>
  <c r="H20" i="8"/>
  <c r="G20" i="8"/>
  <c r="M19" i="8"/>
  <c r="L19" i="8"/>
  <c r="J19" i="8"/>
  <c r="I19" i="8"/>
  <c r="H19" i="8"/>
  <c r="G19" i="8"/>
  <c r="M18" i="8"/>
  <c r="L18" i="8"/>
  <c r="J18" i="8"/>
  <c r="I18" i="8"/>
  <c r="H18" i="8"/>
  <c r="G18" i="8"/>
  <c r="M17" i="8"/>
  <c r="L17" i="8"/>
  <c r="J17" i="8"/>
  <c r="I17" i="8"/>
  <c r="H17" i="8"/>
  <c r="G17" i="8"/>
  <c r="M16" i="8"/>
  <c r="L16" i="8"/>
  <c r="J16" i="8"/>
  <c r="I16" i="8"/>
  <c r="H16" i="8"/>
  <c r="G16" i="8"/>
  <c r="M15" i="8"/>
  <c r="L15" i="8"/>
  <c r="J15" i="8"/>
  <c r="I15" i="8"/>
  <c r="H15" i="8"/>
  <c r="G15" i="8"/>
  <c r="M10" i="8"/>
  <c r="L10" i="8"/>
  <c r="J10" i="8"/>
  <c r="I10" i="8"/>
  <c r="H10" i="8"/>
  <c r="G10" i="8"/>
  <c r="M9" i="8"/>
  <c r="L9" i="8"/>
  <c r="J9" i="8"/>
  <c r="I9" i="8"/>
  <c r="H9" i="8"/>
  <c r="G9" i="8"/>
  <c r="M8" i="8"/>
  <c r="L8" i="8"/>
  <c r="J8" i="8"/>
  <c r="I8" i="8"/>
  <c r="H8" i="8"/>
  <c r="G8" i="8"/>
  <c r="M7" i="8"/>
  <c r="L7" i="8"/>
  <c r="J7" i="8"/>
  <c r="I7" i="8"/>
  <c r="H7" i="8"/>
  <c r="G7" i="8"/>
  <c r="M6" i="8"/>
  <c r="L6" i="8"/>
  <c r="J6" i="8"/>
  <c r="I6" i="8"/>
  <c r="H6" i="8"/>
  <c r="G6" i="8"/>
  <c r="M5" i="8"/>
  <c r="L5" i="8"/>
  <c r="J5" i="8"/>
  <c r="I5" i="8"/>
  <c r="H5" i="8"/>
  <c r="G5" i="8"/>
  <c r="M4" i="8"/>
  <c r="L4" i="8"/>
  <c r="J4" i="8"/>
  <c r="I4" i="8"/>
  <c r="H4" i="8"/>
  <c r="G4" i="8"/>
  <c r="Y10" i="8"/>
  <c r="W10" i="8"/>
  <c r="V10" i="8"/>
  <c r="U10" i="8"/>
  <c r="T10" i="8"/>
  <c r="S10" i="8"/>
  <c r="R10" i="8"/>
  <c r="Q10" i="8"/>
  <c r="Y9" i="8"/>
  <c r="W9" i="8"/>
  <c r="V9" i="8"/>
  <c r="U9" i="8"/>
  <c r="T9" i="8"/>
  <c r="S9" i="8"/>
  <c r="R9" i="8"/>
  <c r="Q9" i="8"/>
  <c r="Y8" i="8"/>
  <c r="W8" i="8"/>
  <c r="V8" i="8"/>
  <c r="U8" i="8"/>
  <c r="T8" i="8"/>
  <c r="S8" i="8"/>
  <c r="R8" i="8"/>
  <c r="Q8" i="8"/>
  <c r="Y7" i="8"/>
  <c r="W7" i="8"/>
  <c r="V7" i="8"/>
  <c r="U7" i="8"/>
  <c r="T7" i="8"/>
  <c r="S7" i="8"/>
  <c r="R7" i="8"/>
  <c r="Q7" i="8"/>
  <c r="Y6" i="8"/>
  <c r="W6" i="8"/>
  <c r="V6" i="8"/>
  <c r="U6" i="8"/>
  <c r="T6" i="8"/>
  <c r="S6" i="8"/>
  <c r="R6" i="8"/>
  <c r="Q6" i="8"/>
  <c r="Y5" i="8"/>
  <c r="W5" i="8"/>
  <c r="V5" i="8"/>
  <c r="U5" i="8"/>
  <c r="T5" i="8"/>
  <c r="S5" i="8"/>
  <c r="R5" i="8"/>
  <c r="Q5" i="8"/>
  <c r="Y4" i="8"/>
  <c r="W4" i="8"/>
  <c r="V4" i="8"/>
  <c r="U4" i="8"/>
  <c r="T4" i="8"/>
  <c r="S4" i="8"/>
  <c r="R4" i="8"/>
  <c r="Q4" i="8"/>
  <c r="Y3" i="8"/>
  <c r="W3" i="8"/>
  <c r="V3" i="8"/>
  <c r="U3" i="8"/>
  <c r="T3" i="8"/>
  <c r="S3" i="8"/>
  <c r="R3" i="8"/>
  <c r="Q3" i="8"/>
  <c r="M3" i="8"/>
  <c r="L3" i="8"/>
  <c r="J3" i="8"/>
  <c r="I3" i="8"/>
  <c r="H3" i="8"/>
  <c r="G3" i="8"/>
  <c r="Z40" i="6"/>
  <c r="X40" i="6"/>
  <c r="W40" i="6"/>
  <c r="V40" i="6"/>
  <c r="U40" i="6"/>
  <c r="T40" i="6"/>
  <c r="S40" i="6"/>
  <c r="R40" i="6"/>
  <c r="Z35" i="6"/>
  <c r="X35" i="6"/>
  <c r="W35" i="6"/>
  <c r="V35" i="6"/>
  <c r="U35" i="6"/>
  <c r="T35" i="6"/>
  <c r="S35" i="6"/>
  <c r="R35" i="6"/>
  <c r="Z34" i="6"/>
  <c r="X34" i="6"/>
  <c r="W34" i="6"/>
  <c r="V34" i="6"/>
  <c r="U34" i="6"/>
  <c r="T34" i="6"/>
  <c r="S34" i="6"/>
  <c r="R34" i="6"/>
  <c r="Z33" i="6"/>
  <c r="X33" i="6"/>
  <c r="W33" i="6"/>
  <c r="V33" i="6"/>
  <c r="U33" i="6"/>
  <c r="T33" i="6"/>
  <c r="S33" i="6"/>
  <c r="R33" i="6"/>
  <c r="Z32" i="6"/>
  <c r="X32" i="6"/>
  <c r="W32" i="6"/>
  <c r="V32" i="6"/>
  <c r="U32" i="6"/>
  <c r="T32" i="6"/>
  <c r="S32" i="6"/>
  <c r="R32" i="6"/>
  <c r="Z31" i="6"/>
  <c r="X31" i="6"/>
  <c r="W31" i="6"/>
  <c r="V31" i="6"/>
  <c r="U31" i="6"/>
  <c r="T31" i="6"/>
  <c r="S31" i="6"/>
  <c r="R31" i="6"/>
  <c r="Z30" i="6"/>
  <c r="X30" i="6"/>
  <c r="W30" i="6"/>
  <c r="V30" i="6"/>
  <c r="U30" i="6"/>
  <c r="T30" i="6"/>
  <c r="S30" i="6"/>
  <c r="R30" i="6"/>
  <c r="Z29" i="6"/>
  <c r="X29" i="6"/>
  <c r="W29" i="6"/>
  <c r="V29" i="6"/>
  <c r="U29" i="6"/>
  <c r="T29" i="6"/>
  <c r="S29" i="6"/>
  <c r="R29" i="6"/>
  <c r="Z28" i="6"/>
  <c r="X28" i="6"/>
  <c r="W28" i="6"/>
  <c r="V28" i="6"/>
  <c r="U28" i="6"/>
  <c r="T28" i="6"/>
  <c r="S28" i="6"/>
  <c r="R28" i="6"/>
  <c r="Z27" i="6"/>
  <c r="X27" i="6"/>
  <c r="W27" i="6"/>
  <c r="V27" i="6"/>
  <c r="U27" i="6"/>
  <c r="T27" i="6"/>
  <c r="S27" i="6"/>
  <c r="R27" i="6"/>
  <c r="N40" i="6"/>
  <c r="M40" i="6"/>
  <c r="L40" i="6"/>
  <c r="K40" i="6"/>
  <c r="J40" i="6"/>
  <c r="I40" i="6"/>
  <c r="H40" i="6"/>
  <c r="N35" i="6"/>
  <c r="M35" i="6"/>
  <c r="L35" i="6"/>
  <c r="K35" i="6"/>
  <c r="J35" i="6"/>
  <c r="I35" i="6"/>
  <c r="H35" i="6"/>
  <c r="N34" i="6"/>
  <c r="M34" i="6"/>
  <c r="L34" i="6"/>
  <c r="K34" i="6"/>
  <c r="J34" i="6"/>
  <c r="I34" i="6"/>
  <c r="H34" i="6"/>
  <c r="N33" i="6"/>
  <c r="M33" i="6"/>
  <c r="L33" i="6"/>
  <c r="K33" i="6"/>
  <c r="J33" i="6"/>
  <c r="I33" i="6"/>
  <c r="H33" i="6"/>
  <c r="N32" i="6"/>
  <c r="M32" i="6"/>
  <c r="L32" i="6"/>
  <c r="K32" i="6"/>
  <c r="J32" i="6"/>
  <c r="I32" i="6"/>
  <c r="H32" i="6"/>
  <c r="N31" i="6"/>
  <c r="M31" i="6"/>
  <c r="L31" i="6"/>
  <c r="K31" i="6"/>
  <c r="J31" i="6"/>
  <c r="I31" i="6"/>
  <c r="H31" i="6"/>
  <c r="N30" i="6"/>
  <c r="M30" i="6"/>
  <c r="L30" i="6"/>
  <c r="K30" i="6"/>
  <c r="J30" i="6"/>
  <c r="I30" i="6"/>
  <c r="H30" i="6"/>
  <c r="N29" i="6"/>
  <c r="M29" i="6"/>
  <c r="L29" i="6"/>
  <c r="K29" i="6"/>
  <c r="J29" i="6"/>
  <c r="I29" i="6"/>
  <c r="H29" i="6"/>
  <c r="N28" i="6"/>
  <c r="M28" i="6"/>
  <c r="L28" i="6"/>
  <c r="K28" i="6"/>
  <c r="J28" i="6"/>
  <c r="I28" i="6"/>
  <c r="H28" i="6"/>
  <c r="N27" i="6"/>
  <c r="M27" i="6"/>
  <c r="L27" i="6"/>
  <c r="K27" i="6"/>
  <c r="J27" i="6"/>
  <c r="I27" i="6"/>
  <c r="H27" i="6"/>
  <c r="Y16" i="5"/>
  <c r="W16" i="5"/>
  <c r="V16" i="5"/>
  <c r="U16" i="5"/>
  <c r="T16" i="5"/>
  <c r="S16" i="5"/>
  <c r="R16" i="5"/>
  <c r="Q16" i="5"/>
  <c r="Y15" i="5"/>
  <c r="W15" i="5"/>
  <c r="V15" i="5"/>
  <c r="U15" i="5"/>
  <c r="T15" i="5"/>
  <c r="S15" i="5"/>
  <c r="R15" i="5"/>
  <c r="Q15" i="5"/>
  <c r="Y14" i="5"/>
  <c r="W14" i="5"/>
  <c r="V14" i="5"/>
  <c r="U14" i="5"/>
  <c r="T14" i="5"/>
  <c r="S14" i="5"/>
  <c r="R14" i="5"/>
  <c r="Q14" i="5"/>
  <c r="M16" i="5"/>
  <c r="L16" i="5"/>
  <c r="K16" i="5"/>
  <c r="J16" i="5"/>
  <c r="I16" i="5"/>
  <c r="H16" i="5"/>
  <c r="G16" i="5"/>
  <c r="M15" i="5"/>
  <c r="L15" i="5"/>
  <c r="K15" i="5"/>
  <c r="J15" i="5"/>
  <c r="I15" i="5"/>
  <c r="H15" i="5"/>
  <c r="G15" i="5"/>
  <c r="M14" i="5"/>
  <c r="L14" i="5"/>
  <c r="K14" i="5"/>
  <c r="J14" i="5"/>
  <c r="I14" i="5"/>
  <c r="H14" i="5"/>
  <c r="G14" i="5"/>
  <c r="Y7" i="5"/>
  <c r="W7" i="5"/>
  <c r="V7" i="5"/>
  <c r="U7" i="5"/>
  <c r="T7" i="5"/>
  <c r="S7" i="5"/>
  <c r="R7" i="5"/>
  <c r="Q7" i="5"/>
  <c r="Y6" i="5"/>
  <c r="W6" i="5"/>
  <c r="V6" i="5"/>
  <c r="U6" i="5"/>
  <c r="T6" i="5"/>
  <c r="S6" i="5"/>
  <c r="R6" i="5"/>
  <c r="Q6" i="5"/>
  <c r="Y5" i="5"/>
  <c r="W5" i="5"/>
  <c r="V5" i="5"/>
  <c r="U5" i="5"/>
  <c r="T5" i="5"/>
  <c r="S5" i="5"/>
  <c r="R5" i="5"/>
  <c r="Q5" i="5"/>
  <c r="M7" i="5"/>
  <c r="M6" i="5"/>
  <c r="M5" i="5"/>
  <c r="L7" i="5"/>
  <c r="L6" i="5"/>
  <c r="L5" i="5"/>
  <c r="K7" i="5"/>
  <c r="K6" i="5"/>
  <c r="K5" i="5"/>
  <c r="J7" i="5"/>
  <c r="J6" i="5"/>
  <c r="I7" i="5"/>
  <c r="I6" i="5"/>
  <c r="I5" i="5"/>
  <c r="H7" i="5"/>
  <c r="H6" i="5"/>
  <c r="H5" i="5"/>
  <c r="G6" i="5"/>
  <c r="G7" i="5"/>
  <c r="G5" i="5"/>
  <c r="Y25" i="7"/>
  <c r="Y24" i="7"/>
  <c r="Y23" i="7"/>
  <c r="Y22" i="7"/>
  <c r="Y21" i="7"/>
  <c r="Y20" i="7"/>
  <c r="Y19" i="7"/>
  <c r="W25" i="7"/>
  <c r="W24" i="7"/>
  <c r="W23" i="7"/>
  <c r="W22" i="7"/>
  <c r="W21" i="7"/>
  <c r="W20" i="7"/>
  <c r="W19" i="7"/>
  <c r="V25" i="7"/>
  <c r="V24" i="7"/>
  <c r="V23" i="7"/>
  <c r="V22" i="7"/>
  <c r="V21" i="7"/>
  <c r="V20" i="7"/>
  <c r="V19" i="7"/>
  <c r="U25" i="7"/>
  <c r="U24" i="7"/>
  <c r="U23" i="7"/>
  <c r="U22" i="7"/>
  <c r="U21" i="7"/>
  <c r="U20" i="7"/>
  <c r="U19" i="7"/>
  <c r="T25" i="7"/>
  <c r="T24" i="7"/>
  <c r="T23" i="7"/>
  <c r="T22" i="7"/>
  <c r="T21" i="7"/>
  <c r="T20" i="7"/>
  <c r="T19" i="7"/>
  <c r="S25" i="7"/>
  <c r="S24" i="7"/>
  <c r="S23" i="7"/>
  <c r="S22" i="7"/>
  <c r="S21" i="7"/>
  <c r="S20" i="7"/>
  <c r="S19" i="7"/>
  <c r="R20" i="7"/>
  <c r="R21" i="7"/>
  <c r="R22" i="7"/>
  <c r="R23" i="7"/>
  <c r="R24" i="7"/>
  <c r="R25" i="7"/>
  <c r="R19" i="7"/>
  <c r="Q20" i="7"/>
  <c r="Q21" i="7"/>
  <c r="Q22" i="7"/>
  <c r="Q23" i="7"/>
  <c r="Q24" i="7"/>
  <c r="Q25" i="7"/>
  <c r="Q19" i="7"/>
  <c r="M25" i="7"/>
  <c r="M24" i="7"/>
  <c r="M23" i="7"/>
  <c r="M22" i="7"/>
  <c r="M21" i="7"/>
  <c r="M20" i="7"/>
  <c r="M19" i="7"/>
  <c r="L25" i="7"/>
  <c r="L24" i="7"/>
  <c r="L23" i="7"/>
  <c r="L22" i="7"/>
  <c r="L21" i="7"/>
  <c r="L20" i="7"/>
  <c r="L19" i="7"/>
  <c r="K25" i="7"/>
  <c r="K24" i="7"/>
  <c r="K23" i="7"/>
  <c r="K22" i="7"/>
  <c r="K21" i="7"/>
  <c r="K20" i="7"/>
  <c r="K19" i="7"/>
  <c r="J20" i="7"/>
  <c r="J21" i="7"/>
  <c r="J22" i="7"/>
  <c r="J23" i="7"/>
  <c r="J24" i="7"/>
  <c r="J25" i="7"/>
  <c r="J19" i="7"/>
  <c r="I25" i="7"/>
  <c r="I24" i="7"/>
  <c r="I23" i="7"/>
  <c r="I22" i="7"/>
  <c r="I21" i="7"/>
  <c r="I20" i="7"/>
  <c r="I19" i="7"/>
  <c r="H25" i="7"/>
  <c r="H24" i="7"/>
  <c r="H23" i="7"/>
  <c r="H22" i="7"/>
  <c r="H21" i="7"/>
  <c r="H20" i="7"/>
  <c r="H19" i="7"/>
  <c r="G20" i="7"/>
  <c r="G21" i="7"/>
  <c r="G22" i="7"/>
  <c r="G23" i="7"/>
  <c r="G24" i="7"/>
  <c r="G25" i="7"/>
  <c r="G19" i="7"/>
  <c r="Y11" i="7"/>
  <c r="Y10" i="7"/>
  <c r="Y9" i="7"/>
  <c r="Y8" i="7"/>
  <c r="Y7" i="7"/>
  <c r="Y6" i="7"/>
  <c r="M14" i="7"/>
  <c r="M11" i="7"/>
  <c r="M10" i="7"/>
  <c r="M9" i="7"/>
  <c r="M8" i="7"/>
  <c r="M7" i="7"/>
  <c r="M6" i="7"/>
  <c r="K14" i="7"/>
  <c r="K11" i="7"/>
  <c r="K10" i="7"/>
  <c r="K9" i="7"/>
  <c r="K8" i="7"/>
  <c r="K7" i="7"/>
  <c r="K6" i="7"/>
  <c r="X14" i="7"/>
  <c r="X11" i="7"/>
  <c r="X10" i="7"/>
  <c r="X9" i="7"/>
  <c r="X8" i="7"/>
  <c r="X7" i="7"/>
  <c r="X6" i="7"/>
  <c r="W14" i="7"/>
  <c r="W11" i="7"/>
  <c r="W10" i="7"/>
  <c r="W9" i="7"/>
  <c r="W8" i="7"/>
  <c r="W7" i="7"/>
  <c r="W6" i="7"/>
  <c r="V14" i="7"/>
  <c r="V11" i="7"/>
  <c r="V10" i="7"/>
  <c r="V9" i="7"/>
  <c r="V8" i="7"/>
  <c r="V7" i="7"/>
  <c r="V6" i="7"/>
  <c r="U14" i="7"/>
  <c r="U11" i="7"/>
  <c r="U10" i="7"/>
  <c r="U9" i="7"/>
  <c r="U8" i="7"/>
  <c r="U7" i="7"/>
  <c r="U6" i="7"/>
  <c r="T14" i="7"/>
  <c r="T11" i="7"/>
  <c r="T10" i="7"/>
  <c r="T9" i="7"/>
  <c r="T8" i="7"/>
  <c r="T7" i="7"/>
  <c r="T6" i="7"/>
  <c r="S14" i="7"/>
  <c r="S11" i="7"/>
  <c r="S10" i="7"/>
  <c r="S9" i="7"/>
  <c r="S8" i="7"/>
  <c r="S7" i="7"/>
  <c r="S6" i="7"/>
  <c r="R14" i="7"/>
  <c r="R11" i="7"/>
  <c r="R10" i="7"/>
  <c r="R9" i="7"/>
  <c r="R8" i="7"/>
  <c r="R7" i="7"/>
  <c r="R6" i="7"/>
  <c r="Q14" i="7"/>
  <c r="Q11" i="7"/>
  <c r="Q10" i="7"/>
  <c r="Q9" i="7"/>
  <c r="Q8" i="7"/>
  <c r="Q7" i="7"/>
  <c r="Q6" i="7"/>
  <c r="L14" i="7"/>
  <c r="L11" i="7"/>
  <c r="L10" i="7"/>
  <c r="L9" i="7"/>
  <c r="L8" i="7"/>
  <c r="L7" i="7"/>
  <c r="L6" i="7"/>
  <c r="J14" i="7"/>
  <c r="J11" i="7"/>
  <c r="J10" i="7"/>
  <c r="J9" i="7"/>
  <c r="J8" i="7"/>
  <c r="J7" i="7"/>
  <c r="J6" i="7"/>
  <c r="I14" i="7"/>
  <c r="I11" i="7"/>
  <c r="I10" i="7"/>
  <c r="I9" i="7"/>
  <c r="I8" i="7"/>
  <c r="I7" i="7"/>
  <c r="I6" i="7"/>
  <c r="H14" i="7"/>
  <c r="H11" i="7"/>
  <c r="H10" i="7"/>
  <c r="H9" i="7"/>
  <c r="H8" i="7"/>
  <c r="H7" i="7"/>
  <c r="H6" i="7"/>
  <c r="G7" i="7"/>
  <c r="G8" i="7"/>
  <c r="G9" i="7"/>
  <c r="O9" i="7" s="1"/>
  <c r="G10" i="7"/>
  <c r="G11" i="7"/>
  <c r="G14" i="7"/>
  <c r="G6" i="7"/>
  <c r="O5" i="8" l="1"/>
  <c r="O11" i="7"/>
  <c r="O4" i="8"/>
  <c r="O6" i="8"/>
  <c r="O8" i="8"/>
  <c r="O10" i="8"/>
  <c r="O6" i="70"/>
  <c r="O3" i="8"/>
  <c r="O7" i="70"/>
  <c r="O5" i="70"/>
  <c r="O10" i="7"/>
  <c r="O6" i="7"/>
  <c r="O5" i="5"/>
  <c r="O14" i="7"/>
  <c r="O8" i="7"/>
  <c r="O7" i="5"/>
  <c r="O7" i="8"/>
  <c r="O9" i="8"/>
  <c r="O7" i="7"/>
  <c r="O6" i="5"/>
  <c r="O4" i="70"/>
  <c r="Z3" i="8"/>
  <c r="Z6" i="8"/>
  <c r="Z9" i="8"/>
  <c r="Z10" i="7"/>
  <c r="Z11" i="7"/>
  <c r="Z6" i="7"/>
  <c r="Z7" i="7"/>
  <c r="Z8" i="7"/>
  <c r="Z6" i="5"/>
  <c r="Z7" i="5"/>
  <c r="Z14" i="7"/>
  <c r="Z4" i="8"/>
  <c r="Z7" i="8"/>
  <c r="Z10" i="8"/>
  <c r="Z4" i="70"/>
  <c r="Z6" i="70"/>
  <c r="Z5" i="5"/>
  <c r="Z5" i="8"/>
  <c r="Z8" i="8"/>
  <c r="Z5" i="70"/>
  <c r="Z7" i="70"/>
  <c r="Z9" i="7"/>
  <c r="AB8" i="6" l="1"/>
  <c r="H6" i="16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5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R4" i="1" l="1"/>
  <c r="H47" i="7" l="1"/>
  <c r="H48" i="7" s="1"/>
  <c r="AB20" i="6" l="1"/>
  <c r="AA5" i="70"/>
  <c r="AA4" i="70"/>
  <c r="AA6" i="70"/>
  <c r="AA7" i="70"/>
  <c r="AB17" i="6"/>
  <c r="P4" i="1" l="1"/>
  <c r="G20" i="54" l="1"/>
  <c r="H20" i="54"/>
  <c r="X23" i="8" l="1"/>
  <c r="X11" i="8"/>
  <c r="K11" i="8"/>
  <c r="H17" i="54" l="1"/>
  <c r="H18" i="54"/>
  <c r="H19" i="54"/>
  <c r="G17" i="54"/>
  <c r="G18" i="54"/>
  <c r="G19" i="54"/>
  <c r="Z15" i="7" l="1"/>
  <c r="AA15" i="7" l="1"/>
  <c r="AA14" i="7" l="1"/>
  <c r="M23" i="8"/>
  <c r="M11" i="8"/>
  <c r="G11" i="8" l="1"/>
  <c r="H11" i="8"/>
  <c r="I11" i="8"/>
  <c r="J11" i="8"/>
  <c r="L11" i="8"/>
  <c r="AB7" i="6" l="1"/>
  <c r="AA6" i="7"/>
  <c r="AB11" i="6"/>
  <c r="AB6" i="6"/>
  <c r="AA10" i="8"/>
  <c r="AA7" i="8"/>
  <c r="AA9" i="7"/>
  <c r="D21" i="12" l="1"/>
  <c r="D8" i="25" s="1"/>
  <c r="E21" i="12"/>
  <c r="F21" i="12"/>
  <c r="C21" i="12"/>
  <c r="J8" i="25" l="1"/>
  <c r="I21" i="12"/>
  <c r="G8" i="25"/>
  <c r="H21" i="12"/>
  <c r="G21" i="12"/>
  <c r="C8" i="25"/>
  <c r="K8" i="25" l="1"/>
  <c r="H8" i="25"/>
  <c r="E8" i="25"/>
  <c r="F17" i="12" l="1"/>
  <c r="F18" i="12"/>
  <c r="F19" i="12"/>
  <c r="F20" i="12"/>
  <c r="E17" i="12"/>
  <c r="E18" i="12"/>
  <c r="H18" i="12" s="1"/>
  <c r="E19" i="12"/>
  <c r="E20" i="12"/>
  <c r="F22" i="12" l="1"/>
  <c r="E22" i="12"/>
  <c r="J7" i="25"/>
  <c r="J6" i="25"/>
  <c r="J5" i="25"/>
  <c r="J4" i="25"/>
  <c r="G3" i="25"/>
  <c r="G7" i="25"/>
  <c r="G6" i="25"/>
  <c r="G5" i="25"/>
  <c r="G4" i="25"/>
  <c r="J3" i="25"/>
  <c r="F23" i="12" l="1"/>
  <c r="J9" i="25"/>
  <c r="G9" i="25"/>
  <c r="Y23" i="8" l="1"/>
  <c r="Y11" i="8"/>
  <c r="D17" i="12" l="1"/>
  <c r="D4" i="25" s="1"/>
  <c r="D18" i="12"/>
  <c r="D19" i="12"/>
  <c r="D6" i="25" s="1"/>
  <c r="D20" i="12"/>
  <c r="D7" i="25" s="1"/>
  <c r="C17" i="12"/>
  <c r="C19" i="12"/>
  <c r="C20" i="12"/>
  <c r="D5" i="25" l="1"/>
  <c r="G18" i="12"/>
  <c r="I16" i="12"/>
  <c r="C7" i="25"/>
  <c r="K7" i="25" s="1"/>
  <c r="I20" i="12"/>
  <c r="H20" i="12"/>
  <c r="C6" i="25"/>
  <c r="H6" i="25" s="1"/>
  <c r="I19" i="12"/>
  <c r="H19" i="12"/>
  <c r="C5" i="25"/>
  <c r="I18" i="12"/>
  <c r="C4" i="25"/>
  <c r="E4" i="25" s="1"/>
  <c r="H17" i="12"/>
  <c r="I17" i="12"/>
  <c r="C3" i="25"/>
  <c r="C22" i="12"/>
  <c r="D3" i="25"/>
  <c r="D22" i="12"/>
  <c r="G19" i="12"/>
  <c r="G17" i="12"/>
  <c r="G20" i="12"/>
  <c r="D9" i="25" l="1"/>
  <c r="L14" i="25" s="1"/>
  <c r="E5" i="25"/>
  <c r="H7" i="25"/>
  <c r="E7" i="25"/>
  <c r="H22" i="12"/>
  <c r="I22" i="12"/>
  <c r="K4" i="25"/>
  <c r="H4" i="25"/>
  <c r="H5" i="25"/>
  <c r="E6" i="25"/>
  <c r="K5" i="25"/>
  <c r="K6" i="25"/>
  <c r="C9" i="25"/>
  <c r="K3" i="25"/>
  <c r="H3" i="25"/>
  <c r="E3" i="25"/>
  <c r="G22" i="12"/>
  <c r="H14" i="25" l="1"/>
  <c r="E9" i="25"/>
  <c r="H9" i="25"/>
  <c r="K9" i="25"/>
  <c r="AA7" i="5" l="1"/>
  <c r="AA6" i="5"/>
  <c r="Q23" i="8" l="1"/>
  <c r="R23" i="8"/>
  <c r="S23" i="8"/>
  <c r="T23" i="8"/>
  <c r="U23" i="8"/>
  <c r="V23" i="8"/>
  <c r="W23" i="8"/>
  <c r="G23" i="8"/>
  <c r="H23" i="8"/>
  <c r="I23" i="8"/>
  <c r="J23" i="8"/>
  <c r="K23" i="8"/>
  <c r="L23" i="8"/>
  <c r="Q11" i="8"/>
  <c r="R11" i="8"/>
  <c r="S11" i="8"/>
  <c r="T11" i="8"/>
  <c r="U11" i="8"/>
  <c r="V11" i="8"/>
  <c r="W11" i="8"/>
  <c r="Z11" i="8" l="1"/>
  <c r="O11" i="8"/>
  <c r="AA5" i="5"/>
  <c r="AB5" i="6" l="1"/>
  <c r="AA7" i="7"/>
  <c r="AA5" i="8"/>
  <c r="AA3" i="8"/>
  <c r="AA8" i="7"/>
  <c r="AA6" i="8"/>
  <c r="AA10" i="7"/>
  <c r="AA9" i="8"/>
  <c r="AA4" i="8"/>
  <c r="AA11" i="8"/>
  <c r="AA8" i="8"/>
  <c r="AA11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tc={0699B721-33D0-4972-A990-FCB68B339887}</author>
  </authors>
  <commentList>
    <comment ref="Q2" authorId="0" shapeId="0" xr:uid="{0699B721-33D0-4972-A990-FCB68B33988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changed for silver sku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99618-A7CD-4CCF-AA66-8F7F862CE7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<sst xmlns="http://schemas.openxmlformats.org/spreadsheetml/2006/main" count="10750" uniqueCount="1246">
  <si>
    <t>Plant</t>
  </si>
  <si>
    <t>Plant Name</t>
  </si>
  <si>
    <t>Material Code</t>
  </si>
  <si>
    <t>Group</t>
  </si>
  <si>
    <t>Material Description</t>
  </si>
  <si>
    <t>Cat</t>
  </si>
  <si>
    <t>Source</t>
  </si>
  <si>
    <t>Sales Qty</t>
  </si>
  <si>
    <t>% With  Forecast</t>
  </si>
  <si>
    <t>Transit</t>
  </si>
  <si>
    <t>Ship Date</t>
  </si>
  <si>
    <t>Ready Stock</t>
  </si>
  <si>
    <t>Ready + transist</t>
  </si>
  <si>
    <t>2000</t>
  </si>
  <si>
    <t>RPSPL-HP Factory</t>
  </si>
  <si>
    <t>01296</t>
  </si>
  <si>
    <t>Rich’s Cremagic - 2 Kg</t>
  </si>
  <si>
    <t>T&amp;I</t>
  </si>
  <si>
    <t>T&amp;I EX HP</t>
  </si>
  <si>
    <t>07310</t>
  </si>
  <si>
    <t>Rich's Cooking Rich Hot Kitchen Appl.</t>
  </si>
  <si>
    <t>T&amp;I Comm -HP</t>
  </si>
  <si>
    <t>13179</t>
  </si>
  <si>
    <t>Rich’s Whip Topping Gold (India)</t>
  </si>
  <si>
    <t>16336</t>
  </si>
  <si>
    <t>Sunwhip (India) 1 Kg</t>
  </si>
  <si>
    <t>4100</t>
  </si>
  <si>
    <t>RPSPL-GUJ</t>
  </si>
  <si>
    <t>06151</t>
  </si>
  <si>
    <t>Rich's Double Dream</t>
  </si>
  <si>
    <t>DD</t>
  </si>
  <si>
    <t>NFL</t>
  </si>
  <si>
    <t>19805</t>
  </si>
  <si>
    <t>Richs On Top 350 G</t>
  </si>
  <si>
    <t>04145</t>
  </si>
  <si>
    <t>Rich's Nugel Caramel (1 Kg)</t>
  </si>
  <si>
    <t>NGL</t>
  </si>
  <si>
    <t>13490</t>
  </si>
  <si>
    <t>Rich's Nugel Neutral Glaze 2.5 Kg IN</t>
  </si>
  <si>
    <t>14220</t>
  </si>
  <si>
    <t>Rich's Nugel Neutral Glaze 1.0 Kg IN</t>
  </si>
  <si>
    <t>14248</t>
  </si>
  <si>
    <t>Rich's Nugel Cocoa Glaze 2.5 Kg (India)</t>
  </si>
  <si>
    <t>15300</t>
  </si>
  <si>
    <t>Rich's Nugel Pineapple Glaze 1.0 Kg IN</t>
  </si>
  <si>
    <t>15305</t>
  </si>
  <si>
    <t>Rich's Nugel Strawberry Glaze 1.0 Kg IN</t>
  </si>
  <si>
    <t>15312</t>
  </si>
  <si>
    <t>Rich's Nugel Blueberry Glaze 1.0 Kg IN</t>
  </si>
  <si>
    <t>16407</t>
  </si>
  <si>
    <t>Rich's Nugel White 1 Kg (India)</t>
  </si>
  <si>
    <t>00189</t>
  </si>
  <si>
    <t>Rich's New Star Whip 1 Kg</t>
  </si>
  <si>
    <t>01167</t>
  </si>
  <si>
    <t>Rich's Sweetmate (India) 1 Kg</t>
  </si>
  <si>
    <t>02122</t>
  </si>
  <si>
    <t>Rich's Dairy Free Whip Topping - 2 Kg</t>
  </si>
  <si>
    <t>05159</t>
  </si>
  <si>
    <t>Rich's Whip Topping-Gold 500 G (India)</t>
  </si>
  <si>
    <t>06982</t>
  </si>
  <si>
    <t>Rich's Chocolate Whip Topping</t>
  </si>
  <si>
    <t>08529</t>
  </si>
  <si>
    <t>Rich's Truffle Base</t>
  </si>
  <si>
    <t>20250</t>
  </si>
  <si>
    <t>Rich's Whip Topping Silver (1Kg)</t>
  </si>
  <si>
    <t>13678</t>
  </si>
  <si>
    <t>Rich’s New Niagara Farms</t>
  </si>
  <si>
    <t>14654</t>
  </si>
  <si>
    <t>Rich's Bettercreme</t>
  </si>
  <si>
    <t>14788</t>
  </si>
  <si>
    <t>Rich’s Whip Topping-Gold 1 Kg</t>
  </si>
  <si>
    <t>15536</t>
  </si>
  <si>
    <t>Rich's Premium Truffle -2 Kg</t>
  </si>
  <si>
    <t>Ganache</t>
  </si>
  <si>
    <t>15906</t>
  </si>
  <si>
    <t>Rich’s Whip Topping (India) 1 Kg</t>
  </si>
  <si>
    <t>16618</t>
  </si>
  <si>
    <t>Rich's Chocolate Bettercreme</t>
  </si>
  <si>
    <t>16984</t>
  </si>
  <si>
    <t>Rich’s Niagara Farms Gold (1 Kg )</t>
  </si>
  <si>
    <t>16998</t>
  </si>
  <si>
    <t>Rich's Excel Whip (1 Kg)</t>
  </si>
  <si>
    <t>17979</t>
  </si>
  <si>
    <t>Rich's Nuglaze White 2kg</t>
  </si>
  <si>
    <t>18098</t>
  </si>
  <si>
    <t>ICEHOT BEVERAGES by RICH’S  1kg</t>
  </si>
  <si>
    <t>4101</t>
  </si>
  <si>
    <t>RPSPL-PC</t>
  </si>
  <si>
    <t>19690</t>
  </si>
  <si>
    <t>Rich's Nufill Blueberry FruitFilling 1Kg</t>
  </si>
  <si>
    <t>15459</t>
  </si>
  <si>
    <t>Rich's Cooking Rich-Hot Kitchen (10 Kg)</t>
  </si>
  <si>
    <t>19750</t>
  </si>
  <si>
    <t>Rich's Sun Whip Ultra 1Kg</t>
  </si>
  <si>
    <t>4102</t>
  </si>
  <si>
    <t>RPSPL-MP</t>
  </si>
  <si>
    <t>4104</t>
  </si>
  <si>
    <t>RPSPL-RJ</t>
  </si>
  <si>
    <t>4200</t>
  </si>
  <si>
    <t>RPSPL-KOL</t>
  </si>
  <si>
    <t>4201</t>
  </si>
  <si>
    <t>RPSPL-GT</t>
  </si>
  <si>
    <t>4300</t>
  </si>
  <si>
    <t>RPSPL-DEL</t>
  </si>
  <si>
    <t>4301</t>
  </si>
  <si>
    <t>RPSPL-PBN</t>
  </si>
  <si>
    <t>4400</t>
  </si>
  <si>
    <t>RPSPL-CH</t>
  </si>
  <si>
    <t>4401</t>
  </si>
  <si>
    <t>RPSPL-BNG</t>
  </si>
  <si>
    <t>4403</t>
  </si>
  <si>
    <t>RPSPL-HY</t>
  </si>
  <si>
    <t>4404</t>
  </si>
  <si>
    <t>RPSPL-KER</t>
  </si>
  <si>
    <t>19602</t>
  </si>
  <si>
    <t>Rich’s Premium Truffle–RTU Ganache 500g</t>
  </si>
  <si>
    <t>RF Pendency</t>
  </si>
  <si>
    <t>INV Days R+T</t>
  </si>
  <si>
    <t>Grand Total</t>
  </si>
  <si>
    <t>Sum of RF Pendency</t>
  </si>
  <si>
    <t>Average of INV Days R+T</t>
  </si>
  <si>
    <t>PBN</t>
  </si>
  <si>
    <t>DEL</t>
  </si>
  <si>
    <t>GT</t>
  </si>
  <si>
    <t>KOL</t>
  </si>
  <si>
    <t>RJ</t>
  </si>
  <si>
    <t>North Required</t>
  </si>
  <si>
    <t>BNG</t>
  </si>
  <si>
    <t>CH</t>
  </si>
  <si>
    <t>GUJ</t>
  </si>
  <si>
    <t>HY</t>
  </si>
  <si>
    <t>KER</t>
  </si>
  <si>
    <t>MP</t>
  </si>
  <si>
    <t>PC</t>
  </si>
  <si>
    <t>PF Required</t>
  </si>
  <si>
    <t>Overall required</t>
  </si>
  <si>
    <t>PF</t>
  </si>
  <si>
    <t>HP</t>
  </si>
  <si>
    <t>RF</t>
  </si>
  <si>
    <t>Sold</t>
  </si>
  <si>
    <t>Rich's Improved Whip Topping Silver-1.0</t>
  </si>
  <si>
    <t>Values</t>
  </si>
  <si>
    <t>Sum of Sales Qty</t>
  </si>
  <si>
    <t>Sale %</t>
  </si>
  <si>
    <t>20160</t>
  </si>
  <si>
    <t>RICH'S NUFILL DARK CHERRY FRUIT FILLING</t>
  </si>
  <si>
    <t>20308</t>
  </si>
  <si>
    <t>Rich's New Star Whip 2 kg </t>
  </si>
  <si>
    <t xml:space="preserve"> </t>
  </si>
  <si>
    <t>20827</t>
  </si>
  <si>
    <t>Rich’s Premium Truffle-RTUGanache-GS 2kg</t>
  </si>
  <si>
    <t>440415459</t>
  </si>
  <si>
    <t>4105</t>
  </si>
  <si>
    <t>RPSPL-NG</t>
  </si>
  <si>
    <t>MTD Sales Qty</t>
  </si>
  <si>
    <t>NG</t>
  </si>
  <si>
    <t>Ready Stock at HUB</t>
  </si>
  <si>
    <t>Sum of Ready + transist</t>
  </si>
  <si>
    <t>Sale Qty</t>
  </si>
  <si>
    <t>Sale % to RF</t>
  </si>
  <si>
    <t>INV Days Reday + Transit  Stock</t>
  </si>
  <si>
    <t>INV Days (R+T)</t>
  </si>
  <si>
    <t>INV Days Ready Stock</t>
  </si>
  <si>
    <t>Sum of Ready Stock</t>
  </si>
  <si>
    <t>R+Tstock</t>
  </si>
  <si>
    <t>Sale % To RF</t>
  </si>
  <si>
    <t>Remarks</t>
  </si>
  <si>
    <t>20661</t>
  </si>
  <si>
    <t>Rich’s Wilber Farms Dairy Cream 1ltr</t>
  </si>
  <si>
    <t>UHT-Chill</t>
  </si>
  <si>
    <t>21235</t>
  </si>
  <si>
    <t>Rich’s Whip Topping (India) 500 G</t>
  </si>
  <si>
    <t>OS - Dry</t>
  </si>
  <si>
    <t>OS-Chill</t>
  </si>
  <si>
    <t>4203</t>
  </si>
  <si>
    <t>RPSPL-PA</t>
  </si>
  <si>
    <t>PA</t>
  </si>
  <si>
    <t>Ganache-GS 2kg</t>
  </si>
  <si>
    <t>(All)</t>
  </si>
  <si>
    <t>R&amp;D</t>
  </si>
  <si>
    <t>21910</t>
  </si>
  <si>
    <t>Rich’s Sunwhip 2 Kg</t>
  </si>
  <si>
    <t>RF Pendency Overall (Not Hubwise)</t>
  </si>
  <si>
    <t>22059</t>
  </si>
  <si>
    <t>Rich’s Truffle Base - Hazelnut Flavour</t>
  </si>
  <si>
    <t>4106</t>
  </si>
  <si>
    <t>RPSPL-KH</t>
  </si>
  <si>
    <t>KHA</t>
  </si>
  <si>
    <t>INV Days</t>
  </si>
  <si>
    <t>23081</t>
  </si>
  <si>
    <t>Rich’s Icehot Creamery Dairy Beverage MI</t>
  </si>
  <si>
    <t>22754</t>
  </si>
  <si>
    <t>RWT - Cheese Flavoured (1 kg)</t>
  </si>
  <si>
    <t>Icehot Creamary 1 KG</t>
  </si>
  <si>
    <t>23401</t>
  </si>
  <si>
    <t>New Toppin Pride (1 kg)</t>
  </si>
  <si>
    <t>Variance CY Vs LY</t>
  </si>
  <si>
    <t>Asking rate</t>
  </si>
  <si>
    <t>23638</t>
  </si>
  <si>
    <t>Rich's Versatie Gold- Cooking Base 1 ltr</t>
  </si>
  <si>
    <t>200007310</t>
  </si>
  <si>
    <t>200013179</t>
  </si>
  <si>
    <t>410006151</t>
  </si>
  <si>
    <t>410019690</t>
  </si>
  <si>
    <t>410020160</t>
  </si>
  <si>
    <t>410020661</t>
  </si>
  <si>
    <t>410004145</t>
  </si>
  <si>
    <t>410013490</t>
  </si>
  <si>
    <t>410014248</t>
  </si>
  <si>
    <t>410015300</t>
  </si>
  <si>
    <t>410015305</t>
  </si>
  <si>
    <t>410015312</t>
  </si>
  <si>
    <t>410016407</t>
  </si>
  <si>
    <t>410000189</t>
  </si>
  <si>
    <t>410001167</t>
  </si>
  <si>
    <t>410001296</t>
  </si>
  <si>
    <t>410002122</t>
  </si>
  <si>
    <t>410005159</t>
  </si>
  <si>
    <t>410006982</t>
  </si>
  <si>
    <t>410007310</t>
  </si>
  <si>
    <t>410008529</t>
  </si>
  <si>
    <t>410013179</t>
  </si>
  <si>
    <t>410013678</t>
  </si>
  <si>
    <t>410014654</t>
  </si>
  <si>
    <t>410014788</t>
  </si>
  <si>
    <t>410015536</t>
  </si>
  <si>
    <t>410015906</t>
  </si>
  <si>
    <t>410016336</t>
  </si>
  <si>
    <t>410016984</t>
  </si>
  <si>
    <t>410016998</t>
  </si>
  <si>
    <t>410018098</t>
  </si>
  <si>
    <t>410019750</t>
  </si>
  <si>
    <t>410019805</t>
  </si>
  <si>
    <t>410020250</t>
  </si>
  <si>
    <t>410020308</t>
  </si>
  <si>
    <t>410020827</t>
  </si>
  <si>
    <t>410021910</t>
  </si>
  <si>
    <t>410022059</t>
  </si>
  <si>
    <t>410022754</t>
  </si>
  <si>
    <t>410023081</t>
  </si>
  <si>
    <t>410023401</t>
  </si>
  <si>
    <t>410106151</t>
  </si>
  <si>
    <t>410119690</t>
  </si>
  <si>
    <t>410120160</t>
  </si>
  <si>
    <t>410120661</t>
  </si>
  <si>
    <t>410123638</t>
  </si>
  <si>
    <t>410104145</t>
  </si>
  <si>
    <t>410113490</t>
  </si>
  <si>
    <t>410114248</t>
  </si>
  <si>
    <t>410115300</t>
  </si>
  <si>
    <t>410115305</t>
  </si>
  <si>
    <t>410115312</t>
  </si>
  <si>
    <t>410116407</t>
  </si>
  <si>
    <t>410100189</t>
  </si>
  <si>
    <t>410101167</t>
  </si>
  <si>
    <t>410101296</t>
  </si>
  <si>
    <t>410102122</t>
  </si>
  <si>
    <t>410105159</t>
  </si>
  <si>
    <t>410106982</t>
  </si>
  <si>
    <t>410107310</t>
  </si>
  <si>
    <t>410108529</t>
  </si>
  <si>
    <t>410113179</t>
  </si>
  <si>
    <t>410113678</t>
  </si>
  <si>
    <t>410114654</t>
  </si>
  <si>
    <t>410114788</t>
  </si>
  <si>
    <t>410115536</t>
  </si>
  <si>
    <t>410115906</t>
  </si>
  <si>
    <t>410116336</t>
  </si>
  <si>
    <t>410116984</t>
  </si>
  <si>
    <t>410116998</t>
  </si>
  <si>
    <t>410118098</t>
  </si>
  <si>
    <t>410119602</t>
  </si>
  <si>
    <t>410119750</t>
  </si>
  <si>
    <t>410119805</t>
  </si>
  <si>
    <t>410120250</t>
  </si>
  <si>
    <t>410120308</t>
  </si>
  <si>
    <t>410120827</t>
  </si>
  <si>
    <t>410121910</t>
  </si>
  <si>
    <t>410122059</t>
  </si>
  <si>
    <t>410122754</t>
  </si>
  <si>
    <t>410123081</t>
  </si>
  <si>
    <t>410123401</t>
  </si>
  <si>
    <t>410206151</t>
  </si>
  <si>
    <t>410219690</t>
  </si>
  <si>
    <t>410220160</t>
  </si>
  <si>
    <t>410220661</t>
  </si>
  <si>
    <t>410204145</t>
  </si>
  <si>
    <t>410213490</t>
  </si>
  <si>
    <t>410214248</t>
  </si>
  <si>
    <t>410215300</t>
  </si>
  <si>
    <t>410215305</t>
  </si>
  <si>
    <t>410215312</t>
  </si>
  <si>
    <t>410216407</t>
  </si>
  <si>
    <t>410200189</t>
  </si>
  <si>
    <t>410201167</t>
  </si>
  <si>
    <t>410201296</t>
  </si>
  <si>
    <t>410202122</t>
  </si>
  <si>
    <t>410205159</t>
  </si>
  <si>
    <t>410206982</t>
  </si>
  <si>
    <t>410207310</t>
  </si>
  <si>
    <t>410208529</t>
  </si>
  <si>
    <t>410213179</t>
  </si>
  <si>
    <t>410213678</t>
  </si>
  <si>
    <t>410214654</t>
  </si>
  <si>
    <t>410214788</t>
  </si>
  <si>
    <t>410215536</t>
  </si>
  <si>
    <t>410216336</t>
  </si>
  <si>
    <t>410216984</t>
  </si>
  <si>
    <t>410216998</t>
  </si>
  <si>
    <t>410218098</t>
  </si>
  <si>
    <t>410219750</t>
  </si>
  <si>
    <t>410219805</t>
  </si>
  <si>
    <t>410220250</t>
  </si>
  <si>
    <t>410220308</t>
  </si>
  <si>
    <t>410220827</t>
  </si>
  <si>
    <t>410221910</t>
  </si>
  <si>
    <t>410222059</t>
  </si>
  <si>
    <t>410222754</t>
  </si>
  <si>
    <t>410223081</t>
  </si>
  <si>
    <t>410223401</t>
  </si>
  <si>
    <t>410406151</t>
  </si>
  <si>
    <t>410419690</t>
  </si>
  <si>
    <t>410420661</t>
  </si>
  <si>
    <t>410404145</t>
  </si>
  <si>
    <t>410413490</t>
  </si>
  <si>
    <t>410414248</t>
  </si>
  <si>
    <t>410415300</t>
  </si>
  <si>
    <t>410415305</t>
  </si>
  <si>
    <t>410415312</t>
  </si>
  <si>
    <t>410416407</t>
  </si>
  <si>
    <t>410400189</t>
  </si>
  <si>
    <t>410401167</t>
  </si>
  <si>
    <t>410401296</t>
  </si>
  <si>
    <t>410402122</t>
  </si>
  <si>
    <t>410405159</t>
  </si>
  <si>
    <t>410406982</t>
  </si>
  <si>
    <t>410407310</t>
  </si>
  <si>
    <t>410408529</t>
  </si>
  <si>
    <t>410413179</t>
  </si>
  <si>
    <t>410413678</t>
  </si>
  <si>
    <t>410414654</t>
  </si>
  <si>
    <t>410414788</t>
  </si>
  <si>
    <t>410415536</t>
  </si>
  <si>
    <t>410415906</t>
  </si>
  <si>
    <t>410416336</t>
  </si>
  <si>
    <t>410416984</t>
  </si>
  <si>
    <t>410416998</t>
  </si>
  <si>
    <t>410418098</t>
  </si>
  <si>
    <t>410419602</t>
  </si>
  <si>
    <t>410419750</t>
  </si>
  <si>
    <t>410419805</t>
  </si>
  <si>
    <t>410420250</t>
  </si>
  <si>
    <t>410420827</t>
  </si>
  <si>
    <t>410422059</t>
  </si>
  <si>
    <t>410422754</t>
  </si>
  <si>
    <t>410506151</t>
  </si>
  <si>
    <t>410519690</t>
  </si>
  <si>
    <t>410520160</t>
  </si>
  <si>
    <t>410520661</t>
  </si>
  <si>
    <t>410504145</t>
  </si>
  <si>
    <t>410513490</t>
  </si>
  <si>
    <t>410514248</t>
  </si>
  <si>
    <t>410515300</t>
  </si>
  <si>
    <t>410515305</t>
  </si>
  <si>
    <t>410515312</t>
  </si>
  <si>
    <t>410516407</t>
  </si>
  <si>
    <t>410500189</t>
  </si>
  <si>
    <t>410501167</t>
  </si>
  <si>
    <t>410501296</t>
  </si>
  <si>
    <t>410502122</t>
  </si>
  <si>
    <t>410506982</t>
  </si>
  <si>
    <t>410507310</t>
  </si>
  <si>
    <t>410508529</t>
  </si>
  <si>
    <t>410513179</t>
  </si>
  <si>
    <t>410513678</t>
  </si>
  <si>
    <t>410514654</t>
  </si>
  <si>
    <t>410514788</t>
  </si>
  <si>
    <t>410515536</t>
  </si>
  <si>
    <t>410515906</t>
  </si>
  <si>
    <t>410516336</t>
  </si>
  <si>
    <t>410516984</t>
  </si>
  <si>
    <t>410516998</t>
  </si>
  <si>
    <t>410518098</t>
  </si>
  <si>
    <t>410519602</t>
  </si>
  <si>
    <t>410519750</t>
  </si>
  <si>
    <t>410519805</t>
  </si>
  <si>
    <t>410520250</t>
  </si>
  <si>
    <t>410520308</t>
  </si>
  <si>
    <t>410520827</t>
  </si>
  <si>
    <t>410521910</t>
  </si>
  <si>
    <t>410522059</t>
  </si>
  <si>
    <t>410522754</t>
  </si>
  <si>
    <t>410523081</t>
  </si>
  <si>
    <t>410523401</t>
  </si>
  <si>
    <t>410606151</t>
  </si>
  <si>
    <t>420006151</t>
  </si>
  <si>
    <t>420019690</t>
  </si>
  <si>
    <t>420020160</t>
  </si>
  <si>
    <t>420020661</t>
  </si>
  <si>
    <t>420004145</t>
  </si>
  <si>
    <t>420013490</t>
  </si>
  <si>
    <t>420014248</t>
  </si>
  <si>
    <t>420015300</t>
  </si>
  <si>
    <t>420015305</t>
  </si>
  <si>
    <t>420015312</t>
  </si>
  <si>
    <t>420016407</t>
  </si>
  <si>
    <t>420000189</t>
  </si>
  <si>
    <t>420001167</t>
  </si>
  <si>
    <t>420001296</t>
  </si>
  <si>
    <t>420002122</t>
  </si>
  <si>
    <t>420006982</t>
  </si>
  <si>
    <t>420007310</t>
  </si>
  <si>
    <t>420008529</t>
  </si>
  <si>
    <t>420013678</t>
  </si>
  <si>
    <t>420014654</t>
  </si>
  <si>
    <t>420014788</t>
  </si>
  <si>
    <t>420015536</t>
  </si>
  <si>
    <t>420015906</t>
  </si>
  <si>
    <t>420016336</t>
  </si>
  <si>
    <t>420016984</t>
  </si>
  <si>
    <t>420016998</t>
  </si>
  <si>
    <t>420018098</t>
  </si>
  <si>
    <t>420019750</t>
  </si>
  <si>
    <t>420019805</t>
  </si>
  <si>
    <t>420020250</t>
  </si>
  <si>
    <t>420020308</t>
  </si>
  <si>
    <t>420020827</t>
  </si>
  <si>
    <t>420021910</t>
  </si>
  <si>
    <t>420022059</t>
  </si>
  <si>
    <t>420022754</t>
  </si>
  <si>
    <t>420023081</t>
  </si>
  <si>
    <t>420106151</t>
  </si>
  <si>
    <t>420120661</t>
  </si>
  <si>
    <t>420104145</t>
  </si>
  <si>
    <t>420113490</t>
  </si>
  <si>
    <t>420114248</t>
  </si>
  <si>
    <t>420115300</t>
  </si>
  <si>
    <t>420115305</t>
  </si>
  <si>
    <t>420115312</t>
  </si>
  <si>
    <t>420116407</t>
  </si>
  <si>
    <t>420100189</t>
  </si>
  <si>
    <t>420101167</t>
  </si>
  <si>
    <t>420101296</t>
  </si>
  <si>
    <t>420102122</t>
  </si>
  <si>
    <t>420105159</t>
  </si>
  <si>
    <t>420106982</t>
  </si>
  <si>
    <t>420107310</t>
  </si>
  <si>
    <t>420108529</t>
  </si>
  <si>
    <t>420114654</t>
  </si>
  <si>
    <t>420114788</t>
  </si>
  <si>
    <t>420115536</t>
  </si>
  <si>
    <t>420116336</t>
  </si>
  <si>
    <t>420116984</t>
  </si>
  <si>
    <t>420116998</t>
  </si>
  <si>
    <t>420118098</t>
  </si>
  <si>
    <t>420119750</t>
  </si>
  <si>
    <t>420120250</t>
  </si>
  <si>
    <t>420120308</t>
  </si>
  <si>
    <t>420120827</t>
  </si>
  <si>
    <t>420122059</t>
  </si>
  <si>
    <t>420122754</t>
  </si>
  <si>
    <t>420123081</t>
  </si>
  <si>
    <t>420306151</t>
  </si>
  <si>
    <t>420319690</t>
  </si>
  <si>
    <t>420320160</t>
  </si>
  <si>
    <t>420320661</t>
  </si>
  <si>
    <t>420304145</t>
  </si>
  <si>
    <t>420313490</t>
  </si>
  <si>
    <t>420314248</t>
  </si>
  <si>
    <t>420315300</t>
  </si>
  <si>
    <t>420315305</t>
  </si>
  <si>
    <t>420315312</t>
  </si>
  <si>
    <t>420316407</t>
  </si>
  <si>
    <t>420300189</t>
  </si>
  <si>
    <t>420301167</t>
  </si>
  <si>
    <t>420301296</t>
  </si>
  <si>
    <t>420302122</t>
  </si>
  <si>
    <t>420306982</t>
  </si>
  <si>
    <t>420307310</t>
  </si>
  <si>
    <t>420308529</t>
  </si>
  <si>
    <t>420313678</t>
  </si>
  <si>
    <t>420314654</t>
  </si>
  <si>
    <t>420314788</t>
  </si>
  <si>
    <t>420315536</t>
  </si>
  <si>
    <t>420316336</t>
  </si>
  <si>
    <t>420316998</t>
  </si>
  <si>
    <t>420318098</t>
  </si>
  <si>
    <t>420319750</t>
  </si>
  <si>
    <t>420320250</t>
  </si>
  <si>
    <t>420320308</t>
  </si>
  <si>
    <t>420320827</t>
  </si>
  <si>
    <t>420321910</t>
  </si>
  <si>
    <t>420322059</t>
  </si>
  <si>
    <t>420322754</t>
  </si>
  <si>
    <t>420323081</t>
  </si>
  <si>
    <t>430006151</t>
  </si>
  <si>
    <t>430019690</t>
  </si>
  <si>
    <t>430020160</t>
  </si>
  <si>
    <t>430020661</t>
  </si>
  <si>
    <t>430004145</t>
  </si>
  <si>
    <t>430013490</t>
  </si>
  <si>
    <t>430014248</t>
  </si>
  <si>
    <t>430015300</t>
  </si>
  <si>
    <t>430015305</t>
  </si>
  <si>
    <t>430015312</t>
  </si>
  <si>
    <t>430016407</t>
  </si>
  <si>
    <t>430000189</t>
  </si>
  <si>
    <t>430001167</t>
  </si>
  <si>
    <t>430001296</t>
  </si>
  <si>
    <t>430002122</t>
  </si>
  <si>
    <t>430006982</t>
  </si>
  <si>
    <t>430007310</t>
  </si>
  <si>
    <t>430008529</t>
  </si>
  <si>
    <t>430013179</t>
  </si>
  <si>
    <t>430013678</t>
  </si>
  <si>
    <t>430014654</t>
  </si>
  <si>
    <t>430015536</t>
  </si>
  <si>
    <t>430015906</t>
  </si>
  <si>
    <t>430016336</t>
  </si>
  <si>
    <t>430016984</t>
  </si>
  <si>
    <t>430016998</t>
  </si>
  <si>
    <t>430018098</t>
  </si>
  <si>
    <t>430019750</t>
  </si>
  <si>
    <t>430019805</t>
  </si>
  <si>
    <t>430020250</t>
  </si>
  <si>
    <t>430020308</t>
  </si>
  <si>
    <t>430020827</t>
  </si>
  <si>
    <t>430021910</t>
  </si>
  <si>
    <t>430022059</t>
  </si>
  <si>
    <t>430022754</t>
  </si>
  <si>
    <t>430023081</t>
  </si>
  <si>
    <t>430106151</t>
  </si>
  <si>
    <t>430119690</t>
  </si>
  <si>
    <t>430120160</t>
  </si>
  <si>
    <t>430120661</t>
  </si>
  <si>
    <t>430104145</t>
  </si>
  <si>
    <t>430113490</t>
  </si>
  <si>
    <t>430114248</t>
  </si>
  <si>
    <t>430115300</t>
  </si>
  <si>
    <t>430115305</t>
  </si>
  <si>
    <t>430115312</t>
  </si>
  <si>
    <t>430116407</t>
  </si>
  <si>
    <t>430100189</t>
  </si>
  <si>
    <t>430101167</t>
  </si>
  <si>
    <t>430101296</t>
  </si>
  <si>
    <t>430102122</t>
  </si>
  <si>
    <t>430106982</t>
  </si>
  <si>
    <t>430107310</t>
  </si>
  <si>
    <t>430108529</t>
  </si>
  <si>
    <t>430113179</t>
  </si>
  <si>
    <t>430113678</t>
  </si>
  <si>
    <t>430114654</t>
  </si>
  <si>
    <t>430114788</t>
  </si>
  <si>
    <t>430115536</t>
  </si>
  <si>
    <t>430116336</t>
  </si>
  <si>
    <t>430116984</t>
  </si>
  <si>
    <t>430116998</t>
  </si>
  <si>
    <t>430118098</t>
  </si>
  <si>
    <t>430119750</t>
  </si>
  <si>
    <t>430119805</t>
  </si>
  <si>
    <t>430120250</t>
  </si>
  <si>
    <t>430120308</t>
  </si>
  <si>
    <t>430120827</t>
  </si>
  <si>
    <t>430121910</t>
  </si>
  <si>
    <t>430122059</t>
  </si>
  <si>
    <t>430122754</t>
  </si>
  <si>
    <t>430123081</t>
  </si>
  <si>
    <t>440006151</t>
  </si>
  <si>
    <t>440019690</t>
  </si>
  <si>
    <t>440020160</t>
  </si>
  <si>
    <t>440020661</t>
  </si>
  <si>
    <t>440004145</t>
  </si>
  <si>
    <t>440013490</t>
  </si>
  <si>
    <t>440014248</t>
  </si>
  <si>
    <t>440015300</t>
  </si>
  <si>
    <t>440015305</t>
  </si>
  <si>
    <t>440015312</t>
  </si>
  <si>
    <t>440016407</t>
  </si>
  <si>
    <t>440000189</t>
  </si>
  <si>
    <t>440001167</t>
  </si>
  <si>
    <t>440001296</t>
  </si>
  <si>
    <t>440002122</t>
  </si>
  <si>
    <t>440005159</t>
  </si>
  <si>
    <t>440006982</t>
  </si>
  <si>
    <t>440007310</t>
  </si>
  <si>
    <t>440008529</t>
  </si>
  <si>
    <t>440013179</t>
  </si>
  <si>
    <t>440013678</t>
  </si>
  <si>
    <t>440014654</t>
  </si>
  <si>
    <t>440014788</t>
  </si>
  <si>
    <t>440015536</t>
  </si>
  <si>
    <t>440015906</t>
  </si>
  <si>
    <t>440016336</t>
  </si>
  <si>
    <t>440016984</t>
  </si>
  <si>
    <t>440016998</t>
  </si>
  <si>
    <t>440018098</t>
  </si>
  <si>
    <t>440019750</t>
  </si>
  <si>
    <t>440019805</t>
  </si>
  <si>
    <t>440020250</t>
  </si>
  <si>
    <t>440020308</t>
  </si>
  <si>
    <t>440020827</t>
  </si>
  <si>
    <t>440022059</t>
  </si>
  <si>
    <t>440022754</t>
  </si>
  <si>
    <t>440023081</t>
  </si>
  <si>
    <t>440023401</t>
  </si>
  <si>
    <t>440106151</t>
  </si>
  <si>
    <t>440119690</t>
  </si>
  <si>
    <t>440120160</t>
  </si>
  <si>
    <t>440120661</t>
  </si>
  <si>
    <t>440123638</t>
  </si>
  <si>
    <t>440104145</t>
  </si>
  <si>
    <t>440113490</t>
  </si>
  <si>
    <t>440114248</t>
  </si>
  <si>
    <t>440115300</t>
  </si>
  <si>
    <t>440115305</t>
  </si>
  <si>
    <t>440115312</t>
  </si>
  <si>
    <t>440116407</t>
  </si>
  <si>
    <t>440100189</t>
  </si>
  <si>
    <t>440101167</t>
  </si>
  <si>
    <t>440101296</t>
  </si>
  <si>
    <t>440102122</t>
  </si>
  <si>
    <t>440105159</t>
  </si>
  <si>
    <t>440106982</t>
  </si>
  <si>
    <t>440107310</t>
  </si>
  <si>
    <t>440108529</t>
  </si>
  <si>
    <t>440113179</t>
  </si>
  <si>
    <t>440113678</t>
  </si>
  <si>
    <t>440114654</t>
  </si>
  <si>
    <t>440114788</t>
  </si>
  <si>
    <t>440115536</t>
  </si>
  <si>
    <t>440115906</t>
  </si>
  <si>
    <t>440116336</t>
  </si>
  <si>
    <t>440116984</t>
  </si>
  <si>
    <t>440116998</t>
  </si>
  <si>
    <t>440118098</t>
  </si>
  <si>
    <t>440119750</t>
  </si>
  <si>
    <t>440119805</t>
  </si>
  <si>
    <t>440120250</t>
  </si>
  <si>
    <t>440120308</t>
  </si>
  <si>
    <t>440120827</t>
  </si>
  <si>
    <t>440122059</t>
  </si>
  <si>
    <t>440122754</t>
  </si>
  <si>
    <t>440123081</t>
  </si>
  <si>
    <t>440123401</t>
  </si>
  <si>
    <t>440306151</t>
  </si>
  <si>
    <t>440319690</t>
  </si>
  <si>
    <t>440320160</t>
  </si>
  <si>
    <t>440320661</t>
  </si>
  <si>
    <t>440304145</t>
  </si>
  <si>
    <t>440313490</t>
  </si>
  <si>
    <t>440314248</t>
  </si>
  <si>
    <t>440315300</t>
  </si>
  <si>
    <t>440315312</t>
  </si>
  <si>
    <t>440316407</t>
  </si>
  <si>
    <t>440300189</t>
  </si>
  <si>
    <t>440301167</t>
  </si>
  <si>
    <t>440301296</t>
  </si>
  <si>
    <t>440302122</t>
  </si>
  <si>
    <t>440306982</t>
  </si>
  <si>
    <t>440307310</t>
  </si>
  <si>
    <t>440308529</t>
  </si>
  <si>
    <t>440313179</t>
  </si>
  <si>
    <t>440313678</t>
  </si>
  <si>
    <t>440314654</t>
  </si>
  <si>
    <t>440314788</t>
  </si>
  <si>
    <t>440315536</t>
  </si>
  <si>
    <t>440315906</t>
  </si>
  <si>
    <t>440316336</t>
  </si>
  <si>
    <t>440316984</t>
  </si>
  <si>
    <t>440318098</t>
  </si>
  <si>
    <t>440319750</t>
  </si>
  <si>
    <t>440319805</t>
  </si>
  <si>
    <t>440320250</t>
  </si>
  <si>
    <t>440320308</t>
  </si>
  <si>
    <t>440320827</t>
  </si>
  <si>
    <t>440321910</t>
  </si>
  <si>
    <t>440322059</t>
  </si>
  <si>
    <t>440322754</t>
  </si>
  <si>
    <t>440323081</t>
  </si>
  <si>
    <t>440323401</t>
  </si>
  <si>
    <t>440406151</t>
  </si>
  <si>
    <t>440419690</t>
  </si>
  <si>
    <t>440420661</t>
  </si>
  <si>
    <t>440404145</t>
  </si>
  <si>
    <t>440413490</t>
  </si>
  <si>
    <t>440414248</t>
  </si>
  <si>
    <t>440415300</t>
  </si>
  <si>
    <t>440415312</t>
  </si>
  <si>
    <t>440416407</t>
  </si>
  <si>
    <t>440400189</t>
  </si>
  <si>
    <t>440401167</t>
  </si>
  <si>
    <t>440401296</t>
  </si>
  <si>
    <t>440402122</t>
  </si>
  <si>
    <t>440405159</t>
  </si>
  <si>
    <t>440406982</t>
  </si>
  <si>
    <t>440407310</t>
  </si>
  <si>
    <t>440408529</t>
  </si>
  <si>
    <t>440413179</t>
  </si>
  <si>
    <t>440413678</t>
  </si>
  <si>
    <t>440414654</t>
  </si>
  <si>
    <t>440414788</t>
  </si>
  <si>
    <t>440415536</t>
  </si>
  <si>
    <t>440416336</t>
  </si>
  <si>
    <t>440416984</t>
  </si>
  <si>
    <t>440418098</t>
  </si>
  <si>
    <t>440419805</t>
  </si>
  <si>
    <t>440420250</t>
  </si>
  <si>
    <t>440420308</t>
  </si>
  <si>
    <t>440420827</t>
  </si>
  <si>
    <t>440421910</t>
  </si>
  <si>
    <t>440422059</t>
  </si>
  <si>
    <t>440422754</t>
  </si>
  <si>
    <t>440423081</t>
  </si>
  <si>
    <t>440423401</t>
  </si>
  <si>
    <t>420119805</t>
  </si>
  <si>
    <t>4302</t>
  </si>
  <si>
    <t>RPSPL-KNP</t>
  </si>
  <si>
    <t>KNP</t>
  </si>
  <si>
    <t>430206151</t>
  </si>
  <si>
    <t>430219690</t>
  </si>
  <si>
    <t>430220160</t>
  </si>
  <si>
    <t>430220661</t>
  </si>
  <si>
    <t>430204145</t>
  </si>
  <si>
    <t>430213490</t>
  </si>
  <si>
    <t>430214248</t>
  </si>
  <si>
    <t>430215300</t>
  </si>
  <si>
    <t>430215305</t>
  </si>
  <si>
    <t>430215312</t>
  </si>
  <si>
    <t>430216407</t>
  </si>
  <si>
    <t>430200189</t>
  </si>
  <si>
    <t>430201167</t>
  </si>
  <si>
    <t>430201296</t>
  </si>
  <si>
    <t>430202122</t>
  </si>
  <si>
    <t>430206982</t>
  </si>
  <si>
    <t>430207310</t>
  </si>
  <si>
    <t>430208529</t>
  </si>
  <si>
    <t>430213179</t>
  </si>
  <si>
    <t>430213678</t>
  </si>
  <si>
    <t>430214654</t>
  </si>
  <si>
    <t>430215536</t>
  </si>
  <si>
    <t>430216336</t>
  </si>
  <si>
    <t>430216984</t>
  </si>
  <si>
    <t>430216998</t>
  </si>
  <si>
    <t>430218098</t>
  </si>
  <si>
    <t>430219750</t>
  </si>
  <si>
    <t>430219805</t>
  </si>
  <si>
    <t>430220250</t>
  </si>
  <si>
    <t>430220308</t>
  </si>
  <si>
    <t>430220827</t>
  </si>
  <si>
    <t>430221910</t>
  </si>
  <si>
    <t>430222059</t>
  </si>
  <si>
    <t>430222754</t>
  </si>
  <si>
    <t>430223081</t>
  </si>
  <si>
    <t>200001296</t>
  </si>
  <si>
    <t>200002122</t>
  </si>
  <si>
    <t>200008529</t>
  </si>
  <si>
    <t>410023638</t>
  </si>
  <si>
    <t>420319805</t>
  </si>
  <si>
    <t>440023638</t>
  </si>
  <si>
    <t>440323638</t>
  </si>
  <si>
    <t>440423638</t>
  </si>
  <si>
    <t>UHT Dry(DD+Varsatie)</t>
  </si>
  <si>
    <t>200022754</t>
  </si>
  <si>
    <t>410019602</t>
  </si>
  <si>
    <t>410021235</t>
  </si>
  <si>
    <t>410420160</t>
  </si>
  <si>
    <t>410423638</t>
  </si>
  <si>
    <t>410423081</t>
  </si>
  <si>
    <t>420119690</t>
  </si>
  <si>
    <t>420316984</t>
  </si>
  <si>
    <t>430021235</t>
  </si>
  <si>
    <t>430123638</t>
  </si>
  <si>
    <t>430205159</t>
  </si>
  <si>
    <t>23055</t>
  </si>
  <si>
    <t>440023055</t>
  </si>
  <si>
    <t>Rich's Sunwhip Topping 1 kg</t>
  </si>
  <si>
    <t>440315305</t>
  </si>
  <si>
    <t>440305159</t>
  </si>
  <si>
    <t>23890</t>
  </si>
  <si>
    <t>440323890</t>
  </si>
  <si>
    <t>Whip Topping Base (India)</t>
  </si>
  <si>
    <t>440420160</t>
  </si>
  <si>
    <t>440419750</t>
  </si>
  <si>
    <t>410123055</t>
  </si>
  <si>
    <t>420119602</t>
  </si>
  <si>
    <t>440415305</t>
  </si>
  <si>
    <t>430023638</t>
  </si>
  <si>
    <t>440021910</t>
  </si>
  <si>
    <t>440423890</t>
  </si>
  <si>
    <t>420113678</t>
  </si>
  <si>
    <t>410423401</t>
  </si>
  <si>
    <t>1000</t>
  </si>
  <si>
    <t>3500</t>
  </si>
  <si>
    <t>Hub's</t>
  </si>
  <si>
    <t xml:space="preserve">Pune </t>
  </si>
  <si>
    <t>RMPM/Kuruli</t>
  </si>
  <si>
    <t xml:space="preserve">HP </t>
  </si>
  <si>
    <t>BNT-Bangalore TAC</t>
  </si>
  <si>
    <t>AH</t>
  </si>
  <si>
    <t>KL</t>
  </si>
  <si>
    <t>DL</t>
  </si>
  <si>
    <t>KN</t>
  </si>
  <si>
    <t>BN</t>
  </si>
  <si>
    <t>Ujjain</t>
  </si>
  <si>
    <t>200021910</t>
  </si>
  <si>
    <t>200022059</t>
  </si>
  <si>
    <t>200023890</t>
  </si>
  <si>
    <t>410023055</t>
  </si>
  <si>
    <t>410223055</t>
  </si>
  <si>
    <t>410421910</t>
  </si>
  <si>
    <t>410523055</t>
  </si>
  <si>
    <t>420019602</t>
  </si>
  <si>
    <t>420121910</t>
  </si>
  <si>
    <t>430019602</t>
  </si>
  <si>
    <t>430023890</t>
  </si>
  <si>
    <t>430123890</t>
  </si>
  <si>
    <t>440019602</t>
  </si>
  <si>
    <t>440121910</t>
  </si>
  <si>
    <t>440316998</t>
  </si>
  <si>
    <t>440319602</t>
  </si>
  <si>
    <t>440423055</t>
  </si>
  <si>
    <t>410601296</t>
  </si>
  <si>
    <t>HP Comman</t>
  </si>
  <si>
    <t>21493</t>
  </si>
  <si>
    <t>Rich Whip Topping 1KG (21493)</t>
  </si>
  <si>
    <t>200000189</t>
  </si>
  <si>
    <t>200001167</t>
  </si>
  <si>
    <t>200006151</t>
  </si>
  <si>
    <t>200006982</t>
  </si>
  <si>
    <t>200013678</t>
  </si>
  <si>
    <t>200018098</t>
  </si>
  <si>
    <t>200019805</t>
  </si>
  <si>
    <t>200020308</t>
  </si>
  <si>
    <t>200020661</t>
  </si>
  <si>
    <t>200023638</t>
  </si>
  <si>
    <t xml:space="preserve">previus </t>
  </si>
  <si>
    <t>yest</t>
  </si>
  <si>
    <t>RPSPL-PuneFactory</t>
  </si>
  <si>
    <t>RPSPL-HPFactory</t>
  </si>
  <si>
    <t>RPSPL-BNT-BangaloreTAC</t>
  </si>
  <si>
    <t>410121493</t>
  </si>
  <si>
    <t>430214788</t>
  </si>
  <si>
    <t>JP</t>
  </si>
  <si>
    <t>KO</t>
  </si>
  <si>
    <t>410121235</t>
  </si>
  <si>
    <t>410219602</t>
  </si>
  <si>
    <t>410221235</t>
  </si>
  <si>
    <t>410521235</t>
  </si>
  <si>
    <t>420319602</t>
  </si>
  <si>
    <t>420323890</t>
  </si>
  <si>
    <t>440021235</t>
  </si>
  <si>
    <t>440321235</t>
  </si>
  <si>
    <t>440421235</t>
  </si>
  <si>
    <t>CY Vs LY Diff.</t>
  </si>
  <si>
    <t>410421235</t>
  </si>
  <si>
    <t>23691</t>
  </si>
  <si>
    <t>RICH'S WT Gold 1 Kg (Middle East)</t>
  </si>
  <si>
    <t>410623890</t>
  </si>
  <si>
    <t>INV Cover (Ready Stock)</t>
  </si>
  <si>
    <t>INV Cover (R+T)</t>
  </si>
  <si>
    <t>INV Days (Ready Stock)</t>
  </si>
  <si>
    <t>In Transit</t>
  </si>
  <si>
    <t>24223</t>
  </si>
  <si>
    <t>Rich's Star Whip Prime 1 kg</t>
  </si>
  <si>
    <t>Common T&amp;I</t>
  </si>
  <si>
    <t>410607310</t>
  </si>
  <si>
    <t>410613678</t>
  </si>
  <si>
    <t>410620250</t>
  </si>
  <si>
    <t>410601167</t>
  </si>
  <si>
    <t>410606982</t>
  </si>
  <si>
    <t>410615536</t>
  </si>
  <si>
    <t>410616984</t>
  </si>
  <si>
    <t>410618098</t>
  </si>
  <si>
    <t>410620308</t>
  </si>
  <si>
    <t>410114220</t>
  </si>
  <si>
    <t>410619690</t>
  </si>
  <si>
    <t>410620160</t>
  </si>
  <si>
    <t>410620661</t>
  </si>
  <si>
    <t>410623638</t>
  </si>
  <si>
    <t>410604145</t>
  </si>
  <si>
    <t>410613490</t>
  </si>
  <si>
    <t>410614248</t>
  </si>
  <si>
    <t>410615300</t>
  </si>
  <si>
    <t>410615305</t>
  </si>
  <si>
    <t>410615312</t>
  </si>
  <si>
    <t>410616407</t>
  </si>
  <si>
    <t>410616998</t>
  </si>
  <si>
    <t>410619602</t>
  </si>
  <si>
    <t>410619750</t>
  </si>
  <si>
    <t>410619805</t>
  </si>
  <si>
    <t>410620827</t>
  </si>
  <si>
    <t>410622059</t>
  </si>
  <si>
    <t>410622754</t>
  </si>
  <si>
    <t>410623081</t>
  </si>
  <si>
    <t>Source as per VP</t>
  </si>
  <si>
    <t>DRY NGL+DD</t>
  </si>
  <si>
    <t>Comman</t>
  </si>
  <si>
    <t>Production Date</t>
  </si>
  <si>
    <t>K</t>
  </si>
  <si>
    <t>KK</t>
  </si>
  <si>
    <t>k</t>
  </si>
  <si>
    <t>kk</t>
  </si>
  <si>
    <t>Rich's Star Whip 2 kg </t>
  </si>
  <si>
    <t>Rich's Star Whip 1 Kg</t>
  </si>
  <si>
    <t>4108</t>
  </si>
  <si>
    <t>5100</t>
  </si>
  <si>
    <t>24768</t>
  </si>
  <si>
    <t>RWT Silver 2024 (1kg)</t>
  </si>
  <si>
    <t>RPSPLPL - PUNE HO</t>
  </si>
  <si>
    <t>Trail</t>
  </si>
  <si>
    <t>5000 &amp; 5200</t>
  </si>
  <si>
    <t>not to consider</t>
  </si>
  <si>
    <t>RWT Silver India 1kg</t>
  </si>
  <si>
    <t>410024768</t>
  </si>
  <si>
    <t>410124768</t>
  </si>
  <si>
    <t>410224768</t>
  </si>
  <si>
    <t>410424768</t>
  </si>
  <si>
    <t>410524768</t>
  </si>
  <si>
    <t>410624768</t>
  </si>
  <si>
    <t>410819690</t>
  </si>
  <si>
    <t>410820160</t>
  </si>
  <si>
    <t>410820661</t>
  </si>
  <si>
    <t>410823638</t>
  </si>
  <si>
    <t>410804145</t>
  </si>
  <si>
    <t>410813490</t>
  </si>
  <si>
    <t>410814248</t>
  </si>
  <si>
    <t>410815300</t>
  </si>
  <si>
    <t>410815305</t>
  </si>
  <si>
    <t>410815312</t>
  </si>
  <si>
    <t>410816407</t>
  </si>
  <si>
    <t>410801167</t>
  </si>
  <si>
    <t>410802122</t>
  </si>
  <si>
    <t>410806982</t>
  </si>
  <si>
    <t>410807310</t>
  </si>
  <si>
    <t>410813678</t>
  </si>
  <si>
    <t>410815536</t>
  </si>
  <si>
    <t>410816336</t>
  </si>
  <si>
    <t>410816984</t>
  </si>
  <si>
    <t>410816998</t>
  </si>
  <si>
    <t>410818098</t>
  </si>
  <si>
    <t>410819602</t>
  </si>
  <si>
    <t>410819750</t>
  </si>
  <si>
    <t>410819805</t>
  </si>
  <si>
    <t>410820308</t>
  </si>
  <si>
    <t>410820827</t>
  </si>
  <si>
    <t>410821910</t>
  </si>
  <si>
    <t>410822059</t>
  </si>
  <si>
    <t>410822754</t>
  </si>
  <si>
    <t>410823081</t>
  </si>
  <si>
    <t>410824223</t>
  </si>
  <si>
    <t>420024768</t>
  </si>
  <si>
    <t>420124768</t>
  </si>
  <si>
    <t>420324768</t>
  </si>
  <si>
    <t>430024768</t>
  </si>
  <si>
    <t>430124768</t>
  </si>
  <si>
    <t>430224768</t>
  </si>
  <si>
    <t>440024768</t>
  </si>
  <si>
    <t>440124768</t>
  </si>
  <si>
    <t>440324768</t>
  </si>
  <si>
    <t>440424768</t>
  </si>
  <si>
    <t>4304</t>
  </si>
  <si>
    <t>RPSPL-Sonipat</t>
  </si>
  <si>
    <t>Soni</t>
  </si>
  <si>
    <t>200023081</t>
  </si>
  <si>
    <t>430406151</t>
  </si>
  <si>
    <t>430419690</t>
  </si>
  <si>
    <t>430420160</t>
  </si>
  <si>
    <t>430420661</t>
  </si>
  <si>
    <t>430423638</t>
  </si>
  <si>
    <t>430404145</t>
  </si>
  <si>
    <t>430413490</t>
  </si>
  <si>
    <t>430414248</t>
  </si>
  <si>
    <t>430415300</t>
  </si>
  <si>
    <t>430415305</t>
  </si>
  <si>
    <t>430415312</t>
  </si>
  <si>
    <t>430416407</t>
  </si>
  <si>
    <t>430400189</t>
  </si>
  <si>
    <t>430401167</t>
  </si>
  <si>
    <t>430406982</t>
  </si>
  <si>
    <t>430413678</t>
  </si>
  <si>
    <t>430415536</t>
  </si>
  <si>
    <t>430415906</t>
  </si>
  <si>
    <t>430416984</t>
  </si>
  <si>
    <t>430416998</t>
  </si>
  <si>
    <t>430418098</t>
  </si>
  <si>
    <t>430419750</t>
  </si>
  <si>
    <t>430419805</t>
  </si>
  <si>
    <t>430420308</t>
  </si>
  <si>
    <t>430420827</t>
  </si>
  <si>
    <t>430421910</t>
  </si>
  <si>
    <t>430422059</t>
  </si>
  <si>
    <t>430422754</t>
  </si>
  <si>
    <t>430423081</t>
  </si>
  <si>
    <t>430424223</t>
  </si>
  <si>
    <t>430424768</t>
  </si>
  <si>
    <t>T&amp;I Comm-UF</t>
  </si>
  <si>
    <t>UF-Dry</t>
  </si>
  <si>
    <t>Ganache- UF</t>
  </si>
  <si>
    <t>UF Exclusive</t>
  </si>
  <si>
    <t>T&amp;I EX UF</t>
  </si>
  <si>
    <t>UF Comman</t>
  </si>
  <si>
    <t>HP Exclusive</t>
  </si>
  <si>
    <t>UF Required</t>
  </si>
  <si>
    <t>UF</t>
  </si>
  <si>
    <t>25616</t>
  </si>
  <si>
    <t>RWT Gold - 10 kg</t>
  </si>
  <si>
    <t>25570</t>
  </si>
  <si>
    <t>25598</t>
  </si>
  <si>
    <t>Rich'S Sun Whip Ultra (1 Kg) 2025</t>
  </si>
  <si>
    <t>Rich's Cheese Flv WT 1 kg (2025)</t>
  </si>
  <si>
    <t>200025570</t>
  </si>
  <si>
    <t>410125598</t>
  </si>
  <si>
    <t>430125570</t>
  </si>
  <si>
    <t>430125598</t>
  </si>
  <si>
    <t>25429</t>
  </si>
  <si>
    <t>Wilber Farm Low Fat (23 perc.)DairyCream</t>
  </si>
  <si>
    <t>410125429</t>
  </si>
  <si>
    <t>410425598</t>
  </si>
  <si>
    <t>430225598</t>
  </si>
  <si>
    <t>430425598</t>
  </si>
  <si>
    <t>cream</t>
  </si>
  <si>
    <t>T&amp;I EX HP 2 KG</t>
  </si>
  <si>
    <t>420025598</t>
  </si>
  <si>
    <t>420025616</t>
  </si>
  <si>
    <t>430125616</t>
  </si>
  <si>
    <t>20309</t>
  </si>
  <si>
    <t>Rich's Nufill Strawberry Fruit Filling 1</t>
  </si>
  <si>
    <t>410120309</t>
  </si>
  <si>
    <t>420325598</t>
  </si>
  <si>
    <t>440125570</t>
  </si>
  <si>
    <t>420125570</t>
  </si>
  <si>
    <t>420125598</t>
  </si>
  <si>
    <t>410025598</t>
  </si>
  <si>
    <t>440325570</t>
  </si>
  <si>
    <t>410425570</t>
  </si>
  <si>
    <t>440125616</t>
  </si>
  <si>
    <t>440425616</t>
  </si>
  <si>
    <t>25885</t>
  </si>
  <si>
    <t>RWT Dairy Flavoured 1 Kg</t>
  </si>
  <si>
    <t>410825885</t>
  </si>
  <si>
    <t>430425885</t>
  </si>
  <si>
    <t>440125885</t>
  </si>
  <si>
    <t>410125885</t>
  </si>
  <si>
    <t>440325616</t>
  </si>
  <si>
    <t>200023401</t>
  </si>
  <si>
    <t>410825598</t>
  </si>
  <si>
    <t>410525598</t>
  </si>
  <si>
    <t>420120160</t>
  </si>
  <si>
    <t>430121493</t>
  </si>
  <si>
    <t>T&amp;I Comm-PF</t>
  </si>
  <si>
    <t>T&amp;I common -HP 2 KG</t>
  </si>
  <si>
    <t>PF-Dry</t>
  </si>
  <si>
    <t>T&amp;I EX PF</t>
  </si>
  <si>
    <t>200023691</t>
  </si>
  <si>
    <t>T&amp;I common -PF 2 KG</t>
  </si>
  <si>
    <t>Ganache- PF</t>
  </si>
  <si>
    <t>410115459</t>
  </si>
  <si>
    <t>200005159</t>
  </si>
  <si>
    <t>410505159</t>
  </si>
  <si>
    <t>420005159</t>
  </si>
  <si>
    <t>430005159</t>
  </si>
  <si>
    <t>430105159</t>
  </si>
  <si>
    <t>200014654</t>
  </si>
  <si>
    <t>200014788</t>
  </si>
  <si>
    <t>430014788</t>
  </si>
  <si>
    <t>440115459</t>
  </si>
  <si>
    <t>200015906</t>
  </si>
  <si>
    <t>430115906</t>
  </si>
  <si>
    <t>200016336</t>
  </si>
  <si>
    <t>430023401</t>
  </si>
  <si>
    <t>420013179</t>
  </si>
  <si>
    <t>410613179</t>
  </si>
  <si>
    <t>410600189</t>
  </si>
  <si>
    <t>430123401</t>
  </si>
  <si>
    <t>410123691</t>
  </si>
  <si>
    <t>410616336</t>
  </si>
  <si>
    <t>430223401</t>
  </si>
  <si>
    <t>420023638</t>
  </si>
  <si>
    <t>420123638</t>
  </si>
  <si>
    <t>420323638</t>
  </si>
  <si>
    <t>430223638</t>
  </si>
  <si>
    <t>410024223</t>
  </si>
  <si>
    <t>410124223</t>
  </si>
  <si>
    <t>410224223</t>
  </si>
  <si>
    <t>410424223</t>
  </si>
  <si>
    <t>410524223</t>
  </si>
  <si>
    <t>420024223</t>
  </si>
  <si>
    <t>420124223</t>
  </si>
  <si>
    <t>420324223</t>
  </si>
  <si>
    <t>430024223</t>
  </si>
  <si>
    <t>430124223</t>
  </si>
  <si>
    <t>430224223</t>
  </si>
  <si>
    <t>440024223</t>
  </si>
  <si>
    <t>440124223</t>
  </si>
  <si>
    <t>440324223</t>
  </si>
  <si>
    <t>440424223</t>
  </si>
  <si>
    <t>420023401</t>
  </si>
  <si>
    <t>420123401</t>
  </si>
  <si>
    <t>420323401</t>
  </si>
  <si>
    <t>410523638</t>
  </si>
  <si>
    <t>430215906</t>
  </si>
  <si>
    <t>410223638</t>
  </si>
  <si>
    <t>410602122</t>
  </si>
  <si>
    <t>410608529</t>
  </si>
  <si>
    <t>410614654</t>
  </si>
  <si>
    <t>410614788</t>
  </si>
  <si>
    <t>410615906</t>
  </si>
  <si>
    <t>410621910</t>
  </si>
  <si>
    <t>410420308</t>
  </si>
  <si>
    <t>410605159</t>
  </si>
  <si>
    <t>410623401</t>
  </si>
  <si>
    <t>410624223</t>
  </si>
  <si>
    <t>410800189</t>
  </si>
  <si>
    <t>410801296</t>
  </si>
  <si>
    <t>410808529</t>
  </si>
  <si>
    <t>410813179</t>
  </si>
  <si>
    <t>410814654</t>
  </si>
  <si>
    <t>410814788</t>
  </si>
  <si>
    <t>510000189</t>
  </si>
  <si>
    <t>510007310</t>
  </si>
  <si>
    <t>510014788</t>
  </si>
  <si>
    <t>510016336</t>
  </si>
  <si>
    <t>510024223</t>
  </si>
  <si>
    <t>510024768</t>
  </si>
  <si>
    <t>410806151</t>
  </si>
  <si>
    <t>410820250</t>
  </si>
  <si>
    <t>410805159</t>
  </si>
  <si>
    <t>410823401</t>
  </si>
  <si>
    <t>410824768</t>
  </si>
  <si>
    <t>200016984</t>
  </si>
  <si>
    <t>410815906</t>
  </si>
  <si>
    <t>430401296</t>
  </si>
  <si>
    <t>430402122</t>
  </si>
  <si>
    <t>430407310</t>
  </si>
  <si>
    <t>430408529</t>
  </si>
  <si>
    <t>430413179</t>
  </si>
  <si>
    <t>430414654</t>
  </si>
  <si>
    <t>430416336</t>
  </si>
  <si>
    <t>430405159</t>
  </si>
  <si>
    <t>430423401</t>
  </si>
  <si>
    <t>200015459</t>
  </si>
  <si>
    <t>430115459</t>
  </si>
  <si>
    <t>200015536</t>
  </si>
  <si>
    <t>200024223</t>
  </si>
  <si>
    <t>410123890</t>
  </si>
  <si>
    <t>200025616</t>
  </si>
  <si>
    <t>440025616</t>
  </si>
  <si>
    <t>200019750</t>
  </si>
  <si>
    <t>410125570</t>
  </si>
  <si>
    <t>440125598</t>
  </si>
  <si>
    <t>440425598</t>
  </si>
  <si>
    <t>440325598</t>
  </si>
  <si>
    <t>440025598</t>
  </si>
  <si>
    <t>24216</t>
  </si>
  <si>
    <t>Versatie Export</t>
  </si>
  <si>
    <t>410525885</t>
  </si>
  <si>
    <t>420025885</t>
  </si>
  <si>
    <t>420125885</t>
  </si>
  <si>
    <t>420325885</t>
  </si>
  <si>
    <t>430125885</t>
  </si>
  <si>
    <t>410425885</t>
  </si>
  <si>
    <t>430225885</t>
  </si>
  <si>
    <t>440025885</t>
  </si>
  <si>
    <t>440325885</t>
  </si>
  <si>
    <t>410025885</t>
  </si>
  <si>
    <t>430425570</t>
  </si>
  <si>
    <t>440425885</t>
  </si>
  <si>
    <t>420025570</t>
  </si>
  <si>
    <t>200025598</t>
  </si>
  <si>
    <t>410025570</t>
  </si>
  <si>
    <t>420114220</t>
  </si>
  <si>
    <t>430225570</t>
  </si>
  <si>
    <t>440025570</t>
  </si>
  <si>
    <t>410823691</t>
  </si>
  <si>
    <t>410823890</t>
  </si>
  <si>
    <t>430123691</t>
  </si>
  <si>
    <t>26234</t>
  </si>
  <si>
    <t>Rich'S Decadent Topping 1 Kg</t>
  </si>
  <si>
    <t>410826234</t>
  </si>
  <si>
    <t>410026234</t>
  </si>
  <si>
    <t>430426234</t>
  </si>
  <si>
    <t>440326234</t>
  </si>
  <si>
    <t>Rich's Decadent Whip Topping 1 Kg</t>
  </si>
  <si>
    <t>410126234</t>
  </si>
  <si>
    <t>26026</t>
  </si>
  <si>
    <t>Rich'S UHT Multipurpose Beverage Base</t>
  </si>
  <si>
    <t>410126026</t>
  </si>
  <si>
    <t>200021493</t>
  </si>
  <si>
    <t>26192</t>
  </si>
  <si>
    <t>Rich's Cooking Cream</t>
  </si>
  <si>
    <t>440126234</t>
  </si>
  <si>
    <t>440426234</t>
  </si>
  <si>
    <t>410126192</t>
  </si>
  <si>
    <t>430426192</t>
  </si>
  <si>
    <t>26193</t>
  </si>
  <si>
    <t>Rich's Truffle Base Dairy</t>
  </si>
  <si>
    <t>410126193</t>
  </si>
  <si>
    <t>430426193</t>
  </si>
  <si>
    <t>440126192</t>
  </si>
  <si>
    <t>440126193</t>
  </si>
  <si>
    <t>410026192</t>
  </si>
  <si>
    <t>410026193</t>
  </si>
  <si>
    <t>420026192</t>
  </si>
  <si>
    <t>420026193</t>
  </si>
  <si>
    <t>430226192</t>
  </si>
  <si>
    <t>430226193</t>
  </si>
  <si>
    <t>430221235</t>
  </si>
  <si>
    <t>440026192</t>
  </si>
  <si>
    <t>440026193</t>
  </si>
  <si>
    <t>440426192</t>
  </si>
  <si>
    <t>440426193</t>
  </si>
  <si>
    <t>430226234</t>
  </si>
  <si>
    <t>430414788</t>
  </si>
  <si>
    <t>430126234</t>
  </si>
  <si>
    <t>420026234</t>
  </si>
  <si>
    <t>440425570</t>
  </si>
  <si>
    <t>410826026</t>
  </si>
  <si>
    <t>420126192</t>
  </si>
  <si>
    <t>430423890</t>
  </si>
  <si>
    <t>440123890</t>
  </si>
  <si>
    <t>410525570</t>
  </si>
  <si>
    <t>410825570</t>
  </si>
  <si>
    <t>Rich's ICEHOT All in one beverage base</t>
  </si>
  <si>
    <t>Rich's dairy cooking cream</t>
  </si>
  <si>
    <t>Rich's ICEHOT Multipurpose Base-UHT</t>
  </si>
  <si>
    <t>Rich's dairy Truffle Base</t>
  </si>
  <si>
    <t>440126026</t>
  </si>
  <si>
    <t>Category</t>
  </si>
  <si>
    <t>25781</t>
  </si>
  <si>
    <t>200025781</t>
  </si>
  <si>
    <t>RTB Original 2 Kg MIDDLE EAST</t>
  </si>
  <si>
    <t>26744</t>
  </si>
  <si>
    <t>26745</t>
  </si>
  <si>
    <t>RPSPL-IM</t>
  </si>
  <si>
    <t>410826744</t>
  </si>
  <si>
    <t>410826745</t>
  </si>
  <si>
    <t>Rich's Nufill Red Cherry Fruit Filling 1</t>
  </si>
  <si>
    <t>Rich's Nufill Pineaaple Fruit Filling 1k</t>
  </si>
  <si>
    <t>PF MFG</t>
  </si>
  <si>
    <t xml:space="preserve"> RF May'26</t>
  </si>
  <si>
    <t xml:space="preserve"> RF May- 26</t>
  </si>
  <si>
    <t>Sum of  RF May- 26</t>
  </si>
  <si>
    <t>RF Pendency %</t>
  </si>
  <si>
    <t>27021</t>
  </si>
  <si>
    <t>RWT Milky Bliss 1 Kg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</si>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</sst>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00"/>
    <numFmt numFmtId="167" formatCode="0.0%"/>
    <numFmt numFmtId="168" formatCode="0;[Red]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</font>
    <font>
      <sz val="9"/>
      <name val="Cambria"/>
      <family val="1"/>
    </font>
    <font>
      <sz val="10"/>
      <name val="Cambria"/>
      <family val="1"/>
    </font>
    <font>
      <sz val="9"/>
      <color theme="1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b/>
      <sz val="9"/>
      <name val="Cambria"/>
      <family val="1"/>
    </font>
    <font>
      <sz val="10"/>
      <name val="Arial"/>
      <family val="2"/>
    </font>
    <font>
      <sz val="9"/>
      <color theme="5" tint="0.59999389629810485"/>
      <name val="Cambria"/>
      <family val="1"/>
    </font>
    <font>
      <b/>
      <i/>
      <sz val="9"/>
      <color theme="1"/>
      <name val="Calibri"/>
      <family val="2"/>
      <scheme val="minor"/>
    </font>
    <font>
      <sz val="10"/>
      <color theme="3" tint="0.39997558519241921"/>
      <name val="Cambria"/>
      <family val="1"/>
    </font>
    <font>
      <sz val="10"/>
      <color rgb="FF000000"/>
      <name val="Cambria"/>
      <family val="1"/>
    </font>
    <font>
      <sz val="10"/>
      <color rgb="FF000000"/>
      <name val="Calibri"/>
      <family val="2"/>
      <scheme val="minor"/>
    </font>
    <font>
      <sz val="10"/>
      <color rgb="FF202124"/>
      <name val="Cambria"/>
      <family val="1"/>
    </font>
    <font>
      <sz val="10"/>
      <color theme="0" tint="-0.14999847407452621"/>
      <name val="Cambria"/>
      <family val="1"/>
    </font>
    <font>
      <b/>
      <sz val="9"/>
      <color theme="0"/>
      <name val="Calibri"/>
      <family val="2"/>
      <scheme val="minor"/>
    </font>
    <font>
      <b/>
      <sz val="10"/>
      <color theme="0"/>
      <name val="Cambria"/>
      <family val="1"/>
    </font>
    <font>
      <sz val="10"/>
      <color theme="0"/>
      <name val="Calibri"/>
      <family val="2"/>
      <scheme val="minor"/>
    </font>
    <font>
      <sz val="10"/>
      <color theme="0"/>
      <name val="Cambria"/>
      <family val="1"/>
    </font>
    <font>
      <sz val="9"/>
      <color theme="0"/>
      <name val="Cambria"/>
      <family val="1"/>
    </font>
    <font>
      <sz val="9"/>
      <color theme="0"/>
      <name val="Calibri"/>
      <family val="2"/>
      <scheme val="minor"/>
    </font>
    <font>
      <b/>
      <sz val="10"/>
      <color theme="1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0"/>
      <name val="Cam'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.5"/>
      <color theme="1"/>
      <name val="Verdana"/>
      <family val="2"/>
    </font>
    <font>
      <b/>
      <sz val="8.5"/>
      <color rgb="FFC00000"/>
      <name val="Verdana"/>
      <family val="2"/>
    </font>
    <font>
      <b/>
      <sz val="14"/>
      <color rgb="FFC00000"/>
      <name val="Verdana"/>
      <family val="2"/>
    </font>
    <font>
      <b/>
      <sz val="9"/>
      <color theme="1"/>
      <name val="Cambria"/>
      <family val="1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42" fillId="0" borderId="0"/>
    <xf numFmtId="0" fontId="43" fillId="0" borderId="0"/>
  </cellStyleXfs>
  <cellXfs count="659">
    <xf numFmtId="0" fontId="0" fillId="0" borderId="0" xfId="0"/>
    <xf numFmtId="1" fontId="0" fillId="0" borderId="0" xfId="0" applyNumberFormat="1"/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8" xfId="0" applyFont="1" applyBorder="1"/>
    <xf numFmtId="0" fontId="7" fillId="0" borderId="0" xfId="0" applyFont="1" applyAlignment="1">
      <alignment horizontal="center" vertical="top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0" fontId="5" fillId="0" borderId="0" xfId="0" pivotButton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1" fontId="5" fillId="4" borderId="13" xfId="0" applyNumberFormat="1" applyFont="1" applyFill="1" applyBorder="1" applyAlignment="1">
      <alignment horizontal="center"/>
    </xf>
    <xf numFmtId="0" fontId="8" fillId="13" borderId="13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5" fillId="0" borderId="0" xfId="0" pivotButton="1" applyFont="1" applyAlignment="1">
      <alignment horizontal="center" wrapText="1"/>
    </xf>
    <xf numFmtId="9" fontId="5" fillId="0" borderId="0" xfId="1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pivotButton="1" applyFont="1" applyAlignment="1">
      <alignment horizontal="center" vertical="center" wrapText="1"/>
    </xf>
    <xf numFmtId="0" fontId="5" fillId="0" borderId="0" xfId="0" pivotButton="1" applyFont="1" applyAlignment="1">
      <alignment vertical="center"/>
    </xf>
    <xf numFmtId="0" fontId="5" fillId="0" borderId="0" xfId="0" applyFont="1" applyAlignment="1">
      <alignment vertical="center"/>
    </xf>
    <xf numFmtId="0" fontId="5" fillId="15" borderId="0" xfId="0" applyFont="1" applyFill="1" applyAlignment="1">
      <alignment horizontal="center"/>
    </xf>
    <xf numFmtId="0" fontId="7" fillId="0" borderId="0" xfId="0" applyFont="1" applyAlignment="1">
      <alignment horizontal="center" vertical="top" wrapText="1"/>
    </xf>
    <xf numFmtId="9" fontId="8" fillId="0" borderId="0" xfId="1" applyFont="1" applyFill="1" applyAlignment="1">
      <alignment horizontal="center" wrapText="1"/>
    </xf>
    <xf numFmtId="3" fontId="15" fillId="0" borderId="0" xfId="0" applyNumberFormat="1" applyFont="1"/>
    <xf numFmtId="0" fontId="16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/>
    <xf numFmtId="1" fontId="4" fillId="0" borderId="0" xfId="0" applyNumberFormat="1" applyFont="1"/>
    <xf numFmtId="1" fontId="18" fillId="0" borderId="0" xfId="0" applyNumberFormat="1" applyFont="1"/>
    <xf numFmtId="0" fontId="5" fillId="16" borderId="0" xfId="0" applyFont="1" applyFill="1" applyAlignment="1">
      <alignment horizontal="center" wrapText="1"/>
    </xf>
    <xf numFmtId="0" fontId="6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3" fillId="0" borderId="0" xfId="0" applyFont="1"/>
    <xf numFmtId="0" fontId="25" fillId="0" borderId="0" xfId="0" applyFont="1" applyAlignment="1">
      <alignment horizontal="center"/>
    </xf>
    <xf numFmtId="0" fontId="0" fillId="0" borderId="16" xfId="0" applyBorder="1"/>
    <xf numFmtId="0" fontId="5" fillId="0" borderId="0" xfId="0" pivotButton="1" applyFont="1" applyAlignment="1">
      <alignment vertical="center" wrapText="1"/>
    </xf>
    <xf numFmtId="0" fontId="5" fillId="16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9" fontId="28" fillId="16" borderId="0" xfId="1" applyFont="1" applyFill="1" applyAlignment="1">
      <alignment horizontal="center" vertical="top"/>
    </xf>
    <xf numFmtId="0" fontId="21" fillId="0" borderId="0" xfId="0" applyFont="1" applyAlignment="1">
      <alignment horizontal="center" vertical="top"/>
    </xf>
    <xf numFmtId="1" fontId="21" fillId="16" borderId="0" xfId="0" applyNumberFormat="1" applyFont="1" applyFill="1" applyAlignment="1">
      <alignment horizontal="left" vertical="top"/>
    </xf>
    <xf numFmtId="0" fontId="21" fillId="16" borderId="0" xfId="0" applyFont="1" applyFill="1" applyAlignment="1">
      <alignment horizontal="left" vertical="top"/>
    </xf>
    <xf numFmtId="0" fontId="5" fillId="16" borderId="0" xfId="0" applyFont="1" applyFill="1" applyAlignment="1">
      <alignment horizontal="center"/>
    </xf>
    <xf numFmtId="1" fontId="5" fillId="16" borderId="0" xfId="0" applyNumberFormat="1" applyFont="1" applyFill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5" xfId="0" applyFont="1" applyBorder="1"/>
    <xf numFmtId="1" fontId="22" fillId="0" borderId="8" xfId="0" applyNumberFormat="1" applyFont="1" applyBorder="1" applyAlignment="1">
      <alignment horizontal="center" vertical="top"/>
    </xf>
    <xf numFmtId="0" fontId="0" fillId="0" borderId="2" xfId="0" applyBorder="1"/>
    <xf numFmtId="0" fontId="7" fillId="0" borderId="8" xfId="0" applyFont="1" applyBorder="1" applyAlignment="1">
      <alignment horizontal="center" vertical="top"/>
    </xf>
    <xf numFmtId="9" fontId="0" fillId="0" borderId="0" xfId="1" applyFont="1" applyAlignment="1">
      <alignment horizontal="center"/>
    </xf>
    <xf numFmtId="10" fontId="23" fillId="0" borderId="0" xfId="1" applyNumberFormat="1" applyFont="1" applyAlignment="1"/>
    <xf numFmtId="1" fontId="0" fillId="0" borderId="0" xfId="0" applyNumberFormat="1" applyAlignment="1">
      <alignment vertical="center"/>
    </xf>
    <xf numFmtId="0" fontId="7" fillId="7" borderId="8" xfId="0" applyFont="1" applyFill="1" applyBorder="1" applyAlignment="1">
      <alignment horizontal="center" vertical="top" wrapText="1"/>
    </xf>
    <xf numFmtId="0" fontId="5" fillId="0" borderId="1" xfId="0" applyFont="1" applyBorder="1"/>
    <xf numFmtId="0" fontId="5" fillId="0" borderId="2" xfId="0" applyFont="1" applyBorder="1"/>
    <xf numFmtId="0" fontId="5" fillId="0" borderId="10" xfId="0" applyFont="1" applyBorder="1"/>
    <xf numFmtId="0" fontId="5" fillId="0" borderId="6" xfId="0" applyFont="1" applyBorder="1"/>
    <xf numFmtId="9" fontId="0" fillId="0" borderId="0" xfId="1" applyFont="1"/>
    <xf numFmtId="4" fontId="5" fillId="0" borderId="0" xfId="0" applyNumberFormat="1" applyFont="1"/>
    <xf numFmtId="0" fontId="0" fillId="0" borderId="0" xfId="0" applyAlignment="1">
      <alignment horizontal="center" vertical="top"/>
    </xf>
    <xf numFmtId="0" fontId="23" fillId="16" borderId="17" xfId="0" applyFont="1" applyFill="1" applyBorder="1" applyAlignment="1">
      <alignment horizontal="left" vertical="top"/>
    </xf>
    <xf numFmtId="166" fontId="23" fillId="16" borderId="17" xfId="0" applyNumberFormat="1" applyFont="1" applyFill="1" applyBorder="1" applyAlignment="1">
      <alignment horizontal="left" vertical="top"/>
    </xf>
    <xf numFmtId="9" fontId="21" fillId="16" borderId="17" xfId="1" applyFont="1" applyFill="1" applyBorder="1" applyAlignment="1">
      <alignment horizontal="center" vertical="top"/>
    </xf>
    <xf numFmtId="1" fontId="21" fillId="16" borderId="17" xfId="0" applyNumberFormat="1" applyFont="1" applyFill="1" applyBorder="1" applyAlignment="1">
      <alignment horizontal="center" vertical="top"/>
    </xf>
    <xf numFmtId="0" fontId="22" fillId="0" borderId="22" xfId="0" applyFont="1" applyBorder="1" applyAlignment="1">
      <alignment vertical="top" wrapText="1"/>
    </xf>
    <xf numFmtId="1" fontId="22" fillId="0" borderId="25" xfId="0" applyNumberFormat="1" applyFont="1" applyBorder="1" applyAlignment="1">
      <alignment horizontal="center" vertical="top"/>
    </xf>
    <xf numFmtId="0" fontId="0" fillId="0" borderId="17" xfId="0" applyBorder="1"/>
    <xf numFmtId="0" fontId="5" fillId="0" borderId="17" xfId="0" applyFont="1" applyBorder="1" applyAlignment="1">
      <alignment vertical="top"/>
    </xf>
    <xf numFmtId="0" fontId="0" fillId="0" borderId="22" xfId="0" applyBorder="1"/>
    <xf numFmtId="0" fontId="0" fillId="0" borderId="24" xfId="0" applyBorder="1"/>
    <xf numFmtId="0" fontId="22" fillId="0" borderId="27" xfId="0" applyFont="1" applyBorder="1" applyAlignment="1">
      <alignment vertical="top" wrapText="1"/>
    </xf>
    <xf numFmtId="1" fontId="5" fillId="0" borderId="22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5" xfId="0" applyFont="1" applyBorder="1"/>
    <xf numFmtId="1" fontId="22" fillId="0" borderId="28" xfId="0" applyNumberFormat="1" applyFont="1" applyBorder="1" applyAlignment="1">
      <alignment horizontal="center" vertical="top"/>
    </xf>
    <xf numFmtId="1" fontId="22" fillId="0" borderId="0" xfId="0" applyNumberFormat="1" applyFont="1" applyAlignment="1">
      <alignment horizontal="center" vertical="top"/>
    </xf>
    <xf numFmtId="0" fontId="22" fillId="5" borderId="10" xfId="0" applyFont="1" applyFill="1" applyBorder="1" applyAlignment="1">
      <alignment horizontal="center" vertical="top" wrapText="1"/>
    </xf>
    <xf numFmtId="0" fontId="24" fillId="5" borderId="15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9" fillId="4" borderId="20" xfId="0" applyFont="1" applyFill="1" applyBorder="1" applyAlignment="1">
      <alignment horizontal="center" vertical="top" wrapText="1"/>
    </xf>
    <xf numFmtId="0" fontId="19" fillId="4" borderId="19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0" xfId="0" applyFont="1" applyFill="1" applyBorder="1" applyAlignment="1">
      <alignment horizontal="center" vertical="center" wrapText="1"/>
    </xf>
    <xf numFmtId="1" fontId="7" fillId="0" borderId="25" xfId="0" applyNumberFormat="1" applyFont="1" applyBorder="1" applyAlignment="1">
      <alignment horizontal="center" vertical="top"/>
    </xf>
    <xf numFmtId="1" fontId="7" fillId="0" borderId="22" xfId="0" applyNumberFormat="1" applyFont="1" applyBorder="1" applyAlignment="1">
      <alignment horizontal="center" vertical="top"/>
    </xf>
    <xf numFmtId="1" fontId="7" fillId="0" borderId="23" xfId="0" applyNumberFormat="1" applyFont="1" applyBorder="1" applyAlignment="1">
      <alignment horizontal="center" vertical="top"/>
    </xf>
    <xf numFmtId="1" fontId="7" fillId="0" borderId="24" xfId="0" applyNumberFormat="1" applyFont="1" applyBorder="1" applyAlignment="1">
      <alignment horizontal="center" vertical="top"/>
    </xf>
    <xf numFmtId="1" fontId="14" fillId="0" borderId="25" xfId="0" applyNumberFormat="1" applyFont="1" applyBorder="1" applyAlignment="1">
      <alignment horizontal="center" vertical="top"/>
    </xf>
    <xf numFmtId="1" fontId="7" fillId="0" borderId="26" xfId="0" applyNumberFormat="1" applyFont="1" applyBorder="1" applyAlignment="1">
      <alignment horizontal="center" vertical="top"/>
    </xf>
    <xf numFmtId="0" fontId="9" fillId="0" borderId="20" xfId="0" applyFont="1" applyBorder="1" applyAlignment="1">
      <alignment horizontal="center" vertical="center"/>
    </xf>
    <xf numFmtId="0" fontId="8" fillId="0" borderId="22" xfId="0" applyFont="1" applyBorder="1"/>
    <xf numFmtId="0" fontId="8" fillId="15" borderId="22" xfId="0" applyFont="1" applyFill="1" applyBorder="1"/>
    <xf numFmtId="0" fontId="8" fillId="0" borderId="24" xfId="0" applyFont="1" applyBorder="1"/>
    <xf numFmtId="1" fontId="5" fillId="0" borderId="28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0" fontId="19" fillId="4" borderId="18" xfId="0" applyFont="1" applyFill="1" applyBorder="1" applyAlignment="1">
      <alignment horizontal="center" vertical="top" wrapText="1"/>
    </xf>
    <xf numFmtId="0" fontId="19" fillId="5" borderId="38" xfId="0" applyFont="1" applyFill="1" applyBorder="1" applyAlignment="1">
      <alignment horizontal="center" vertical="top" wrapText="1"/>
    </xf>
    <xf numFmtId="0" fontId="4" fillId="0" borderId="24" xfId="0" applyFont="1" applyBorder="1"/>
    <xf numFmtId="1" fontId="22" fillId="0" borderId="5" xfId="0" applyNumberFormat="1" applyFont="1" applyBorder="1" applyAlignment="1">
      <alignment horizontal="center" vertical="top"/>
    </xf>
    <xf numFmtId="1" fontId="24" fillId="0" borderId="0" xfId="0" applyNumberFormat="1" applyFont="1" applyAlignment="1">
      <alignment horizontal="center" vertical="top"/>
    </xf>
    <xf numFmtId="1" fontId="22" fillId="0" borderId="6" xfId="0" applyNumberFormat="1" applyFont="1" applyBorder="1" applyAlignment="1">
      <alignment horizontal="center" vertical="top"/>
    </xf>
    <xf numFmtId="1" fontId="22" fillId="0" borderId="7" xfId="0" applyNumberFormat="1" applyFont="1" applyBorder="1" applyAlignment="1">
      <alignment horizontal="center" vertical="top"/>
    </xf>
    <xf numFmtId="1" fontId="24" fillId="0" borderId="8" xfId="0" applyNumberFormat="1" applyFont="1" applyBorder="1" applyAlignment="1">
      <alignment horizontal="center" vertical="top"/>
    </xf>
    <xf numFmtId="1" fontId="22" fillId="0" borderId="9" xfId="0" applyNumberFormat="1" applyFont="1" applyBorder="1" applyAlignment="1">
      <alignment horizontal="center" vertical="top"/>
    </xf>
    <xf numFmtId="0" fontId="22" fillId="4" borderId="3" xfId="0" applyFont="1" applyFill="1" applyBorder="1" applyAlignment="1">
      <alignment horizontal="center" vertical="top" wrapText="1"/>
    </xf>
    <xf numFmtId="0" fontId="22" fillId="4" borderId="13" xfId="0" applyFont="1" applyFill="1" applyBorder="1" applyAlignment="1">
      <alignment horizontal="center" vertical="top" wrapText="1"/>
    </xf>
    <xf numFmtId="0" fontId="22" fillId="4" borderId="4" xfId="0" applyFont="1" applyFill="1" applyBorder="1" applyAlignment="1">
      <alignment horizontal="center" vertical="top" wrapText="1"/>
    </xf>
    <xf numFmtId="0" fontId="8" fillId="9" borderId="14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top"/>
    </xf>
    <xf numFmtId="0" fontId="25" fillId="0" borderId="0" xfId="0" applyFont="1"/>
    <xf numFmtId="0" fontId="30" fillId="0" borderId="0" xfId="0" applyFont="1"/>
    <xf numFmtId="0" fontId="30" fillId="0" borderId="0" xfId="0" applyFont="1" applyAlignment="1">
      <alignment horizontal="center"/>
    </xf>
    <xf numFmtId="0" fontId="25" fillId="0" borderId="28" xfId="0" applyFont="1" applyBorder="1"/>
    <xf numFmtId="1" fontId="25" fillId="0" borderId="28" xfId="0" applyNumberFormat="1" applyFont="1" applyBorder="1" applyAlignment="1">
      <alignment horizontal="center"/>
    </xf>
    <xf numFmtId="1" fontId="22" fillId="0" borderId="34" xfId="0" applyNumberFormat="1" applyFont="1" applyBorder="1" applyAlignment="1">
      <alignment horizontal="center" vertical="top" wrapText="1"/>
    </xf>
    <xf numFmtId="1" fontId="25" fillId="0" borderId="22" xfId="0" applyNumberFormat="1" applyFont="1" applyBorder="1" applyAlignment="1">
      <alignment horizontal="center" vertical="center"/>
    </xf>
    <xf numFmtId="1" fontId="25" fillId="0" borderId="0" xfId="0" applyNumberFormat="1" applyFont="1"/>
    <xf numFmtId="1" fontId="25" fillId="0" borderId="0" xfId="0" applyNumberFormat="1" applyFont="1" applyAlignment="1">
      <alignment horizontal="center"/>
    </xf>
    <xf numFmtId="1" fontId="22" fillId="0" borderId="35" xfId="0" applyNumberFormat="1" applyFont="1" applyBorder="1" applyAlignment="1">
      <alignment horizontal="center" vertical="top" wrapText="1"/>
    </xf>
    <xf numFmtId="0" fontId="25" fillId="0" borderId="23" xfId="0" applyFont="1" applyBorder="1" applyAlignment="1">
      <alignment horizontal="center"/>
    </xf>
    <xf numFmtId="0" fontId="25" fillId="0" borderId="25" xfId="0" applyFont="1" applyBorder="1"/>
    <xf numFmtId="1" fontId="25" fillId="0" borderId="25" xfId="0" applyNumberFormat="1" applyFont="1" applyBorder="1" applyAlignment="1">
      <alignment horizontal="center"/>
    </xf>
    <xf numFmtId="1" fontId="22" fillId="0" borderId="36" xfId="0" applyNumberFormat="1" applyFont="1" applyBorder="1" applyAlignment="1">
      <alignment horizontal="center" vertical="top" wrapText="1"/>
    </xf>
    <xf numFmtId="1" fontId="25" fillId="0" borderId="24" xfId="0" applyNumberFormat="1" applyFont="1" applyBorder="1" applyAlignment="1">
      <alignment horizontal="center" vertical="center"/>
    </xf>
    <xf numFmtId="1" fontId="25" fillId="0" borderId="25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1" fontId="22" fillId="0" borderId="28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 wrapText="1" readingOrder="1"/>
    </xf>
    <xf numFmtId="1" fontId="22" fillId="0" borderId="0" xfId="0" applyNumberFormat="1" applyFont="1" applyAlignment="1">
      <alignment horizontal="center" vertical="top" wrapText="1"/>
    </xf>
    <xf numFmtId="0" fontId="25" fillId="16" borderId="0" xfId="0" applyFont="1" applyFill="1"/>
    <xf numFmtId="1" fontId="22" fillId="0" borderId="25" xfId="0" applyNumberFormat="1" applyFont="1" applyBorder="1" applyAlignment="1">
      <alignment horizontal="center" vertical="top" wrapText="1"/>
    </xf>
    <xf numFmtId="0" fontId="4" fillId="0" borderId="27" xfId="0" applyFont="1" applyBorder="1"/>
    <xf numFmtId="0" fontId="4" fillId="0" borderId="22" xfId="0" applyFont="1" applyBorder="1"/>
    <xf numFmtId="1" fontId="4" fillId="0" borderId="6" xfId="0" applyNumberFormat="1" applyFont="1" applyBorder="1" applyAlignment="1">
      <alignment horizontal="center"/>
    </xf>
    <xf numFmtId="1" fontId="22" fillId="0" borderId="23" xfId="0" applyNumberFormat="1" applyFont="1" applyBorder="1" applyAlignment="1">
      <alignment horizontal="center" vertical="top"/>
    </xf>
    <xf numFmtId="1" fontId="22" fillId="0" borderId="22" xfId="0" applyNumberFormat="1" applyFont="1" applyBorder="1" applyAlignment="1">
      <alignment horizontal="center" vertical="top"/>
    </xf>
    <xf numFmtId="1" fontId="24" fillId="0" borderId="25" xfId="0" applyNumberFormat="1" applyFont="1" applyBorder="1" applyAlignment="1">
      <alignment horizontal="center" vertical="top"/>
    </xf>
    <xf numFmtId="1" fontId="22" fillId="0" borderId="26" xfId="0" applyNumberFormat="1" applyFont="1" applyBorder="1" applyAlignment="1">
      <alignment horizontal="center" vertical="top"/>
    </xf>
    <xf numFmtId="1" fontId="22" fillId="0" borderId="24" xfId="0" applyNumberFormat="1" applyFont="1" applyBorder="1" applyAlignment="1">
      <alignment horizontal="center" vertical="top"/>
    </xf>
    <xf numFmtId="1" fontId="22" fillId="0" borderId="11" xfId="0" applyNumberFormat="1" applyFont="1" applyBorder="1" applyAlignment="1">
      <alignment horizontal="center" vertical="top" wrapText="1"/>
    </xf>
    <xf numFmtId="0" fontId="25" fillId="0" borderId="22" xfId="0" applyFont="1" applyBorder="1" applyAlignment="1">
      <alignment vertical="top"/>
    </xf>
    <xf numFmtId="1" fontId="22" fillId="0" borderId="12" xfId="0" applyNumberFormat="1" applyFont="1" applyBorder="1" applyAlignment="1">
      <alignment horizontal="center" vertical="top" wrapText="1"/>
    </xf>
    <xf numFmtId="0" fontId="24" fillId="5" borderId="29" xfId="0" applyFont="1" applyFill="1" applyBorder="1" applyAlignment="1">
      <alignment horizontal="center" vertical="top" wrapText="1"/>
    </xf>
    <xf numFmtId="0" fontId="24" fillId="5" borderId="28" xfId="0" applyFont="1" applyFill="1" applyBorder="1" applyAlignment="1">
      <alignment horizontal="center" vertical="top" wrapText="1"/>
    </xf>
    <xf numFmtId="1" fontId="22" fillId="0" borderId="23" xfId="0" applyNumberFormat="1" applyFont="1" applyBorder="1" applyAlignment="1">
      <alignment horizontal="center" vertical="top" wrapText="1"/>
    </xf>
    <xf numFmtId="0" fontId="25" fillId="0" borderId="23" xfId="0" applyFont="1" applyBorder="1"/>
    <xf numFmtId="0" fontId="25" fillId="0" borderId="24" xfId="0" applyFont="1" applyBorder="1"/>
    <xf numFmtId="0" fontId="25" fillId="0" borderId="26" xfId="0" applyFont="1" applyBorder="1"/>
    <xf numFmtId="1" fontId="22" fillId="0" borderId="26" xfId="0" applyNumberFormat="1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/>
    </xf>
    <xf numFmtId="1" fontId="25" fillId="0" borderId="6" xfId="0" applyNumberFormat="1" applyFont="1" applyBorder="1" applyAlignment="1">
      <alignment horizontal="center"/>
    </xf>
    <xf numFmtId="1" fontId="25" fillId="0" borderId="22" xfId="0" applyNumberFormat="1" applyFont="1" applyBorder="1" applyAlignment="1">
      <alignment horizontal="center"/>
    </xf>
    <xf numFmtId="0" fontId="25" fillId="17" borderId="0" xfId="0" applyFont="1" applyFill="1"/>
    <xf numFmtId="1" fontId="25" fillId="0" borderId="32" xfId="0" applyNumberFormat="1" applyFont="1" applyBorder="1" applyAlignment="1">
      <alignment horizontal="center"/>
    </xf>
    <xf numFmtId="1" fontId="25" fillId="0" borderId="24" xfId="0" applyNumberFormat="1" applyFont="1" applyBorder="1" applyAlignment="1">
      <alignment horizontal="center"/>
    </xf>
    <xf numFmtId="0" fontId="22" fillId="0" borderId="7" xfId="0" applyFont="1" applyBorder="1" applyAlignment="1">
      <alignment vertical="top"/>
    </xf>
    <xf numFmtId="0" fontId="25" fillId="0" borderId="8" xfId="0" applyFont="1" applyBorder="1"/>
    <xf numFmtId="1" fontId="25" fillId="0" borderId="8" xfId="0" applyNumberFormat="1" applyFont="1" applyBorder="1" applyAlignment="1">
      <alignment horizontal="center"/>
    </xf>
    <xf numFmtId="1" fontId="25" fillId="0" borderId="9" xfId="0" applyNumberFormat="1" applyFont="1" applyBorder="1" applyAlignment="1">
      <alignment horizontal="center"/>
    </xf>
    <xf numFmtId="1" fontId="25" fillId="0" borderId="7" xfId="0" applyNumberFormat="1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4" fillId="4" borderId="18" xfId="0" applyFont="1" applyFill="1" applyBorder="1" applyAlignment="1">
      <alignment horizontal="center" vertical="top" wrapText="1"/>
    </xf>
    <xf numFmtId="0" fontId="24" fillId="4" borderId="20" xfId="0" applyFont="1" applyFill="1" applyBorder="1" applyAlignment="1">
      <alignment horizontal="center" vertical="top" wrapText="1"/>
    </xf>
    <xf numFmtId="0" fontId="25" fillId="0" borderId="35" xfId="0" applyFont="1" applyBorder="1"/>
    <xf numFmtId="0" fontId="25" fillId="0" borderId="26" xfId="0" applyFont="1" applyBorder="1" applyAlignment="1">
      <alignment horizontal="center"/>
    </xf>
    <xf numFmtId="0" fontId="25" fillId="0" borderId="36" xfId="0" applyFont="1" applyBorder="1"/>
    <xf numFmtId="0" fontId="33" fillId="0" borderId="0" xfId="0" applyFont="1"/>
    <xf numFmtId="0" fontId="24" fillId="5" borderId="37" xfId="0" applyFont="1" applyFill="1" applyBorder="1" applyAlignment="1">
      <alignment horizontal="center" vertical="center" wrapText="1"/>
    </xf>
    <xf numFmtId="0" fontId="24" fillId="5" borderId="38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vertical="top" wrapText="1"/>
    </xf>
    <xf numFmtId="0" fontId="22" fillId="0" borderId="5" xfId="0" applyFont="1" applyBorder="1" applyAlignment="1">
      <alignment vertical="top" wrapText="1"/>
    </xf>
    <xf numFmtId="0" fontId="24" fillId="4" borderId="2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top"/>
    </xf>
    <xf numFmtId="1" fontId="25" fillId="0" borderId="11" xfId="0" applyNumberFormat="1" applyFont="1" applyBorder="1" applyAlignment="1">
      <alignment horizontal="center"/>
    </xf>
    <xf numFmtId="0" fontId="25" fillId="0" borderId="25" xfId="0" applyFont="1" applyBorder="1" applyAlignment="1">
      <alignment vertical="top"/>
    </xf>
    <xf numFmtId="1" fontId="25" fillId="11" borderId="33" xfId="0" applyNumberFormat="1" applyFont="1" applyFill="1" applyBorder="1" applyAlignment="1">
      <alignment horizontal="center"/>
    </xf>
    <xf numFmtId="1" fontId="22" fillId="0" borderId="7" xfId="0" applyNumberFormat="1" applyFont="1" applyBorder="1" applyAlignment="1">
      <alignment horizontal="center"/>
    </xf>
    <xf numFmtId="1" fontId="22" fillId="0" borderId="8" xfId="0" applyNumberFormat="1" applyFont="1" applyBorder="1" applyAlignment="1">
      <alignment horizontal="center"/>
    </xf>
    <xf numFmtId="1" fontId="22" fillId="0" borderId="9" xfId="0" applyNumberFormat="1" applyFont="1" applyBorder="1" applyAlignment="1">
      <alignment horizontal="center"/>
    </xf>
    <xf numFmtId="1" fontId="25" fillId="0" borderId="9" xfId="0" applyNumberFormat="1" applyFont="1" applyBorder="1"/>
    <xf numFmtId="0" fontId="25" fillId="0" borderId="8" xfId="0" applyFont="1" applyBorder="1" applyAlignment="1">
      <alignment horizontal="center"/>
    </xf>
    <xf numFmtId="0" fontId="34" fillId="0" borderId="0" xfId="0" applyFont="1"/>
    <xf numFmtId="0" fontId="25" fillId="0" borderId="11" xfId="0" applyFont="1" applyBorder="1" applyAlignment="1">
      <alignment horizontal="center"/>
    </xf>
    <xf numFmtId="0" fontId="3" fillId="5" borderId="30" xfId="0" applyFont="1" applyFill="1" applyBorder="1" applyAlignment="1">
      <alignment horizontal="center" vertical="top" wrapText="1"/>
    </xf>
    <xf numFmtId="0" fontId="3" fillId="4" borderId="18" xfId="0" applyFont="1" applyFill="1" applyBorder="1" applyAlignment="1">
      <alignment horizontal="center" vertical="top" wrapText="1"/>
    </xf>
    <xf numFmtId="0" fontId="3" fillId="4" borderId="20" xfId="0" applyFont="1" applyFill="1" applyBorder="1" applyAlignment="1">
      <alignment horizontal="center" vertical="top" wrapText="1"/>
    </xf>
    <xf numFmtId="0" fontId="3" fillId="4" borderId="21" xfId="0" applyFont="1" applyFill="1" applyBorder="1" applyAlignment="1">
      <alignment horizontal="center" vertical="top" wrapText="1"/>
    </xf>
    <xf numFmtId="0" fontId="5" fillId="0" borderId="23" xfId="0" applyFont="1" applyBorder="1"/>
    <xf numFmtId="0" fontId="5" fillId="0" borderId="26" xfId="0" applyFont="1" applyBorder="1"/>
    <xf numFmtId="1" fontId="14" fillId="0" borderId="0" xfId="0" applyNumberFormat="1" applyFont="1" applyAlignment="1">
      <alignment horizontal="center" vertical="top"/>
    </xf>
    <xf numFmtId="1" fontId="25" fillId="0" borderId="0" xfId="0" applyNumberFormat="1" applyFont="1" applyAlignment="1">
      <alignment horizontal="center" vertical="top"/>
    </xf>
    <xf numFmtId="1" fontId="25" fillId="0" borderId="8" xfId="0" applyNumberFormat="1" applyFont="1" applyBorder="1" applyAlignment="1">
      <alignment horizontal="center" vertical="top"/>
    </xf>
    <xf numFmtId="1" fontId="25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horizontal="center" vertical="center" wrapText="1"/>
    </xf>
    <xf numFmtId="0" fontId="24" fillId="5" borderId="40" xfId="0" applyFont="1" applyFill="1" applyBorder="1" applyAlignment="1">
      <alignment horizontal="center" vertical="top" wrapText="1"/>
    </xf>
    <xf numFmtId="0" fontId="24" fillId="4" borderId="27" xfId="0" applyFont="1" applyFill="1" applyBorder="1" applyAlignment="1">
      <alignment horizontal="center" vertical="top" wrapText="1"/>
    </xf>
    <xf numFmtId="0" fontId="24" fillId="4" borderId="28" xfId="0" applyFont="1" applyFill="1" applyBorder="1" applyAlignment="1">
      <alignment horizontal="center" vertical="top" wrapText="1"/>
    </xf>
    <xf numFmtId="0" fontId="24" fillId="4" borderId="29" xfId="0" applyFont="1" applyFill="1" applyBorder="1" applyAlignment="1">
      <alignment horizontal="center" vertical="top" wrapText="1"/>
    </xf>
    <xf numFmtId="1" fontId="25" fillId="0" borderId="27" xfId="0" applyNumberFormat="1" applyFont="1" applyBorder="1" applyAlignment="1">
      <alignment horizontal="center" vertical="center"/>
    </xf>
    <xf numFmtId="1" fontId="25" fillId="0" borderId="28" xfId="0" applyNumberFormat="1" applyFont="1" applyBorder="1" applyAlignment="1">
      <alignment horizontal="center" vertical="center"/>
    </xf>
    <xf numFmtId="1" fontId="22" fillId="0" borderId="31" xfId="0" applyNumberFormat="1" applyFont="1" applyBorder="1" applyAlignment="1">
      <alignment horizontal="center" vertical="top" wrapText="1"/>
    </xf>
    <xf numFmtId="1" fontId="25" fillId="0" borderId="31" xfId="0" applyNumberFormat="1" applyFont="1" applyBorder="1" applyAlignment="1">
      <alignment horizontal="center"/>
    </xf>
    <xf numFmtId="14" fontId="0" fillId="0" borderId="0" xfId="0" applyNumberFormat="1"/>
    <xf numFmtId="14" fontId="16" fillId="0" borderId="0" xfId="0" applyNumberFormat="1" applyFont="1" applyAlignment="1">
      <alignment horizontal="center"/>
    </xf>
    <xf numFmtId="14" fontId="16" fillId="0" borderId="0" xfId="0" applyNumberFormat="1" applyFont="1"/>
    <xf numFmtId="0" fontId="24" fillId="4" borderId="18" xfId="0" applyFont="1" applyFill="1" applyBorder="1" applyAlignment="1">
      <alignment horizontal="center" vertical="center" wrapText="1"/>
    </xf>
    <xf numFmtId="0" fontId="24" fillId="4" borderId="19" xfId="0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 vertical="center" wrapText="1"/>
    </xf>
    <xf numFmtId="1" fontId="5" fillId="0" borderId="34" xfId="0" applyNumberFormat="1" applyFont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23" fillId="0" borderId="0" xfId="0" applyNumberFormat="1" applyFont="1"/>
    <xf numFmtId="1" fontId="10" fillId="0" borderId="0" xfId="0" applyNumberFormat="1" applyFont="1" applyAlignment="1">
      <alignment horizontal="center" vertical="top"/>
    </xf>
    <xf numFmtId="1" fontId="10" fillId="0" borderId="25" xfId="0" applyNumberFormat="1" applyFont="1" applyBorder="1" applyAlignment="1">
      <alignment horizontal="center" vertical="top"/>
    </xf>
    <xf numFmtId="1" fontId="7" fillId="0" borderId="27" xfId="0" applyNumberFormat="1" applyFont="1" applyBorder="1" applyAlignment="1">
      <alignment horizontal="center" vertical="top"/>
    </xf>
    <xf numFmtId="1" fontId="7" fillId="0" borderId="28" xfId="0" applyNumberFormat="1" applyFont="1" applyBorder="1" applyAlignment="1">
      <alignment horizontal="center" vertical="top"/>
    </xf>
    <xf numFmtId="1" fontId="7" fillId="0" borderId="29" xfId="0" applyNumberFormat="1" applyFont="1" applyBorder="1" applyAlignment="1">
      <alignment horizontal="center" vertical="top"/>
    </xf>
    <xf numFmtId="0" fontId="25" fillId="0" borderId="28" xfId="0" applyFont="1" applyBorder="1" applyAlignment="1">
      <alignment vertical="top"/>
    </xf>
    <xf numFmtId="1" fontId="22" fillId="0" borderId="29" xfId="0" applyNumberFormat="1" applyFont="1" applyBorder="1" applyAlignment="1">
      <alignment horizontal="center" vertical="top"/>
    </xf>
    <xf numFmtId="0" fontId="36" fillId="18" borderId="0" xfId="0" applyFont="1" applyFill="1" applyAlignment="1">
      <alignment wrapText="1"/>
    </xf>
    <xf numFmtId="0" fontId="25" fillId="0" borderId="27" xfId="0" applyFont="1" applyBorder="1"/>
    <xf numFmtId="0" fontId="25" fillId="0" borderId="22" xfId="0" applyFont="1" applyBorder="1"/>
    <xf numFmtId="0" fontId="25" fillId="0" borderId="34" xfId="0" applyFont="1" applyBorder="1"/>
    <xf numFmtId="0" fontId="25" fillId="0" borderId="27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4" fillId="16" borderId="29" xfId="0" applyFont="1" applyFill="1" applyBorder="1" applyAlignment="1">
      <alignment horizontal="center" vertical="top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24" fillId="16" borderId="27" xfId="0" applyFont="1" applyFill="1" applyBorder="1" applyAlignment="1">
      <alignment horizontal="center" vertical="top"/>
    </xf>
    <xf numFmtId="0" fontId="24" fillId="16" borderId="18" xfId="0" applyFont="1" applyFill="1" applyBorder="1" applyAlignment="1">
      <alignment horizontal="center" vertical="top"/>
    </xf>
    <xf numFmtId="0" fontId="24" fillId="16" borderId="21" xfId="0" applyFont="1" applyFill="1" applyBorder="1" applyAlignment="1">
      <alignment horizontal="center" vertical="top"/>
    </xf>
    <xf numFmtId="0" fontId="37" fillId="0" borderId="0" xfId="0" applyFont="1"/>
    <xf numFmtId="0" fontId="38" fillId="0" borderId="0" xfId="0" applyFont="1"/>
    <xf numFmtId="0" fontId="25" fillId="0" borderId="34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1" fontId="25" fillId="0" borderId="0" xfId="0" applyNumberFormat="1" applyFont="1" applyAlignment="1">
      <alignment horizontal="center" vertical="top" wrapText="1"/>
    </xf>
    <xf numFmtId="1" fontId="25" fillId="0" borderId="25" xfId="0" applyNumberFormat="1" applyFont="1" applyBorder="1" applyAlignment="1">
      <alignment horizontal="center" vertical="top" wrapText="1"/>
    </xf>
    <xf numFmtId="0" fontId="3" fillId="5" borderId="41" xfId="0" applyFont="1" applyFill="1" applyBorder="1" applyAlignment="1">
      <alignment horizontal="center" vertical="center" wrapText="1"/>
    </xf>
    <xf numFmtId="1" fontId="6" fillId="0" borderId="28" xfId="0" applyNumberFormat="1" applyFont="1" applyBorder="1" applyAlignment="1">
      <alignment horizontal="center" vertical="top" wrapText="1"/>
    </xf>
    <xf numFmtId="0" fontId="3" fillId="5" borderId="13" xfId="0" applyFont="1" applyFill="1" applyBorder="1" applyAlignment="1">
      <alignment horizontal="center" vertical="top" wrapText="1"/>
    </xf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25" fillId="0" borderId="28" xfId="0" applyFont="1" applyBorder="1" applyAlignment="1">
      <alignment horizontal="center"/>
    </xf>
    <xf numFmtId="0" fontId="22" fillId="5" borderId="21" xfId="0" applyFont="1" applyFill="1" applyBorder="1" applyAlignment="1">
      <alignment horizontal="center" vertical="top" wrapText="1"/>
    </xf>
    <xf numFmtId="0" fontId="31" fillId="0" borderId="27" xfId="0" applyFont="1" applyBorder="1" applyAlignment="1">
      <alignment horizontal="center"/>
    </xf>
    <xf numFmtId="0" fontId="31" fillId="0" borderId="22" xfId="0" applyFont="1" applyBorder="1" applyAlignment="1">
      <alignment horizontal="center"/>
    </xf>
    <xf numFmtId="0" fontId="31" fillId="0" borderId="24" xfId="0" applyFont="1" applyBorder="1" applyAlignment="1">
      <alignment horizontal="center"/>
    </xf>
    <xf numFmtId="1" fontId="22" fillId="0" borderId="27" xfId="0" applyNumberFormat="1" applyFont="1" applyBorder="1" applyAlignment="1">
      <alignment horizontal="center" vertical="top"/>
    </xf>
    <xf numFmtId="1" fontId="24" fillId="0" borderId="28" xfId="0" applyNumberFormat="1" applyFont="1" applyBorder="1" applyAlignment="1">
      <alignment horizontal="center" vertical="top"/>
    </xf>
    <xf numFmtId="1" fontId="25" fillId="0" borderId="28" xfId="0" applyNumberFormat="1" applyFont="1" applyBorder="1" applyAlignment="1">
      <alignment horizontal="center" vertical="top"/>
    </xf>
    <xf numFmtId="1" fontId="25" fillId="0" borderId="25" xfId="0" applyNumberFormat="1" applyFont="1" applyBorder="1" applyAlignment="1">
      <alignment horizontal="center" vertical="top"/>
    </xf>
    <xf numFmtId="0" fontId="24" fillId="16" borderId="28" xfId="0" applyFont="1" applyFill="1" applyBorder="1" applyAlignment="1">
      <alignment horizontal="center" vertical="top"/>
    </xf>
    <xf numFmtId="0" fontId="25" fillId="0" borderId="25" xfId="0" applyFont="1" applyBorder="1" applyAlignment="1">
      <alignment horizontal="center"/>
    </xf>
    <xf numFmtId="0" fontId="25" fillId="0" borderId="43" xfId="0" applyFont="1" applyBorder="1"/>
    <xf numFmtId="0" fontId="25" fillId="0" borderId="44" xfId="0" applyFont="1" applyBorder="1"/>
    <xf numFmtId="0" fontId="24" fillId="5" borderId="42" xfId="0" applyFont="1" applyFill="1" applyBorder="1" applyAlignment="1">
      <alignment horizontal="center" vertical="top" wrapText="1"/>
    </xf>
    <xf numFmtId="0" fontId="24" fillId="5" borderId="30" xfId="0" applyFont="1" applyFill="1" applyBorder="1" applyAlignment="1">
      <alignment horizontal="center" vertical="top" wrapText="1"/>
    </xf>
    <xf numFmtId="0" fontId="24" fillId="8" borderId="39" xfId="0" applyFont="1" applyFill="1" applyBorder="1" applyAlignment="1">
      <alignment horizontal="center" vertical="top"/>
    </xf>
    <xf numFmtId="0" fontId="24" fillId="8" borderId="29" xfId="0" applyFont="1" applyFill="1" applyBorder="1" applyAlignment="1">
      <alignment horizontal="center" vertical="top"/>
    </xf>
    <xf numFmtId="0" fontId="24" fillId="8" borderId="2" xfId="0" applyFont="1" applyFill="1" applyBorder="1" applyAlignment="1">
      <alignment horizontal="center" vertical="top"/>
    </xf>
    <xf numFmtId="0" fontId="24" fillId="8" borderId="10" xfId="0" applyFont="1" applyFill="1" applyBorder="1" applyAlignment="1">
      <alignment horizontal="center" vertical="top"/>
    </xf>
    <xf numFmtId="0" fontId="24" fillId="8" borderId="27" xfId="0" applyFont="1" applyFill="1" applyBorder="1" applyAlignment="1">
      <alignment horizontal="center" vertical="top"/>
    </xf>
    <xf numFmtId="0" fontId="24" fillId="8" borderId="18" xfId="0" applyFont="1" applyFill="1" applyBorder="1" applyAlignment="1">
      <alignment horizontal="center" vertical="top"/>
    </xf>
    <xf numFmtId="0" fontId="24" fillId="8" borderId="21" xfId="0" applyFont="1" applyFill="1" applyBorder="1" applyAlignment="1">
      <alignment horizontal="center" vertical="top"/>
    </xf>
    <xf numFmtId="1" fontId="25" fillId="0" borderId="34" xfId="0" applyNumberFormat="1" applyFont="1" applyBorder="1" applyAlignment="1">
      <alignment horizontal="center" vertical="top" wrapText="1"/>
    </xf>
    <xf numFmtId="1" fontId="25" fillId="0" borderId="35" xfId="0" applyNumberFormat="1" applyFont="1" applyBorder="1" applyAlignment="1">
      <alignment horizontal="center" vertical="top" wrapText="1"/>
    </xf>
    <xf numFmtId="1" fontId="25" fillId="0" borderId="36" xfId="0" applyNumberFormat="1" applyFont="1" applyBorder="1" applyAlignment="1">
      <alignment horizontal="center" vertical="top" wrapText="1"/>
    </xf>
    <xf numFmtId="1" fontId="22" fillId="0" borderId="34" xfId="0" applyNumberFormat="1" applyFont="1" applyBorder="1" applyAlignment="1">
      <alignment horizontal="center" vertical="center" wrapText="1"/>
    </xf>
    <xf numFmtId="1" fontId="22" fillId="0" borderId="35" xfId="0" applyNumberFormat="1" applyFont="1" applyBorder="1" applyAlignment="1">
      <alignment horizontal="center" vertical="center" wrapText="1"/>
    </xf>
    <xf numFmtId="1" fontId="22" fillId="0" borderId="36" xfId="0" applyNumberFormat="1" applyFont="1" applyBorder="1" applyAlignment="1">
      <alignment horizontal="center" vertical="center" wrapText="1"/>
    </xf>
    <xf numFmtId="0" fontId="25" fillId="0" borderId="22" xfId="0" applyFont="1" applyBorder="1" applyAlignment="1">
      <alignment vertical="top" wrapText="1"/>
    </xf>
    <xf numFmtId="0" fontId="25" fillId="14" borderId="22" xfId="0" applyFont="1" applyFill="1" applyBorder="1" applyAlignment="1">
      <alignment vertical="top" wrapText="1"/>
    </xf>
    <xf numFmtId="0" fontId="25" fillId="14" borderId="22" xfId="0" applyFont="1" applyFill="1" applyBorder="1" applyAlignment="1">
      <alignment vertical="top"/>
    </xf>
    <xf numFmtId="9" fontId="21" fillId="0" borderId="0" xfId="1" applyFont="1" applyAlignment="1">
      <alignment horizontal="left" vertical="top"/>
    </xf>
    <xf numFmtId="9" fontId="21" fillId="0" borderId="0" xfId="0" applyNumberFormat="1" applyFont="1" applyAlignment="1">
      <alignment horizontal="left" vertical="top"/>
    </xf>
    <xf numFmtId="0" fontId="5" fillId="0" borderId="32" xfId="0" applyFont="1" applyBorder="1"/>
    <xf numFmtId="0" fontId="25" fillId="12" borderId="24" xfId="0" applyFont="1" applyFill="1" applyBorder="1" applyAlignment="1">
      <alignment vertical="top" wrapText="1"/>
    </xf>
    <xf numFmtId="0" fontId="25" fillId="12" borderId="25" xfId="0" applyFont="1" applyFill="1" applyBorder="1" applyAlignment="1">
      <alignment vertical="top" wrapText="1"/>
    </xf>
    <xf numFmtId="0" fontId="25" fillId="12" borderId="0" xfId="0" applyFont="1" applyFill="1"/>
    <xf numFmtId="0" fontId="25" fillId="12" borderId="0" xfId="0" applyFont="1" applyFill="1" applyAlignment="1">
      <alignment horizontal="center"/>
    </xf>
    <xf numFmtId="0" fontId="25" fillId="12" borderId="22" xfId="0" applyFont="1" applyFill="1" applyBorder="1" applyAlignment="1">
      <alignment vertical="top" wrapText="1"/>
    </xf>
    <xf numFmtId="0" fontId="25" fillId="12" borderId="0" xfId="0" applyFont="1" applyFill="1" applyAlignment="1">
      <alignment vertical="top" wrapText="1"/>
    </xf>
    <xf numFmtId="0" fontId="35" fillId="19" borderId="22" xfId="0" applyFont="1" applyFill="1" applyBorder="1"/>
    <xf numFmtId="0" fontId="40" fillId="19" borderId="6" xfId="0" applyFont="1" applyFill="1" applyBorder="1"/>
    <xf numFmtId="0" fontId="25" fillId="16" borderId="0" xfId="0" applyFont="1" applyFill="1" applyAlignment="1">
      <alignment horizontal="center"/>
    </xf>
    <xf numFmtId="1" fontId="25" fillId="16" borderId="0" xfId="0" applyNumberFormat="1" applyFont="1" applyFill="1" applyAlignment="1">
      <alignment horizontal="center" vertical="top" wrapText="1"/>
    </xf>
    <xf numFmtId="0" fontId="31" fillId="16" borderId="22" xfId="0" applyFont="1" applyFill="1" applyBorder="1" applyAlignment="1">
      <alignment horizontal="center"/>
    </xf>
    <xf numFmtId="0" fontId="25" fillId="16" borderId="35" xfId="0" applyFont="1" applyFill="1" applyBorder="1"/>
    <xf numFmtId="1" fontId="22" fillId="16" borderId="23" xfId="0" applyNumberFormat="1" applyFont="1" applyFill="1" applyBorder="1" applyAlignment="1">
      <alignment horizontal="center" vertical="top" wrapText="1"/>
    </xf>
    <xf numFmtId="1" fontId="25" fillId="16" borderId="35" xfId="0" applyNumberFormat="1" applyFont="1" applyFill="1" applyBorder="1" applyAlignment="1">
      <alignment horizontal="center" vertical="top" wrapText="1"/>
    </xf>
    <xf numFmtId="0" fontId="25" fillId="16" borderId="35" xfId="0" applyFont="1" applyFill="1" applyBorder="1" applyAlignment="1">
      <alignment horizontal="center"/>
    </xf>
    <xf numFmtId="1" fontId="5" fillId="16" borderId="0" xfId="0" applyNumberFormat="1" applyFont="1" applyFill="1" applyAlignment="1">
      <alignment horizontal="center"/>
    </xf>
    <xf numFmtId="1" fontId="22" fillId="0" borderId="29" xfId="0" applyNumberFormat="1" applyFont="1" applyBorder="1" applyAlignment="1">
      <alignment horizontal="center" vertical="top" wrapText="1"/>
    </xf>
    <xf numFmtId="0" fontId="25" fillId="0" borderId="5" xfId="0" applyFont="1" applyBorder="1" applyAlignment="1">
      <alignment vertical="top" wrapText="1"/>
    </xf>
    <xf numFmtId="0" fontId="22" fillId="0" borderId="22" xfId="0" applyFont="1" applyBorder="1" applyAlignment="1">
      <alignment vertical="top"/>
    </xf>
    <xf numFmtId="0" fontId="25" fillId="0" borderId="24" xfId="0" applyFont="1" applyBorder="1" applyAlignment="1">
      <alignment vertical="top"/>
    </xf>
    <xf numFmtId="164" fontId="5" fillId="0" borderId="0" xfId="2" applyFont="1"/>
    <xf numFmtId="1" fontId="25" fillId="0" borderId="46" xfId="0" applyNumberFormat="1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26" fillId="20" borderId="17" xfId="0" applyFont="1" applyFill="1" applyBorder="1" applyAlignment="1">
      <alignment horizontal="center" vertical="top" wrapText="1"/>
    </xf>
    <xf numFmtId="0" fontId="26" fillId="20" borderId="17" xfId="0" applyFont="1" applyFill="1" applyBorder="1" applyAlignment="1">
      <alignment horizontal="left" vertical="top" wrapText="1"/>
    </xf>
    <xf numFmtId="1" fontId="26" fillId="20" borderId="17" xfId="0" applyNumberFormat="1" applyFont="1" applyFill="1" applyBorder="1" applyAlignment="1">
      <alignment horizontal="left" vertical="top" wrapText="1"/>
    </xf>
    <xf numFmtId="9" fontId="26" fillId="20" borderId="17" xfId="1" applyFont="1" applyFill="1" applyBorder="1" applyAlignment="1">
      <alignment horizontal="center" vertical="top" wrapText="1"/>
    </xf>
    <xf numFmtId="0" fontId="21" fillId="20" borderId="0" xfId="0" applyFont="1" applyFill="1" applyAlignment="1">
      <alignment horizontal="left" vertical="top" wrapText="1"/>
    </xf>
    <xf numFmtId="14" fontId="39" fillId="20" borderId="0" xfId="0" applyNumberFormat="1" applyFont="1" applyFill="1" applyAlignment="1">
      <alignment horizontal="left" vertical="top" wrapText="1"/>
    </xf>
    <xf numFmtId="0" fontId="39" fillId="20" borderId="0" xfId="0" applyFont="1" applyFill="1" applyAlignment="1">
      <alignment horizontal="left" vertical="top" wrapText="1"/>
    </xf>
    <xf numFmtId="9" fontId="39" fillId="20" borderId="0" xfId="1" applyFont="1" applyFill="1" applyAlignment="1">
      <alignment horizontal="center" vertical="top" wrapText="1"/>
    </xf>
    <xf numFmtId="9" fontId="39" fillId="20" borderId="0" xfId="0" applyNumberFormat="1" applyFont="1" applyFill="1" applyAlignment="1">
      <alignment horizontal="left" vertical="top" wrapText="1"/>
    </xf>
    <xf numFmtId="167" fontId="39" fillId="20" borderId="0" xfId="0" applyNumberFormat="1" applyFont="1" applyFill="1" applyAlignment="1">
      <alignment horizontal="left" vertical="top" wrapText="1"/>
    </xf>
    <xf numFmtId="0" fontId="24" fillId="4" borderId="28" xfId="0" applyFont="1" applyFill="1" applyBorder="1" applyAlignment="1">
      <alignment horizontal="center" vertical="center" wrapText="1"/>
    </xf>
    <xf numFmtId="0" fontId="14" fillId="6" borderId="27" xfId="0" applyFont="1" applyFill="1" applyBorder="1" applyAlignment="1">
      <alignment horizontal="center" vertical="center" wrapText="1"/>
    </xf>
    <xf numFmtId="0" fontId="14" fillId="6" borderId="40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 wrapText="1"/>
    </xf>
    <xf numFmtId="0" fontId="8" fillId="0" borderId="27" xfId="0" applyFont="1" applyBorder="1"/>
    <xf numFmtId="0" fontId="5" fillId="0" borderId="28" xfId="0" applyFont="1" applyBorder="1"/>
    <xf numFmtId="1" fontId="8" fillId="0" borderId="34" xfId="0" applyNumberFormat="1" applyFont="1" applyBorder="1" applyAlignment="1">
      <alignment horizontal="center"/>
    </xf>
    <xf numFmtId="1" fontId="8" fillId="0" borderId="35" xfId="0" applyNumberFormat="1" applyFont="1" applyBorder="1" applyAlignment="1">
      <alignment horizontal="center"/>
    </xf>
    <xf numFmtId="1" fontId="8" fillId="0" borderId="36" xfId="0" applyNumberFormat="1" applyFont="1" applyBorder="1" applyAlignment="1">
      <alignment horizontal="center"/>
    </xf>
    <xf numFmtId="0" fontId="24" fillId="6" borderId="27" xfId="0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 wrapText="1"/>
    </xf>
    <xf numFmtId="0" fontId="24" fillId="5" borderId="34" xfId="0" applyFont="1" applyFill="1" applyBorder="1" applyAlignment="1">
      <alignment horizontal="center" vertical="center" wrapText="1"/>
    </xf>
    <xf numFmtId="1" fontId="41" fillId="0" borderId="34" xfId="0" applyNumberFormat="1" applyFont="1" applyBorder="1" applyAlignment="1">
      <alignment horizontal="center"/>
    </xf>
    <xf numFmtId="1" fontId="41" fillId="0" borderId="35" xfId="0" applyNumberFormat="1" applyFont="1" applyBorder="1" applyAlignment="1">
      <alignment horizontal="center"/>
    </xf>
    <xf numFmtId="1" fontId="41" fillId="0" borderId="36" xfId="0" applyNumberFormat="1" applyFont="1" applyBorder="1" applyAlignment="1">
      <alignment horizontal="center"/>
    </xf>
    <xf numFmtId="0" fontId="24" fillId="4" borderId="21" xfId="0" applyFont="1" applyFill="1" applyBorder="1" applyAlignment="1">
      <alignment horizontal="center" vertical="top" wrapText="1"/>
    </xf>
    <xf numFmtId="0" fontId="34" fillId="0" borderId="23" xfId="0" applyFont="1" applyBorder="1" applyAlignment="1">
      <alignment horizontal="center"/>
    </xf>
    <xf numFmtId="0" fontId="21" fillId="16" borderId="17" xfId="0" applyFont="1" applyFill="1" applyBorder="1" applyAlignment="1">
      <alignment horizontal="left" vertical="top"/>
    </xf>
    <xf numFmtId="0" fontId="0" fillId="0" borderId="47" xfId="0" applyBorder="1" applyAlignment="1">
      <alignment vertical="top"/>
    </xf>
    <xf numFmtId="0" fontId="0" fillId="0" borderId="47" xfId="0" quotePrefix="1" applyBorder="1" applyAlignment="1">
      <alignment vertical="top"/>
    </xf>
    <xf numFmtId="0" fontId="5" fillId="16" borderId="0" xfId="0" applyFont="1" applyFill="1"/>
    <xf numFmtId="0" fontId="4" fillId="0" borderId="48" xfId="0" applyFont="1" applyBorder="1" applyAlignment="1">
      <alignment vertical="top"/>
    </xf>
    <xf numFmtId="1" fontId="4" fillId="0" borderId="48" xfId="0" applyNumberFormat="1" applyFont="1" applyBorder="1" applyAlignment="1">
      <alignment vertical="top"/>
    </xf>
    <xf numFmtId="0" fontId="4" fillId="0" borderId="48" xfId="0" applyFont="1" applyBorder="1" applyAlignment="1">
      <alignment horizontal="center" vertical="top"/>
    </xf>
    <xf numFmtId="0" fontId="2" fillId="0" borderId="48" xfId="0" applyFont="1" applyBorder="1" applyAlignment="1">
      <alignment horizontal="center" vertical="top"/>
    </xf>
    <xf numFmtId="0" fontId="2" fillId="0" borderId="48" xfId="0" applyFont="1" applyBorder="1" applyAlignment="1">
      <alignment vertical="top"/>
    </xf>
    <xf numFmtId="0" fontId="12" fillId="0" borderId="48" xfId="0" applyFont="1" applyBorder="1" applyAlignment="1">
      <alignment horizontal="center" vertical="top"/>
    </xf>
    <xf numFmtId="0" fontId="12" fillId="0" borderId="48" xfId="0" applyFont="1" applyBorder="1" applyAlignment="1">
      <alignment vertical="top"/>
    </xf>
    <xf numFmtId="0" fontId="13" fillId="0" borderId="48" xfId="0" applyFont="1" applyBorder="1" applyAlignment="1">
      <alignment vertical="top"/>
    </xf>
    <xf numFmtId="166" fontId="13" fillId="0" borderId="48" xfId="0" applyNumberFormat="1" applyFont="1" applyBorder="1" applyAlignment="1">
      <alignment vertical="top"/>
    </xf>
    <xf numFmtId="0" fontId="13" fillId="0" borderId="48" xfId="0" applyFont="1" applyBorder="1" applyAlignment="1">
      <alignment horizontal="center" vertical="top"/>
    </xf>
    <xf numFmtId="0" fontId="5" fillId="0" borderId="48" xfId="0" applyFont="1" applyBorder="1" applyAlignment="1">
      <alignment horizontal="left" wrapText="1"/>
    </xf>
    <xf numFmtId="0" fontId="20" fillId="0" borderId="48" xfId="0" applyFont="1" applyBorder="1" applyAlignment="1">
      <alignment horizontal="center" vertical="top"/>
    </xf>
    <xf numFmtId="0" fontId="20" fillId="0" borderId="48" xfId="0" applyFont="1" applyBorder="1" applyAlignment="1">
      <alignment vertical="top"/>
    </xf>
    <xf numFmtId="0" fontId="23" fillId="16" borderId="48" xfId="0" applyFont="1" applyFill="1" applyBorder="1" applyAlignment="1">
      <alignment horizontal="left" vertical="top"/>
    </xf>
    <xf numFmtId="0" fontId="0" fillId="0" borderId="48" xfId="0" applyBorder="1"/>
    <xf numFmtId="0" fontId="0" fillId="0" borderId="48" xfId="0" applyBorder="1" applyAlignment="1">
      <alignment vertical="top"/>
    </xf>
    <xf numFmtId="0" fontId="8" fillId="16" borderId="17" xfId="0" applyFont="1" applyFill="1" applyBorder="1" applyAlignment="1">
      <alignment vertical="center"/>
    </xf>
    <xf numFmtId="0" fontId="5" fillId="16" borderId="17" xfId="0" applyFont="1" applyFill="1" applyBorder="1" applyAlignment="1">
      <alignment horizontal="left" vertical="top"/>
    </xf>
    <xf numFmtId="0" fontId="5" fillId="16" borderId="48" xfId="0" applyFont="1" applyFill="1" applyBorder="1" applyAlignment="1">
      <alignment horizontal="left" vertical="top"/>
    </xf>
    <xf numFmtId="0" fontId="19" fillId="2" borderId="48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0" fontId="5" fillId="0" borderId="48" xfId="0" applyFont="1" applyBorder="1" applyAlignment="1">
      <alignment vertical="top"/>
    </xf>
    <xf numFmtId="0" fontId="5" fillId="0" borderId="48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16" xfId="0" applyFont="1" applyBorder="1"/>
    <xf numFmtId="0" fontId="5" fillId="0" borderId="0" xfId="0" applyFont="1" applyAlignment="1">
      <alignment horizontal="center" vertical="top"/>
    </xf>
    <xf numFmtId="0" fontId="6" fillId="0" borderId="48" xfId="0" applyFont="1" applyBorder="1" applyAlignment="1">
      <alignment horizontal="center" vertical="top"/>
    </xf>
    <xf numFmtId="0" fontId="6" fillId="0" borderId="48" xfId="0" applyFont="1" applyBorder="1" applyAlignment="1">
      <alignment vertical="top"/>
    </xf>
    <xf numFmtId="166" fontId="5" fillId="0" borderId="48" xfId="0" applyNumberFormat="1" applyFont="1" applyBorder="1" applyAlignment="1">
      <alignment vertical="top"/>
    </xf>
    <xf numFmtId="0" fontId="6" fillId="0" borderId="48" xfId="0" quotePrefix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48" xfId="0" applyFont="1" applyBorder="1"/>
    <xf numFmtId="0" fontId="6" fillId="0" borderId="48" xfId="0" applyFont="1" applyBorder="1" applyAlignment="1">
      <alignment horizontal="left" vertical="top"/>
    </xf>
    <xf numFmtId="166" fontId="5" fillId="16" borderId="48" xfId="0" applyNumberFormat="1" applyFont="1" applyFill="1" applyBorder="1" applyAlignment="1">
      <alignment horizontal="left" vertical="top"/>
    </xf>
    <xf numFmtId="0" fontId="5" fillId="0" borderId="48" xfId="0" quotePrefix="1" applyFont="1" applyBorder="1" applyAlignment="1">
      <alignment vertical="top"/>
    </xf>
    <xf numFmtId="14" fontId="6" fillId="0" borderId="48" xfId="0" applyNumberFormat="1" applyFont="1" applyBorder="1" applyAlignment="1">
      <alignment horizontal="center" vertical="top"/>
    </xf>
    <xf numFmtId="0" fontId="5" fillId="0" borderId="4" xfId="0" applyFont="1" applyBorder="1"/>
    <xf numFmtId="0" fontId="6" fillId="0" borderId="0" xfId="0" quotePrefix="1" applyFont="1" applyAlignment="1">
      <alignment horizontal="center" vertical="top"/>
    </xf>
    <xf numFmtId="0" fontId="5" fillId="16" borderId="48" xfId="0" applyFont="1" applyFill="1" applyBorder="1" applyAlignment="1">
      <alignment vertical="top"/>
    </xf>
    <xf numFmtId="0" fontId="5" fillId="16" borderId="17" xfId="0" applyFont="1" applyFill="1" applyBorder="1" applyAlignment="1">
      <alignment vertical="top"/>
    </xf>
    <xf numFmtId="0" fontId="19" fillId="2" borderId="48" xfId="0" applyFont="1" applyFill="1" applyBorder="1" applyAlignment="1">
      <alignment horizontal="left" vertical="center" wrapText="1"/>
    </xf>
    <xf numFmtId="1" fontId="19" fillId="2" borderId="48" xfId="0" applyNumberFormat="1" applyFont="1" applyFill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top"/>
    </xf>
    <xf numFmtId="1" fontId="5" fillId="0" borderId="48" xfId="0" applyNumberFormat="1" applyFont="1" applyBorder="1" applyAlignment="1">
      <alignment horizontal="left" vertical="top"/>
    </xf>
    <xf numFmtId="0" fontId="5" fillId="0" borderId="48" xfId="0" applyFont="1" applyBorder="1" applyAlignment="1">
      <alignment horizontal="left"/>
    </xf>
    <xf numFmtId="14" fontId="6" fillId="0" borderId="48" xfId="0" applyNumberFormat="1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" fontId="6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7" fillId="14" borderId="0" xfId="0" applyNumberFormat="1" applyFont="1" applyFill="1" applyAlignment="1">
      <alignment horizontal="center" vertical="top"/>
    </xf>
    <xf numFmtId="0" fontId="32" fillId="0" borderId="0" xfId="0" applyFont="1" applyAlignment="1">
      <alignment horizont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4" fillId="6" borderId="50" xfId="0" applyFont="1" applyFill="1" applyBorder="1" applyAlignment="1">
      <alignment vertical="top" wrapText="1"/>
    </xf>
    <xf numFmtId="0" fontId="14" fillId="6" borderId="51" xfId="0" applyFont="1" applyFill="1" applyBorder="1" applyAlignment="1">
      <alignment vertical="top" wrapText="1"/>
    </xf>
    <xf numFmtId="0" fontId="3" fillId="4" borderId="51" xfId="0" applyFont="1" applyFill="1" applyBorder="1" applyAlignment="1">
      <alignment horizontal="center" vertical="top" wrapText="1"/>
    </xf>
    <xf numFmtId="0" fontId="14" fillId="0" borderId="51" xfId="0" applyFont="1" applyBorder="1" applyAlignment="1">
      <alignment horizontal="center" vertical="top"/>
    </xf>
    <xf numFmtId="0" fontId="14" fillId="6" borderId="51" xfId="0" applyFont="1" applyFill="1" applyBorder="1" applyAlignment="1">
      <alignment horizontal="center" vertical="top" wrapText="1"/>
    </xf>
    <xf numFmtId="0" fontId="14" fillId="6" borderId="52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/>
    </xf>
    <xf numFmtId="0" fontId="22" fillId="0" borderId="5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22" fillId="0" borderId="8" xfId="0" applyFont="1" applyBorder="1" applyAlignment="1">
      <alignment horizontal="center" vertical="top"/>
    </xf>
    <xf numFmtId="0" fontId="25" fillId="0" borderId="0" xfId="0" applyFont="1" applyAlignment="1">
      <alignment horizontal="left"/>
    </xf>
    <xf numFmtId="0" fontId="25" fillId="0" borderId="5" xfId="0" applyFont="1" applyBorder="1" applyAlignment="1">
      <alignment horizontal="left" vertical="top" wrapText="1"/>
    </xf>
    <xf numFmtId="0" fontId="22" fillId="0" borderId="5" xfId="0" applyFont="1" applyBorder="1" applyAlignment="1">
      <alignment horizontal="left" vertical="top" wrapText="1"/>
    </xf>
    <xf numFmtId="0" fontId="25" fillId="0" borderId="5" xfId="0" quotePrefix="1" applyFont="1" applyBorder="1" applyAlignment="1">
      <alignment horizontal="left" vertical="top" wrapText="1"/>
    </xf>
    <xf numFmtId="0" fontId="22" fillId="4" borderId="0" xfId="0" applyFont="1" applyFill="1" applyAlignment="1">
      <alignment vertical="top" wrapText="1"/>
    </xf>
    <xf numFmtId="0" fontId="22" fillId="4" borderId="0" xfId="0" applyFont="1" applyFill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22" fillId="4" borderId="50" xfId="0" applyFont="1" applyFill="1" applyBorder="1" applyAlignment="1">
      <alignment vertical="top" wrapText="1"/>
    </xf>
    <xf numFmtId="0" fontId="22" fillId="4" borderId="51" xfId="0" applyFont="1" applyFill="1" applyBorder="1" applyAlignment="1">
      <alignment vertical="top" wrapText="1"/>
    </xf>
    <xf numFmtId="0" fontId="22" fillId="4" borderId="51" xfId="0" applyFont="1" applyFill="1" applyBorder="1" applyAlignment="1">
      <alignment horizontal="center" vertical="top" wrapText="1"/>
    </xf>
    <xf numFmtId="0" fontId="24" fillId="4" borderId="52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0" fontId="3" fillId="4" borderId="52" xfId="0" applyFont="1" applyFill="1" applyBorder="1" applyAlignment="1">
      <alignment horizontal="center" vertical="top" wrapText="1"/>
    </xf>
    <xf numFmtId="1" fontId="2" fillId="0" borderId="8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0" fontId="14" fillId="6" borderId="50" xfId="0" applyFont="1" applyFill="1" applyBorder="1" applyAlignment="1">
      <alignment horizontal="center" vertical="top" wrapText="1"/>
    </xf>
    <xf numFmtId="1" fontId="4" fillId="0" borderId="5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24" fillId="8" borderId="28" xfId="0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7" fillId="7" borderId="51" xfId="0" applyFont="1" applyFill="1" applyBorder="1" applyAlignment="1">
      <alignment horizontal="center" vertical="top" wrapText="1"/>
    </xf>
    <xf numFmtId="1" fontId="7" fillId="14" borderId="8" xfId="0" applyNumberFormat="1" applyFont="1" applyFill="1" applyBorder="1" applyAlignment="1">
      <alignment horizontal="center" vertical="top"/>
    </xf>
    <xf numFmtId="0" fontId="7" fillId="7" borderId="53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vertical="top"/>
    </xf>
    <xf numFmtId="1" fontId="25" fillId="16" borderId="0" xfId="0" applyNumberFormat="1" applyFont="1" applyFill="1" applyAlignment="1">
      <alignment horizontal="center"/>
    </xf>
    <xf numFmtId="0" fontId="22" fillId="6" borderId="50" xfId="0" applyFont="1" applyFill="1" applyBorder="1" applyAlignment="1">
      <alignment horizontal="left" vertical="top" wrapText="1"/>
    </xf>
    <xf numFmtId="0" fontId="22" fillId="6" borderId="51" xfId="0" applyFont="1" applyFill="1" applyBorder="1" applyAlignment="1">
      <alignment vertical="top" wrapText="1"/>
    </xf>
    <xf numFmtId="0" fontId="22" fillId="5" borderId="52" xfId="0" applyFont="1" applyFill="1" applyBorder="1" applyAlignment="1">
      <alignment horizontal="center" vertical="top" wrapText="1"/>
    </xf>
    <xf numFmtId="1" fontId="22" fillId="0" borderId="6" xfId="0" applyNumberFormat="1" applyFont="1" applyBorder="1" applyAlignment="1">
      <alignment horizontal="center" vertical="top" wrapText="1"/>
    </xf>
    <xf numFmtId="0" fontId="41" fillId="16" borderId="5" xfId="0" quotePrefix="1" applyFont="1" applyFill="1" applyBorder="1" applyAlignment="1">
      <alignment horizontal="left" vertical="top" wrapText="1"/>
    </xf>
    <xf numFmtId="0" fontId="22" fillId="0" borderId="8" xfId="0" applyFont="1" applyBorder="1" applyAlignment="1">
      <alignment vertical="top"/>
    </xf>
    <xf numFmtId="1" fontId="22" fillId="0" borderId="9" xfId="0" applyNumberFormat="1" applyFont="1" applyBorder="1" applyAlignment="1">
      <alignment horizontal="center" vertical="top" wrapText="1"/>
    </xf>
    <xf numFmtId="0" fontId="24" fillId="4" borderId="0" xfId="0" applyFont="1" applyFill="1" applyAlignment="1">
      <alignment vertical="top" wrapText="1"/>
    </xf>
    <xf numFmtId="0" fontId="0" fillId="16" borderId="0" xfId="0" applyFill="1" applyAlignment="1">
      <alignment vertical="top"/>
    </xf>
    <xf numFmtId="1" fontId="22" fillId="16" borderId="0" xfId="0" applyNumberFormat="1" applyFont="1" applyFill="1" applyAlignment="1">
      <alignment horizontal="center" vertical="top"/>
    </xf>
    <xf numFmtId="0" fontId="38" fillId="19" borderId="0" xfId="0" applyFont="1" applyFill="1"/>
    <xf numFmtId="0" fontId="24" fillId="6" borderId="50" xfId="0" applyFont="1" applyFill="1" applyBorder="1" applyAlignment="1">
      <alignment horizontal="left" vertical="top" wrapText="1"/>
    </xf>
    <xf numFmtId="0" fontId="24" fillId="6" borderId="51" xfId="0" applyFont="1" applyFill="1" applyBorder="1" applyAlignment="1">
      <alignment vertical="top" wrapText="1"/>
    </xf>
    <xf numFmtId="0" fontId="24" fillId="4" borderId="51" xfId="0" applyFont="1" applyFill="1" applyBorder="1" applyAlignment="1">
      <alignment vertical="top" wrapText="1"/>
    </xf>
    <xf numFmtId="0" fontId="24" fillId="4" borderId="51" xfId="0" applyFont="1" applyFill="1" applyBorder="1" applyAlignment="1">
      <alignment horizontal="center" vertical="top" wrapText="1"/>
    </xf>
    <xf numFmtId="0" fontId="24" fillId="5" borderId="52" xfId="0" applyFont="1" applyFill="1" applyBorder="1" applyAlignment="1">
      <alignment horizontal="center" vertical="top" wrapText="1"/>
    </xf>
    <xf numFmtId="0" fontId="24" fillId="5" borderId="6" xfId="0" applyFont="1" applyFill="1" applyBorder="1" applyAlignment="1">
      <alignment horizontal="center" vertical="top" wrapText="1"/>
    </xf>
    <xf numFmtId="0" fontId="25" fillId="16" borderId="5" xfId="0" quotePrefix="1" applyFont="1" applyFill="1" applyBorder="1" applyAlignment="1">
      <alignment horizontal="left" vertical="top" wrapText="1"/>
    </xf>
    <xf numFmtId="1" fontId="22" fillId="16" borderId="6" xfId="0" applyNumberFormat="1" applyFont="1" applyFill="1" applyBorder="1" applyAlignment="1">
      <alignment horizontal="center" vertical="top" wrapText="1"/>
    </xf>
    <xf numFmtId="0" fontId="38" fillId="19" borderId="5" xfId="0" applyFont="1" applyFill="1" applyBorder="1" applyAlignment="1">
      <alignment horizontal="left"/>
    </xf>
    <xf numFmtId="0" fontId="24" fillId="4" borderId="50" xfId="0" applyFont="1" applyFill="1" applyBorder="1" applyAlignment="1">
      <alignment horizontal="center" vertical="top" wrapText="1"/>
    </xf>
    <xf numFmtId="1" fontId="22" fillId="16" borderId="5" xfId="0" applyNumberFormat="1" applyFont="1" applyFill="1" applyBorder="1" applyAlignment="1">
      <alignment horizontal="center" vertical="top"/>
    </xf>
    <xf numFmtId="1" fontId="22" fillId="16" borderId="6" xfId="0" applyNumberFormat="1" applyFont="1" applyFill="1" applyBorder="1" applyAlignment="1">
      <alignment horizontal="center" vertical="top"/>
    </xf>
    <xf numFmtId="0" fontId="25" fillId="0" borderId="50" xfId="0" applyFont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25" fillId="0" borderId="52" xfId="0" applyFont="1" applyBorder="1" applyAlignment="1">
      <alignment horizontal="center"/>
    </xf>
    <xf numFmtId="0" fontId="22" fillId="4" borderId="5" xfId="0" applyFont="1" applyFill="1" applyBorder="1" applyAlignment="1">
      <alignment horizontal="center" vertical="top" wrapText="1"/>
    </xf>
    <xf numFmtId="0" fontId="22" fillId="4" borderId="6" xfId="0" applyFont="1" applyFill="1" applyBorder="1" applyAlignment="1">
      <alignment horizontal="center" vertical="top" wrapText="1"/>
    </xf>
    <xf numFmtId="1" fontId="25" fillId="0" borderId="5" xfId="0" applyNumberFormat="1" applyFont="1" applyBorder="1" applyAlignment="1">
      <alignment horizontal="center"/>
    </xf>
    <xf numFmtId="1" fontId="25" fillId="16" borderId="5" xfId="0" applyNumberFormat="1" applyFont="1" applyFill="1" applyBorder="1" applyAlignment="1">
      <alignment horizontal="center"/>
    </xf>
    <xf numFmtId="1" fontId="25" fillId="16" borderId="6" xfId="0" applyNumberFormat="1" applyFont="1" applyFill="1" applyBorder="1" applyAlignment="1">
      <alignment horizontal="center"/>
    </xf>
    <xf numFmtId="0" fontId="14" fillId="7" borderId="5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vertical="top" wrapText="1"/>
    </xf>
    <xf numFmtId="0" fontId="7" fillId="0" borderId="51" xfId="0" applyFont="1" applyBorder="1" applyAlignment="1">
      <alignment vertical="top" wrapText="1"/>
    </xf>
    <xf numFmtId="1" fontId="2" fillId="0" borderId="5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1" fontId="4" fillId="0" borderId="52" xfId="0" applyNumberFormat="1" applyFont="1" applyBorder="1" applyAlignment="1">
      <alignment horizontal="center"/>
    </xf>
    <xf numFmtId="1" fontId="4" fillId="0" borderId="50" xfId="0" applyNumberFormat="1" applyFont="1" applyBorder="1" applyAlignment="1">
      <alignment horizontal="center"/>
    </xf>
    <xf numFmtId="1" fontId="7" fillId="14" borderId="51" xfId="0" applyNumberFormat="1" applyFont="1" applyFill="1" applyBorder="1" applyAlignment="1">
      <alignment horizontal="center" vertical="top"/>
    </xf>
    <xf numFmtId="1" fontId="4" fillId="0" borderId="6" xfId="0" applyNumberFormat="1" applyFont="1" applyBorder="1" applyAlignment="1">
      <alignment horizontal="center" vertical="top" wrapText="1"/>
    </xf>
    <xf numFmtId="0" fontId="24" fillId="4" borderId="50" xfId="0" applyFont="1" applyFill="1" applyBorder="1" applyAlignment="1">
      <alignment vertical="top" wrapText="1"/>
    </xf>
    <xf numFmtId="0" fontId="22" fillId="0" borderId="48" xfId="0" applyFont="1" applyBorder="1" applyAlignment="1">
      <alignment vertical="top"/>
    </xf>
    <xf numFmtId="0" fontId="44" fillId="0" borderId="48" xfId="0" applyFont="1" applyBorder="1" applyAlignment="1">
      <alignment vertical="top"/>
    </xf>
    <xf numFmtId="0" fontId="5" fillId="0" borderId="0" xfId="0" applyFont="1" applyAlignment="1">
      <alignment horizontal="left"/>
    </xf>
    <xf numFmtId="0" fontId="45" fillId="0" borderId="8" xfId="0" pivotButton="1" applyFont="1" applyBorder="1"/>
    <xf numFmtId="0" fontId="45" fillId="0" borderId="8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wrapText="1"/>
    </xf>
    <xf numFmtId="0" fontId="46" fillId="9" borderId="14" xfId="0" applyFont="1" applyFill="1" applyBorder="1" applyAlignment="1">
      <alignment horizontal="center" vertical="center" wrapText="1"/>
    </xf>
    <xf numFmtId="1" fontId="45" fillId="0" borderId="0" xfId="0" applyNumberFormat="1" applyFont="1" applyAlignment="1">
      <alignment horizontal="center"/>
    </xf>
    <xf numFmtId="9" fontId="45" fillId="0" borderId="0" xfId="1" applyFont="1" applyAlignment="1">
      <alignment horizontal="center" vertical="center"/>
    </xf>
    <xf numFmtId="0" fontId="45" fillId="0" borderId="49" xfId="0" applyFont="1" applyBorder="1"/>
    <xf numFmtId="1" fontId="45" fillId="0" borderId="49" xfId="0" applyNumberFormat="1" applyFont="1" applyBorder="1" applyAlignment="1">
      <alignment horizontal="center"/>
    </xf>
    <xf numFmtId="0" fontId="7" fillId="0" borderId="48" xfId="0" applyFont="1" applyBorder="1" applyAlignment="1">
      <alignment vertical="top"/>
    </xf>
    <xf numFmtId="14" fontId="0" fillId="0" borderId="47" xfId="0" applyNumberFormat="1" applyBorder="1" applyAlignment="1">
      <alignment horizontal="center" vertical="top"/>
    </xf>
    <xf numFmtId="14" fontId="7" fillId="0" borderId="48" xfId="0" applyNumberFormat="1" applyFont="1" applyBorder="1" applyAlignment="1">
      <alignment horizontal="center" vertical="top"/>
    </xf>
    <xf numFmtId="0" fontId="5" fillId="0" borderId="48" xfId="0" applyFont="1" applyBorder="1" applyAlignment="1">
      <alignment horizontal="center"/>
    </xf>
    <xf numFmtId="1" fontId="5" fillId="0" borderId="48" xfId="0" applyNumberFormat="1" applyFont="1" applyBorder="1" applyAlignment="1">
      <alignment horizontal="center"/>
    </xf>
    <xf numFmtId="9" fontId="5" fillId="0" borderId="48" xfId="1" applyFont="1" applyBorder="1" applyAlignment="1">
      <alignment horizontal="center"/>
    </xf>
    <xf numFmtId="9" fontId="6" fillId="0" borderId="48" xfId="1" applyFont="1" applyBorder="1" applyAlignment="1">
      <alignment horizontal="center"/>
    </xf>
    <xf numFmtId="1" fontId="17" fillId="0" borderId="48" xfId="0" applyNumberFormat="1" applyFont="1" applyBorder="1" applyAlignment="1">
      <alignment horizontal="center"/>
    </xf>
    <xf numFmtId="165" fontId="17" fillId="0" borderId="48" xfId="0" applyNumberFormat="1" applyFont="1" applyBorder="1" applyAlignment="1">
      <alignment horizontal="center"/>
    </xf>
    <xf numFmtId="0" fontId="17" fillId="0" borderId="48" xfId="0" applyFont="1" applyBorder="1" applyAlignment="1">
      <alignment horizontal="center"/>
    </xf>
    <xf numFmtId="3" fontId="17" fillId="0" borderId="48" xfId="0" applyNumberFormat="1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5" fillId="0" borderId="54" xfId="0" applyFont="1" applyBorder="1"/>
    <xf numFmtId="1" fontId="5" fillId="0" borderId="55" xfId="0" applyNumberFormat="1" applyFont="1" applyBorder="1" applyAlignment="1">
      <alignment horizontal="center"/>
    </xf>
    <xf numFmtId="0" fontId="17" fillId="0" borderId="55" xfId="0" applyFont="1" applyBorder="1"/>
    <xf numFmtId="0" fontId="6" fillId="0" borderId="55" xfId="0" applyFont="1" applyBorder="1"/>
    <xf numFmtId="1" fontId="18" fillId="12" borderId="57" xfId="0" applyNumberFormat="1" applyFont="1" applyFill="1" applyBorder="1" applyAlignment="1">
      <alignment horizontal="center"/>
    </xf>
    <xf numFmtId="10" fontId="18" fillId="0" borderId="57" xfId="1" applyNumberFormat="1" applyFont="1" applyBorder="1" applyAlignment="1">
      <alignment horizontal="center"/>
    </xf>
    <xf numFmtId="0" fontId="18" fillId="0" borderId="57" xfId="0" applyFont="1" applyBorder="1" applyAlignment="1">
      <alignment horizontal="center"/>
    </xf>
    <xf numFmtId="1" fontId="18" fillId="0" borderId="57" xfId="0" applyNumberFormat="1" applyFont="1" applyBorder="1" applyAlignment="1">
      <alignment horizontal="center"/>
    </xf>
    <xf numFmtId="1" fontId="18" fillId="0" borderId="58" xfId="0" applyNumberFormat="1" applyFont="1" applyBorder="1" applyAlignment="1">
      <alignment horizontal="center"/>
    </xf>
    <xf numFmtId="0" fontId="5" fillId="4" borderId="56" xfId="0" applyFont="1" applyFill="1" applyBorder="1"/>
    <xf numFmtId="1" fontId="5" fillId="4" borderId="57" xfId="0" applyNumberFormat="1" applyFont="1" applyFill="1" applyBorder="1" applyAlignment="1">
      <alignment horizontal="center"/>
    </xf>
    <xf numFmtId="9" fontId="5" fillId="4" borderId="57" xfId="1" applyFont="1" applyFill="1" applyBorder="1" applyAlignment="1">
      <alignment horizontal="center"/>
    </xf>
    <xf numFmtId="0" fontId="5" fillId="0" borderId="57" xfId="0" applyFont="1" applyBorder="1" applyAlignment="1">
      <alignment horizontal="center"/>
    </xf>
    <xf numFmtId="1" fontId="5" fillId="4" borderId="58" xfId="0" applyNumberFormat="1" applyFont="1" applyFill="1" applyBorder="1" applyAlignment="1">
      <alignment horizontal="center"/>
    </xf>
    <xf numFmtId="0" fontId="5" fillId="0" borderId="63" xfId="0" applyFont="1" applyBorder="1"/>
    <xf numFmtId="1" fontId="5" fillId="0" borderId="12" xfId="0" applyNumberFormat="1" applyFont="1" applyBorder="1" applyAlignment="1">
      <alignment horizontal="center"/>
    </xf>
    <xf numFmtId="9" fontId="5" fillId="0" borderId="12" xfId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" fontId="5" fillId="0" borderId="64" xfId="0" applyNumberFormat="1" applyFont="1" applyBorder="1" applyAlignment="1">
      <alignment horizontal="center"/>
    </xf>
    <xf numFmtId="0" fontId="8" fillId="13" borderId="37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0" fontId="8" fillId="10" borderId="38" xfId="0" applyFont="1" applyFill="1" applyBorder="1" applyAlignment="1">
      <alignment horizontal="center" vertical="center" wrapText="1"/>
    </xf>
    <xf numFmtId="0" fontId="8" fillId="13" borderId="65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top"/>
    </xf>
    <xf numFmtId="14" fontId="26" fillId="20" borderId="17" xfId="0" applyNumberFormat="1" applyFont="1" applyFill="1" applyBorder="1" applyAlignment="1">
      <alignment horizontal="center" vertical="top" wrapText="1"/>
    </xf>
    <xf numFmtId="1" fontId="21" fillId="0" borderId="0" xfId="0" applyNumberFormat="1" applyFont="1" applyAlignment="1">
      <alignment horizontal="center" vertical="top"/>
    </xf>
    <xf numFmtId="1" fontId="26" fillId="20" borderId="17" xfId="0" applyNumberFormat="1" applyFont="1" applyFill="1" applyBorder="1" applyAlignment="1">
      <alignment horizontal="center" vertical="top" wrapText="1"/>
    </xf>
    <xf numFmtId="1" fontId="0" fillId="0" borderId="47" xfId="0" applyNumberFormat="1" applyBorder="1" applyAlignment="1">
      <alignment horizontal="center" vertical="top"/>
    </xf>
    <xf numFmtId="1" fontId="7" fillId="0" borderId="48" xfId="0" applyNumberFormat="1" applyFont="1" applyBorder="1" applyAlignment="1">
      <alignment horizontal="center" vertical="top"/>
    </xf>
    <xf numFmtId="1" fontId="26" fillId="0" borderId="0" xfId="0" applyNumberFormat="1" applyFont="1" applyAlignment="1">
      <alignment horizontal="center" vertical="top"/>
    </xf>
    <xf numFmtId="1" fontId="5" fillId="0" borderId="48" xfId="0" applyNumberFormat="1" applyFont="1" applyBorder="1" applyAlignment="1">
      <alignment horizontal="center" wrapText="1"/>
    </xf>
    <xf numFmtId="9" fontId="5" fillId="0" borderId="48" xfId="1" applyFont="1" applyBorder="1" applyAlignment="1">
      <alignment horizontal="center" wrapText="1"/>
    </xf>
    <xf numFmtId="0" fontId="5" fillId="0" borderId="54" xfId="0" applyFont="1" applyBorder="1" applyAlignment="1">
      <alignment wrapText="1"/>
    </xf>
    <xf numFmtId="1" fontId="5" fillId="0" borderId="55" xfId="0" applyNumberFormat="1" applyFont="1" applyBorder="1" applyAlignment="1">
      <alignment horizontal="center" wrapText="1"/>
    </xf>
    <xf numFmtId="0" fontId="5" fillId="0" borderId="63" xfId="0" applyFont="1" applyBorder="1" applyAlignment="1">
      <alignment wrapText="1"/>
    </xf>
    <xf numFmtId="1" fontId="5" fillId="0" borderId="12" xfId="0" applyNumberFormat="1" applyFont="1" applyBorder="1" applyAlignment="1">
      <alignment horizontal="center" wrapText="1"/>
    </xf>
    <xf numFmtId="9" fontId="5" fillId="0" borderId="12" xfId="1" applyFont="1" applyBorder="1" applyAlignment="1">
      <alignment horizontal="center" wrapText="1"/>
    </xf>
    <xf numFmtId="1" fontId="5" fillId="0" borderId="64" xfId="0" applyNumberFormat="1" applyFont="1" applyBorder="1" applyAlignment="1">
      <alignment horizontal="center" wrapText="1"/>
    </xf>
    <xf numFmtId="0" fontId="8" fillId="9" borderId="65" xfId="0" applyFont="1" applyFill="1" applyBorder="1" applyAlignment="1">
      <alignment vertical="center" wrapText="1"/>
    </xf>
    <xf numFmtId="0" fontId="8" fillId="9" borderId="37" xfId="0" applyFont="1" applyFill="1" applyBorder="1" applyAlignment="1">
      <alignment horizontal="center" vertical="center" wrapText="1"/>
    </xf>
    <xf numFmtId="0" fontId="8" fillId="9" borderId="38" xfId="0" applyFont="1" applyFill="1" applyBorder="1" applyAlignment="1">
      <alignment horizontal="center" vertical="center" wrapText="1"/>
    </xf>
    <xf numFmtId="0" fontId="5" fillId="0" borderId="68" xfId="0" applyFont="1" applyBorder="1" applyAlignment="1">
      <alignment wrapText="1"/>
    </xf>
    <xf numFmtId="1" fontId="5" fillId="0" borderId="53" xfId="0" applyNumberFormat="1" applyFont="1" applyBorder="1" applyAlignment="1">
      <alignment horizontal="center" wrapText="1"/>
    </xf>
    <xf numFmtId="9" fontId="5" fillId="0" borderId="53" xfId="1" applyFont="1" applyBorder="1" applyAlignment="1">
      <alignment horizontal="center" wrapText="1"/>
    </xf>
    <xf numFmtId="1" fontId="5" fillId="0" borderId="69" xfId="0" applyNumberFormat="1" applyFont="1" applyBorder="1" applyAlignment="1">
      <alignment horizontal="center" wrapText="1"/>
    </xf>
    <xf numFmtId="0" fontId="8" fillId="9" borderId="65" xfId="0" applyFont="1" applyFill="1" applyBorder="1" applyAlignment="1">
      <alignment wrapText="1"/>
    </xf>
    <xf numFmtId="1" fontId="8" fillId="9" borderId="37" xfId="0" applyNumberFormat="1" applyFont="1" applyFill="1" applyBorder="1" applyAlignment="1">
      <alignment horizontal="center" wrapText="1"/>
    </xf>
    <xf numFmtId="9" fontId="8" fillId="8" borderId="37" xfId="1" applyFont="1" applyFill="1" applyBorder="1" applyAlignment="1">
      <alignment horizontal="center" wrapText="1"/>
    </xf>
    <xf numFmtId="1" fontId="8" fillId="9" borderId="38" xfId="0" applyNumberFormat="1" applyFont="1" applyFill="1" applyBorder="1" applyAlignment="1">
      <alignment horizontal="center" wrapText="1"/>
    </xf>
    <xf numFmtId="168" fontId="8" fillId="9" borderId="67" xfId="0" applyNumberFormat="1" applyFont="1" applyFill="1" applyBorder="1" applyAlignment="1">
      <alignment horizontal="center" wrapText="1"/>
    </xf>
    <xf numFmtId="168" fontId="8" fillId="9" borderId="58" xfId="0" applyNumberFormat="1" applyFont="1" applyFill="1" applyBorder="1" applyAlignment="1">
      <alignment horizontal="center" wrapText="1"/>
    </xf>
    <xf numFmtId="0" fontId="29" fillId="0" borderId="70" xfId="0" applyFont="1" applyBorder="1"/>
    <xf numFmtId="0" fontId="29" fillId="0" borderId="71" xfId="0" applyFont="1" applyBorder="1"/>
    <xf numFmtId="0" fontId="5" fillId="0" borderId="52" xfId="0" applyFont="1" applyBorder="1" applyAlignment="1">
      <alignment horizontal="center" wrapText="1"/>
    </xf>
    <xf numFmtId="9" fontId="8" fillId="8" borderId="29" xfId="1" applyFont="1" applyFill="1" applyBorder="1" applyAlignment="1">
      <alignment horizontal="center" wrapText="1"/>
    </xf>
    <xf numFmtId="9" fontId="8" fillId="8" borderId="23" xfId="1" applyFont="1" applyFill="1" applyBorder="1" applyAlignment="1">
      <alignment horizontal="center" wrapText="1"/>
    </xf>
    <xf numFmtId="9" fontId="8" fillId="8" borderId="26" xfId="1" applyFont="1" applyFill="1" applyBorder="1" applyAlignment="1">
      <alignment horizontal="center" wrapText="1"/>
    </xf>
    <xf numFmtId="1" fontId="5" fillId="0" borderId="28" xfId="0" applyNumberFormat="1" applyFont="1" applyBorder="1" applyAlignment="1">
      <alignment horizontal="center" wrapText="1"/>
    </xf>
    <xf numFmtId="1" fontId="5" fillId="0" borderId="29" xfId="0" applyNumberFormat="1" applyFont="1" applyBorder="1" applyAlignment="1">
      <alignment horizontal="center" wrapText="1"/>
    </xf>
    <xf numFmtId="1" fontId="5" fillId="0" borderId="23" xfId="0" applyNumberFormat="1" applyFont="1" applyBorder="1" applyAlignment="1">
      <alignment horizontal="center" wrapText="1"/>
    </xf>
    <xf numFmtId="0" fontId="5" fillId="0" borderId="66" xfId="0" pivotButton="1" applyFont="1" applyBorder="1" applyAlignment="1">
      <alignment horizontal="center" wrapText="1"/>
    </xf>
    <xf numFmtId="0" fontId="5" fillId="0" borderId="34" xfId="0" applyFont="1" applyBorder="1" applyAlignment="1">
      <alignment wrapText="1"/>
    </xf>
    <xf numFmtId="0" fontId="5" fillId="0" borderId="35" xfId="0" applyFont="1" applyBorder="1" applyAlignment="1">
      <alignment wrapText="1"/>
    </xf>
    <xf numFmtId="0" fontId="5" fillId="0" borderId="36" xfId="0" applyFont="1" applyBorder="1" applyAlignment="1">
      <alignment wrapText="1"/>
    </xf>
    <xf numFmtId="0" fontId="5" fillId="0" borderId="18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1" fontId="5" fillId="0" borderId="27" xfId="0" applyNumberFormat="1" applyFont="1" applyBorder="1" applyAlignment="1">
      <alignment horizontal="center" wrapText="1"/>
    </xf>
    <xf numFmtId="168" fontId="6" fillId="0" borderId="28" xfId="0" applyNumberFormat="1" applyFont="1" applyBorder="1" applyAlignment="1">
      <alignment horizontal="center" wrapText="1"/>
    </xf>
    <xf numFmtId="1" fontId="5" fillId="0" borderId="22" xfId="0" applyNumberFormat="1" applyFont="1" applyBorder="1" applyAlignment="1">
      <alignment horizontal="center" wrapText="1"/>
    </xf>
    <xf numFmtId="9" fontId="5" fillId="0" borderId="48" xfId="1" applyFont="1" applyFill="1" applyBorder="1" applyAlignment="1">
      <alignment horizontal="center" wrapText="1"/>
    </xf>
    <xf numFmtId="1" fontId="5" fillId="0" borderId="54" xfId="0" applyNumberFormat="1" applyFont="1" applyBorder="1" applyAlignment="1">
      <alignment horizontal="center" wrapText="1"/>
    </xf>
    <xf numFmtId="1" fontId="5" fillId="0" borderId="63" xfId="0" applyNumberFormat="1" applyFont="1" applyBorder="1" applyAlignment="1">
      <alignment horizontal="center" wrapText="1"/>
    </xf>
    <xf numFmtId="9" fontId="5" fillId="0" borderId="12" xfId="1" applyFont="1" applyFill="1" applyBorder="1" applyAlignment="1">
      <alignment horizont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1" fontId="47" fillId="0" borderId="0" xfId="0" applyNumberFormat="1" applyFont="1" applyAlignment="1">
      <alignment horizontal="center" vertical="center" wrapText="1"/>
    </xf>
    <xf numFmtId="1" fontId="47" fillId="0" borderId="0" xfId="0" applyNumberFormat="1" applyFont="1" applyAlignment="1">
      <alignment horizontal="left"/>
    </xf>
    <xf numFmtId="1" fontId="47" fillId="0" borderId="48" xfId="0" applyNumberFormat="1" applyFont="1" applyBorder="1" applyAlignment="1">
      <alignment horizontal="left"/>
    </xf>
    <xf numFmtId="1" fontId="47" fillId="0" borderId="48" xfId="0" applyNumberFormat="1" applyFont="1" applyBorder="1" applyAlignment="1">
      <alignment horizontal="center"/>
    </xf>
    <xf numFmtId="1" fontId="47" fillId="0" borderId="54" xfId="0" applyNumberFormat="1" applyFont="1" applyBorder="1" applyAlignment="1">
      <alignment horizontal="left"/>
    </xf>
    <xf numFmtId="1" fontId="47" fillId="0" borderId="63" xfId="0" applyNumberFormat="1" applyFont="1" applyBorder="1" applyAlignment="1">
      <alignment horizontal="left"/>
    </xf>
    <xf numFmtId="1" fontId="47" fillId="0" borderId="12" xfId="0" applyNumberFormat="1" applyFont="1" applyBorder="1" applyAlignment="1">
      <alignment horizontal="left"/>
    </xf>
    <xf numFmtId="1" fontId="47" fillId="0" borderId="12" xfId="0" applyNumberFormat="1" applyFont="1" applyBorder="1" applyAlignment="1">
      <alignment horizontal="center"/>
    </xf>
    <xf numFmtId="1" fontId="48" fillId="21" borderId="65" xfId="0" applyNumberFormat="1" applyFont="1" applyFill="1" applyBorder="1" applyAlignment="1">
      <alignment horizontal="center" vertical="center" wrapText="1"/>
    </xf>
    <xf numFmtId="1" fontId="48" fillId="21" borderId="37" xfId="0" applyNumberFormat="1" applyFont="1" applyFill="1" applyBorder="1" applyAlignment="1">
      <alignment horizontal="center" vertical="center" wrapText="1"/>
    </xf>
    <xf numFmtId="9" fontId="47" fillId="0" borderId="12" xfId="1" applyFont="1" applyBorder="1" applyAlignment="1">
      <alignment horizontal="center"/>
    </xf>
    <xf numFmtId="9" fontId="47" fillId="0" borderId="48" xfId="1" applyFont="1" applyBorder="1" applyAlignment="1">
      <alignment horizontal="center"/>
    </xf>
    <xf numFmtId="1" fontId="48" fillId="22" borderId="46" xfId="0" applyNumberFormat="1" applyFont="1" applyFill="1" applyBorder="1" applyAlignment="1">
      <alignment horizontal="center" vertical="center" wrapText="1"/>
    </xf>
    <xf numFmtId="1" fontId="47" fillId="0" borderId="56" xfId="0" applyNumberFormat="1" applyFont="1" applyBorder="1" applyAlignment="1">
      <alignment horizontal="left"/>
    </xf>
    <xf numFmtId="1" fontId="47" fillId="0" borderId="57" xfId="0" applyNumberFormat="1" applyFont="1" applyBorder="1" applyAlignment="1">
      <alignment horizontal="left"/>
    </xf>
    <xf numFmtId="1" fontId="47" fillId="0" borderId="57" xfId="0" applyNumberFormat="1" applyFont="1" applyBorder="1" applyAlignment="1">
      <alignment horizontal="center"/>
    </xf>
    <xf numFmtId="9" fontId="47" fillId="0" borderId="57" xfId="1" applyFont="1" applyBorder="1" applyAlignment="1">
      <alignment horizontal="center"/>
    </xf>
    <xf numFmtId="9" fontId="47" fillId="0" borderId="55" xfId="1" applyFont="1" applyBorder="1" applyAlignment="1">
      <alignment horizontal="center"/>
    </xf>
    <xf numFmtId="9" fontId="47" fillId="0" borderId="0" xfId="1" applyFont="1" applyAlignment="1">
      <alignment horizontal="center"/>
    </xf>
    <xf numFmtId="9" fontId="47" fillId="0" borderId="64" xfId="1" applyFont="1" applyBorder="1" applyAlignment="1">
      <alignment horizontal="center"/>
    </xf>
    <xf numFmtId="9" fontId="49" fillId="22" borderId="46" xfId="1" applyFont="1" applyFill="1" applyBorder="1" applyAlignment="1">
      <alignment horizontal="center" vertical="center" wrapText="1"/>
    </xf>
    <xf numFmtId="0" fontId="50" fillId="16" borderId="17" xfId="0" applyFont="1" applyFill="1" applyBorder="1" applyAlignment="1">
      <alignment horizontal="left" vertical="top"/>
    </xf>
    <xf numFmtId="1" fontId="8" fillId="9" borderId="18" xfId="0" applyNumberFormat="1" applyFont="1" applyFill="1" applyBorder="1" applyAlignment="1">
      <alignment horizontal="center" wrapText="1"/>
    </xf>
    <xf numFmtId="1" fontId="8" fillId="9" borderId="20" xfId="0" applyNumberFormat="1" applyFont="1" applyFill="1" applyBorder="1" applyAlignment="1">
      <alignment horizontal="center" wrapText="1"/>
    </xf>
    <xf numFmtId="1" fontId="8" fillId="9" borderId="21" xfId="0" applyNumberFormat="1" applyFont="1" applyFill="1" applyBorder="1" applyAlignment="1">
      <alignment horizontal="center" vertical="center" wrapText="1"/>
    </xf>
    <xf numFmtId="1" fontId="8" fillId="9" borderId="66" xfId="0" applyNumberFormat="1" applyFont="1" applyFill="1" applyBorder="1" applyAlignment="1">
      <alignment horizontal="center" wrapText="1"/>
    </xf>
    <xf numFmtId="0" fontId="46" fillId="9" borderId="49" xfId="0" applyFont="1" applyFill="1" applyBorder="1"/>
    <xf numFmtId="1" fontId="46" fillId="9" borderId="49" xfId="0" applyNumberFormat="1" applyFont="1" applyFill="1" applyBorder="1" applyAlignment="1">
      <alignment horizontal="center"/>
    </xf>
    <xf numFmtId="0" fontId="19" fillId="0" borderId="54" xfId="0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35" fillId="0" borderId="59" xfId="0" applyFont="1" applyBorder="1" applyAlignment="1">
      <alignment horizontal="center"/>
    </xf>
    <xf numFmtId="0" fontId="35" fillId="0" borderId="4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" fontId="48" fillId="22" borderId="24" xfId="0" applyNumberFormat="1" applyFont="1" applyFill="1" applyBorder="1" applyAlignment="1">
      <alignment horizontal="center" vertical="center" wrapText="1"/>
    </xf>
    <xf numFmtId="1" fontId="48" fillId="22" borderId="32" xfId="0" applyNumberFormat="1" applyFont="1" applyFill="1" applyBorder="1" applyAlignment="1">
      <alignment horizontal="center" vertical="center" wrapText="1"/>
    </xf>
    <xf numFmtId="1" fontId="48" fillId="22" borderId="41" xfId="0" applyNumberFormat="1" applyFont="1" applyFill="1" applyBorder="1" applyAlignment="1">
      <alignment horizontal="center" vertical="center" wrapText="1"/>
    </xf>
    <xf numFmtId="1" fontId="48" fillId="22" borderId="2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168" fontId="6" fillId="0" borderId="0" xfId="0" applyNumberFormat="1" applyFont="1" applyBorder="1" applyAlignment="1">
      <alignment horizontal="center" wrapText="1"/>
    </xf>
    <xf numFmtId="1" fontId="5" fillId="0" borderId="0" xfId="0" applyNumberFormat="1" applyFont="1" applyBorder="1" applyAlignment="1">
      <alignment horizontal="center" wrapText="1"/>
    </xf>
    <xf numFmtId="1" fontId="5" fillId="0" borderId="0" xfId="0" applyNumberFormat="1" applyFont="1" applyFill="1" applyBorder="1" applyAlignment="1">
      <alignment horizontal="center" wrapText="1"/>
    </xf>
    <xf numFmtId="1" fontId="5" fillId="0" borderId="51" xfId="0" applyNumberFormat="1" applyFont="1" applyFill="1" applyBorder="1" applyAlignment="1">
      <alignment horizontal="center" wrapText="1"/>
    </xf>
    <xf numFmtId="1" fontId="8" fillId="0" borderId="51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/>
    <xf numFmtId="0" fontId="5" fillId="0" borderId="0" xfId="0" applyFont="1" applyFill="1" applyBorder="1"/>
    <xf numFmtId="0" fontId="5" fillId="16" borderId="0" xfId="0" applyFont="1" applyFill="1" applyBorder="1"/>
    <xf numFmtId="0" fontId="5" fillId="0" borderId="0" xfId="0" pivotButton="1" applyFont="1" applyAlignment="1"/>
    <xf numFmtId="0" fontId="5" fillId="0" borderId="0" xfId="0" applyFont="1" applyAlignment="1"/>
    <xf numFmtId="0" fontId="5" fillId="16" borderId="0" xfId="0" applyFont="1" applyFill="1" applyAlignment="1"/>
    <xf numFmtId="0" fontId="45" fillId="0" borderId="0" xfId="0" applyFont="1" applyBorder="1"/>
    <xf numFmtId="0" fontId="45" fillId="0" borderId="0" xfId="0" pivotButton="1" applyFont="1" applyBorder="1" applyAlignment="1">
      <alignment horizontal="center"/>
    </xf>
    <xf numFmtId="0" fontId="45" fillId="0" borderId="0" xfId="0" applyFont="1" applyBorder="1" applyAlignment="1">
      <alignment horizontal="center"/>
    </xf>
    <xf numFmtId="0" fontId="45" fillId="0" borderId="0" xfId="0" pivotButton="1" applyFont="1" applyBorder="1" applyAlignment="1">
      <alignment wrapText="1"/>
    </xf>
    <xf numFmtId="0" fontId="45" fillId="0" borderId="0" xfId="0" applyFont="1" applyBorder="1" applyAlignment="1">
      <alignment horizontal="center" wrapText="1"/>
    </xf>
    <xf numFmtId="0" fontId="45" fillId="0" borderId="0" xfId="0" applyFont="1" applyBorder="1" applyAlignment="1">
      <alignment wrapText="1"/>
    </xf>
    <xf numFmtId="1" fontId="45" fillId="0" borderId="0" xfId="0" applyNumberFormat="1" applyFont="1" applyBorder="1" applyAlignment="1">
      <alignment horizontal="center"/>
    </xf>
  </cellXfs>
  <cellStyles count="9">
    <cellStyle name="Comma" xfId="2" builtinId="3"/>
    <cellStyle name="Comma 2" xfId="3" xr:uid="{C139AE36-995C-4624-B7A2-B786BB2E4632}"/>
    <cellStyle name="Normal" xfId="0" builtinId="0"/>
    <cellStyle name="Normal 2" xfId="4" xr:uid="{123026B9-B785-4373-907A-64F274BE91D0}"/>
    <cellStyle name="Normal 3" xfId="5" xr:uid="{8032AB36-DD2C-4722-BAF2-FF409F42E3F7}"/>
    <cellStyle name="Normal 4" xfId="7" xr:uid="{2956CC67-9E6A-4714-800C-1CC73F843BBA}"/>
    <cellStyle name="Normal 5" xfId="8" xr:uid="{AE0F9174-5F23-401B-A92C-E1863F6C3623}"/>
    <cellStyle name="Percent" xfId="1" builtinId="5"/>
    <cellStyle name="Percent 2" xfId="6" xr:uid="{7B2C714E-8ACF-432B-ABCC-9321997FB463}"/>
  </cellStyles>
  <dxfs count="2731"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wrapText="1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alignment vertical="center"/>
    </dxf>
    <dxf>
      <numFmt numFmtId="168" formatCode="0;[Red]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wrapText="1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alignment vertical="center"/>
    </dxf>
    <dxf>
      <numFmt numFmtId="168" formatCode="0;[Red]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wrapText="1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alignment vertical="center"/>
    </dxf>
    <dxf>
      <numFmt numFmtId="168" formatCode="0;[Red]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alignment wrapText="1"/>
    </dxf>
    <dxf>
      <alignment wrapText="1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wrapText="1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none">
          <bgColor auto="1"/>
        </patternFill>
      </fill>
    </dxf>
    <dxf>
      <alignment vertical="center"/>
    </dxf>
    <dxf>
      <alignment vertical="center"/>
    </dxf>
    <dxf>
      <alignment vertical="center"/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/>
        </patternFill>
      </fill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font>
        <b val="0"/>
      </font>
    </dxf>
    <dxf>
      <font>
        <b val="0"/>
      </font>
    </dxf>
    <dxf>
      <font>
        <b val="0"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alignment vertical="center"/>
    </dxf>
    <dxf>
      <numFmt numFmtId="168" formatCode="0;[Red]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7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wrapText="1"/>
    </dxf>
    <dxf>
      <alignment wrapText="1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" formatCode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ill>
        <patternFill patternType="solid">
          <bgColor theme="4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39997558519241921"/>
        </patternFill>
      </fill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8" formatCode="0;[Red]0"/>
    </dxf>
    <dxf>
      <alignment vertical="center"/>
    </dxf>
    <dxf>
      <font>
        <color auto="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D497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ruvanshi, Devi" id="{CD9F1920-D281-4DBA-981A-408F249EC77A}" userId="S::DDhruvanshi@rich.com::3ae89c45-20f6-437f-b3ef-5e053f6dc29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ventory, FG" refreshedDate="46167.339108912034" createdVersion="8" refreshedVersion="8" minRefreshableVersion="3" recordCount="625" xr:uid="{4638D6B1-9A9D-485A-9782-5F926779D1AE}">
  <cacheSource type="worksheet">
    <worksheetSource ref="A2:R627" sheet="BAse"/>
  </cacheSource>
  <cacheFields count="18">
    <cacheField name="Group" numFmtId="0">
      <sharedItems/>
    </cacheField>
    <cacheField name="Plant" numFmtId="0">
      <sharedItems/>
    </cacheField>
    <cacheField name="Plant Name" numFmtId="0">
      <sharedItems count="18">
        <s v="RPSPL-DEL"/>
        <s v="RPSPL-KH"/>
        <s v="RPSPL-HP Factory"/>
        <s v="RPSPL-GUJ"/>
        <s v="RPSPL-PC"/>
        <s v="RPSPL-RJ"/>
        <s v="RPSPL-NG"/>
        <s v="RPSPL-MP"/>
        <s v="RPSPL-KOL"/>
        <s v="RPSPL-GT"/>
        <s v="RPSPL-PA"/>
        <s v="RPSPL-PBN"/>
        <s v="RPSPL-KNP"/>
        <s v="RPSPL-Sonipat"/>
        <s v="RPSPL-CH"/>
        <s v="RPSPL-BNG"/>
        <s v="RPSPL-HY"/>
        <s v="RPSPL-KER"/>
      </sharedItems>
    </cacheField>
    <cacheField name="Material Code" numFmtId="0">
      <sharedItems count="53">
        <s v="19690"/>
        <s v="00189"/>
        <s v="01296"/>
        <s v="02122"/>
        <s v="05159"/>
        <s v="07310"/>
        <s v="08529"/>
        <s v="13179"/>
        <s v="13678"/>
        <s v="14654"/>
        <s v="15459"/>
        <s v="15906"/>
        <s v="16336"/>
        <s v="16984"/>
        <s v="20308"/>
        <s v="21910"/>
        <s v="23081"/>
        <s v="23691"/>
        <s v="24216"/>
        <s v="25570"/>
        <s v="06151"/>
        <s v="13490"/>
        <s v="15300"/>
        <s v="20661"/>
        <s v="23638"/>
        <s v="25885"/>
        <s v="26192"/>
        <s v="26234"/>
        <s v="26744"/>
        <s v="04145"/>
        <s v="14248"/>
        <s v="15305"/>
        <s v="16407"/>
        <s v="01167"/>
        <s v="06982"/>
        <s v="14788"/>
        <s v="15536"/>
        <s v="16998"/>
        <s v="18098"/>
        <s v="20827"/>
        <s v="23401"/>
        <s v="24768"/>
        <s v="25598"/>
        <s v="26026"/>
        <s v="26193"/>
        <s v="26745"/>
        <s v="27021"/>
        <s v="15312"/>
        <s v="23890"/>
        <s v="20160"/>
        <s v="20309"/>
        <s v="22059"/>
        <s v="25616"/>
      </sharedItems>
    </cacheField>
    <cacheField name="Group2" numFmtId="0">
      <sharedItems/>
    </cacheField>
    <cacheField name="Material Description" numFmtId="0">
      <sharedItems count="53">
        <s v="Rich's Nufill Blueberry FruitFilling 1Kg"/>
        <s v="Rich's Star Whip 1 Kg"/>
        <s v="Rich’s Cremagic - 2 Kg"/>
        <s v="Rich's Dairy Free Whip Topping - 2 Kg"/>
        <s v="Rich's Whip Topping-Gold 500 G (India)"/>
        <s v="Rich's Cooking Rich Hot Kitchen Appl."/>
        <s v="Rich's Truffle Base"/>
        <s v="Rich’s Whip Topping Gold (India)"/>
        <s v="Rich’s New Niagara Farms"/>
        <s v="Rich's Bettercreme"/>
        <s v="Rich's Cooking Rich-Hot Kitchen (10 Kg)"/>
        <s v="Rich’s Whip Topping (India) 1 Kg"/>
        <s v="Sunwhip (India) 1 Kg"/>
        <s v="Rich’s Niagara Farms Gold (1 Kg )"/>
        <s v="Rich's Star Whip 2 kg "/>
        <s v="Rich’s Sunwhip 2 Kg"/>
        <s v="Rich’s Icehot Creamery Dairy Beverage MI"/>
        <s v="RICH'S WT Gold 1 Kg (Middle East)"/>
        <s v="Versatie Export"/>
        <s v="Rich'S Sun Whip Ultra (1 Kg) 2025"/>
        <s v="Rich's Double Dream"/>
        <s v="Rich's Nugel Neutral Glaze 2.5 Kg IN"/>
        <s v="Rich's Nugel Pineapple Glaze 1.0 Kg IN"/>
        <s v="Rich’s Wilber Farms Dairy Cream 1ltr"/>
        <s v="Rich's Versatie Gold- Cooking Base 1 ltr"/>
        <s v="RWT Dairy Flavoured 1 Kg"/>
        <s v="Rich's dairy cooking cream"/>
        <s v="Rich's Decadent Whip Topping 1 Kg"/>
        <s v="Rich's Nufill Red Cherry Fruit Filling 1"/>
        <s v="Rich's Nugel Caramel (1 Kg)"/>
        <s v="Rich's Nugel Cocoa Glaze 2.5 Kg (India)"/>
        <s v="Rich's Nugel Strawberry Glaze 1.0 Kg IN"/>
        <s v="Rich's Nugel White 1 Kg (India)"/>
        <s v="Rich's Sweetmate (India) 1 Kg"/>
        <s v="Rich's Chocolate Whip Topping"/>
        <s v="Rich’s Whip Topping-Gold 1 Kg"/>
        <s v="Rich's Premium Truffle -2 Kg"/>
        <s v="Rich's Excel Whip (1 Kg)"/>
        <s v="Rich's ICEHOT All in one beverage base"/>
        <s v="Rich’s Premium Truffle-RTUGanache-GS 2kg"/>
        <s v="New Toppin Pride (1 kg)"/>
        <s v="RWT Silver India 1kg"/>
        <s v="Rich's Cheese Flv WT 1 kg (2025)"/>
        <s v="Rich's ICEHOT Multipurpose Base-UHT"/>
        <s v="Rich's dairy Truffle Base"/>
        <s v="Rich's Nufill Pineaaple Fruit Filling 1k"/>
        <s v="RWT Milky Bliss 1 Kg"/>
        <s v="Rich's Nugel Blueberry Glaze 1.0 Kg IN"/>
        <s v="Whip Topping Base (India)"/>
        <s v="RICH'S NUFILL DARK CHERRY FRUIT FILLING"/>
        <s v="Rich's Nufill Strawberry Fruit Filling 1"/>
        <s v="Rich’s Truffle Base - Hazelnut Flavour"/>
        <s v="RWT Gold - 10 kg"/>
      </sharedItems>
    </cacheField>
    <cacheField name="Cat" numFmtId="166">
      <sharedItems count="7">
        <s v="NFL"/>
        <s v="T&amp;I"/>
        <s v="DD"/>
        <s v="NGL"/>
        <s v="UHT-Chill"/>
        <s v="Ganache"/>
        <e v="#N/A"/>
      </sharedItems>
    </cacheField>
    <cacheField name="Source" numFmtId="0">
      <sharedItems/>
    </cacheField>
    <cacheField name=" RF May- 26" numFmtId="1">
      <sharedItems containsSemiMixedTypes="0" containsString="0" containsNumber="1" minValue="0" maxValue="219999.96"/>
    </cacheField>
    <cacheField name="Sales Qty" numFmtId="1">
      <sharedItems containsSemiMixedTypes="0" containsString="0" containsNumber="1" containsInteger="1" minValue="0" maxValue="149916"/>
    </cacheField>
    <cacheField name="% With  Forecast" numFmtId="9">
      <sharedItems containsSemiMixedTypes="0" containsString="0" containsNumber="1" minValue="0" maxValue="5.5"/>
    </cacheField>
    <cacheField name="Transit" numFmtId="1">
      <sharedItems containsSemiMixedTypes="0" containsString="0" containsNumber="1" containsInteger="1" minValue="0" maxValue="80616"/>
    </cacheField>
    <cacheField name="Ship Date" numFmtId="14">
      <sharedItems containsNonDate="0" containsDate="1" containsString="0" containsBlank="1" minDate="2026-03-31T00:00:00" maxDate="2026-05-25T00:00:00"/>
    </cacheField>
    <cacheField name="Ready Stock" numFmtId="1">
      <sharedItems containsSemiMixedTypes="0" containsString="0" containsNumber="1" containsInteger="1" minValue="0" maxValue="111576"/>
    </cacheField>
    <cacheField name="Ready + transist" numFmtId="1">
      <sharedItems containsSemiMixedTypes="0" containsString="0" containsNumber="1" containsInteger="1" minValue="0" maxValue="172572"/>
    </cacheField>
    <cacheField name="RF Pendency" numFmtId="1">
      <sharedItems containsSemiMixedTypes="0" containsString="0" containsNumber="1" minValue="-110868" maxValue="14091.96"/>
    </cacheField>
    <cacheField name="INV Days R+T" numFmtId="1">
      <sharedItems containsSemiMixedTypes="0" containsString="0" containsNumber="1" minValue="0" maxValue="3025.4629629629635"/>
    </cacheField>
    <cacheField name="INV Days (Ready Stock)" numFmtId="1">
      <sharedItems containsSemiMixedTypes="0" containsString="0" containsNumber="1" minValue="0" maxValue="3025.4629629629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">
  <r>
    <s v="430019690"/>
    <s v="4300"/>
    <x v="0"/>
    <x v="0"/>
    <s v="430019690"/>
    <x v="0"/>
    <x v="0"/>
    <s v="OS - Dry"/>
    <n v="0"/>
    <n v="0"/>
    <n v="0"/>
    <n v="0"/>
    <m/>
    <n v="0"/>
    <n v="0"/>
    <n v="0"/>
    <n v="0"/>
    <n v="0"/>
  </r>
  <r>
    <s v="410600189"/>
    <s v="4106"/>
    <x v="1"/>
    <x v="1"/>
    <s v="410600189"/>
    <x v="1"/>
    <x v="1"/>
    <s v="T&amp;I Comm-UF"/>
    <n v="0"/>
    <n v="0"/>
    <n v="0"/>
    <n v="0"/>
    <m/>
    <n v="0"/>
    <n v="0"/>
    <n v="0"/>
    <n v="0"/>
    <n v="0"/>
  </r>
  <r>
    <s v="200000189"/>
    <s v="2000"/>
    <x v="2"/>
    <x v="1"/>
    <s v="200000189"/>
    <x v="1"/>
    <x v="1"/>
    <s v="T&amp;I Comm-UF"/>
    <n v="6478.08"/>
    <n v="0"/>
    <n v="0"/>
    <n v="0"/>
    <m/>
    <n v="1212"/>
    <n v="1212"/>
    <n v="5266.08"/>
    <n v="5.6127741553052752"/>
    <n v="5.6127741553052752"/>
  </r>
  <r>
    <s v="200001296"/>
    <s v="2000"/>
    <x v="2"/>
    <x v="2"/>
    <s v="200001296"/>
    <x v="2"/>
    <x v="1"/>
    <s v="T&amp;I EX HP 2 KG"/>
    <n v="550.20000000000005"/>
    <n v="0"/>
    <n v="0"/>
    <n v="0"/>
    <m/>
    <n v="0"/>
    <n v="0"/>
    <n v="550.20000000000005"/>
    <n v="0"/>
    <n v="0"/>
  </r>
  <r>
    <s v="200002122"/>
    <s v="2000"/>
    <x v="2"/>
    <x v="3"/>
    <s v="200002122"/>
    <x v="3"/>
    <x v="1"/>
    <s v="T&amp;I EX HP 2 KG"/>
    <n v="1122.3599999999999"/>
    <n v="0"/>
    <n v="0"/>
    <n v="0"/>
    <m/>
    <n v="1068"/>
    <n v="1068"/>
    <n v="54.3599999999999"/>
    <n v="28.546990270501443"/>
    <n v="28.546990270501443"/>
  </r>
  <r>
    <s v="200005159"/>
    <s v="2000"/>
    <x v="2"/>
    <x v="4"/>
    <s v="200005159"/>
    <x v="4"/>
    <x v="1"/>
    <s v="T&amp;I EX HP"/>
    <n v="0"/>
    <n v="0"/>
    <n v="0"/>
    <n v="0"/>
    <m/>
    <n v="3624"/>
    <n v="3624"/>
    <n v="-3624"/>
    <n v="0"/>
    <n v="0"/>
  </r>
  <r>
    <s v="200007310"/>
    <s v="2000"/>
    <x v="2"/>
    <x v="5"/>
    <s v="200007310"/>
    <x v="5"/>
    <x v="1"/>
    <s v="T&amp;I Comm -HP"/>
    <n v="6678.96"/>
    <n v="0"/>
    <n v="0"/>
    <n v="0"/>
    <m/>
    <n v="1152"/>
    <n v="1152"/>
    <n v="5526.96"/>
    <n v="5.174458298896834"/>
    <n v="5.174458298896834"/>
  </r>
  <r>
    <s v="200008529"/>
    <s v="2000"/>
    <x v="2"/>
    <x v="6"/>
    <s v="200008529"/>
    <x v="6"/>
    <x v="1"/>
    <s v="T&amp;I EX HP 2 KG"/>
    <n v="0"/>
    <n v="0"/>
    <n v="0"/>
    <n v="0"/>
    <m/>
    <n v="2172"/>
    <n v="2172"/>
    <n v="-2172"/>
    <n v="0"/>
    <n v="0"/>
  </r>
  <r>
    <s v="200013179"/>
    <s v="2000"/>
    <x v="2"/>
    <x v="7"/>
    <s v="200013179"/>
    <x v="7"/>
    <x v="1"/>
    <s v="T&amp;I EX HP 2 KG"/>
    <n v="15129.72"/>
    <n v="0"/>
    <n v="0"/>
    <n v="0"/>
    <m/>
    <n v="31644"/>
    <n v="31644"/>
    <n v="-16514.28"/>
    <n v="62.745377971304165"/>
    <n v="62.745377971304165"/>
  </r>
  <r>
    <s v="200013678"/>
    <s v="2000"/>
    <x v="2"/>
    <x v="8"/>
    <s v="200013678"/>
    <x v="8"/>
    <x v="1"/>
    <s v="T&amp;I EX HP"/>
    <n v="0"/>
    <n v="0"/>
    <n v="0"/>
    <n v="0"/>
    <m/>
    <n v="48"/>
    <n v="48"/>
    <n v="-48"/>
    <n v="0"/>
    <n v="0"/>
  </r>
  <r>
    <s v="200014654"/>
    <s v="2000"/>
    <x v="2"/>
    <x v="9"/>
    <s v="200014654"/>
    <x v="9"/>
    <x v="1"/>
    <s v="T&amp;I Comm-UF"/>
    <n v="0"/>
    <n v="0"/>
    <n v="0"/>
    <n v="0"/>
    <m/>
    <n v="36"/>
    <n v="36"/>
    <n v="-36"/>
    <n v="0"/>
    <n v="0"/>
  </r>
  <r>
    <s v="200015459"/>
    <s v="2000"/>
    <x v="2"/>
    <x v="10"/>
    <s v="200015459"/>
    <x v="10"/>
    <x v="1"/>
    <s v="T&amp;I EX HP"/>
    <n v="0"/>
    <n v="0"/>
    <n v="0"/>
    <n v="0"/>
    <m/>
    <n v="220"/>
    <n v="220"/>
    <n v="-220"/>
    <n v="0"/>
    <n v="0"/>
  </r>
  <r>
    <s v="200015906"/>
    <s v="2000"/>
    <x v="2"/>
    <x v="11"/>
    <s v="200015906"/>
    <x v="11"/>
    <x v="1"/>
    <s v="T&amp;I EX HP"/>
    <n v="0"/>
    <n v="0"/>
    <n v="0"/>
    <n v="0"/>
    <m/>
    <n v="36"/>
    <n v="36"/>
    <n v="-36"/>
    <n v="0"/>
    <n v="0"/>
  </r>
  <r>
    <s v="200016336"/>
    <s v="2000"/>
    <x v="2"/>
    <x v="12"/>
    <s v="200016336"/>
    <x v="12"/>
    <x v="1"/>
    <s v="T&amp;I Comm-UF"/>
    <n v="1663.8"/>
    <n v="0"/>
    <n v="0"/>
    <n v="0"/>
    <m/>
    <n v="96"/>
    <n v="96"/>
    <n v="1567.8"/>
    <n v="1.7309772809231878"/>
    <n v="1.7309772809231878"/>
  </r>
  <r>
    <s v="200016984"/>
    <s v="2000"/>
    <x v="2"/>
    <x v="13"/>
    <s v="200016984"/>
    <x v="13"/>
    <x v="1"/>
    <s v="T&amp;I EX HP"/>
    <n v="0"/>
    <n v="0"/>
    <n v="0"/>
    <n v="0"/>
    <m/>
    <n v="180"/>
    <n v="180"/>
    <n v="-180"/>
    <n v="0"/>
    <n v="0"/>
  </r>
  <r>
    <s v="200020308"/>
    <s v="2000"/>
    <x v="2"/>
    <x v="14"/>
    <s v="200020308"/>
    <x v="14"/>
    <x v="1"/>
    <s v="T&amp;I EX HP 2 KG"/>
    <n v="0"/>
    <n v="0"/>
    <n v="0"/>
    <n v="0"/>
    <m/>
    <n v="144"/>
    <n v="144"/>
    <n v="-144"/>
    <n v="0"/>
    <n v="0"/>
  </r>
  <r>
    <s v="200021910"/>
    <s v="2000"/>
    <x v="2"/>
    <x v="15"/>
    <s v="200021910"/>
    <x v="15"/>
    <x v="1"/>
    <s v="T&amp;I EX HP 2 KG"/>
    <n v="0"/>
    <n v="0"/>
    <n v="0"/>
    <n v="0"/>
    <m/>
    <n v="108"/>
    <n v="108"/>
    <n v="-108"/>
    <n v="0"/>
    <n v="0"/>
  </r>
  <r>
    <s v="200023081"/>
    <s v="2000"/>
    <x v="2"/>
    <x v="16"/>
    <s v="200023081"/>
    <x v="16"/>
    <x v="1"/>
    <s v="T&amp;I EX HP"/>
    <n v="0"/>
    <n v="0"/>
    <n v="0"/>
    <n v="0"/>
    <m/>
    <n v="144"/>
    <n v="144"/>
    <n v="-144"/>
    <n v="0"/>
    <n v="0"/>
  </r>
  <r>
    <s v="200023691"/>
    <s v="2000"/>
    <x v="2"/>
    <x v="17"/>
    <s v="200023691"/>
    <x v="17"/>
    <x v="1"/>
    <s v="T&amp;I EX HP"/>
    <n v="0"/>
    <n v="0"/>
    <n v="0"/>
    <n v="0"/>
    <m/>
    <n v="240"/>
    <n v="240"/>
    <n v="-240"/>
    <n v="0"/>
    <n v="0"/>
  </r>
  <r>
    <s v="200024216"/>
    <s v="2000"/>
    <x v="2"/>
    <x v="18"/>
    <s v="200024216"/>
    <x v="18"/>
    <x v="2"/>
    <s v="OS - Dry"/>
    <n v="0"/>
    <n v="0"/>
    <n v="0"/>
    <n v="0"/>
    <m/>
    <n v="216"/>
    <n v="216"/>
    <n v="-216"/>
    <n v="0"/>
    <n v="0"/>
  </r>
  <r>
    <s v="200025570"/>
    <s v="2000"/>
    <x v="2"/>
    <x v="19"/>
    <s v="200025570"/>
    <x v="19"/>
    <x v="1"/>
    <s v="T&amp;I EX HP"/>
    <n v="0"/>
    <n v="0"/>
    <n v="0"/>
    <n v="0"/>
    <m/>
    <n v="12"/>
    <n v="12"/>
    <n v="-12"/>
    <n v="0"/>
    <n v="0"/>
  </r>
  <r>
    <s v="410006151"/>
    <s v="4100"/>
    <x v="3"/>
    <x v="20"/>
    <s v="410006151"/>
    <x v="20"/>
    <x v="2"/>
    <s v="OS - Dry"/>
    <n v="48261.48"/>
    <n v="22404"/>
    <n v="0.4642211552567389"/>
    <n v="0"/>
    <m/>
    <n v="23088"/>
    <n v="23088"/>
    <n v="2769.4800000000032"/>
    <n v="14.351818468890716"/>
    <n v="14.351818468890716"/>
  </r>
  <r>
    <s v="410013490"/>
    <s v="4100"/>
    <x v="3"/>
    <x v="21"/>
    <s v="410013490"/>
    <x v="21"/>
    <x v="3"/>
    <s v="UF-Dry"/>
    <n v="1291.5999999999999"/>
    <n v="640"/>
    <n v="0.49550944564880772"/>
    <n v="0"/>
    <m/>
    <n v="6770"/>
    <n v="6770"/>
    <n v="-6118.4"/>
    <n v="157.24682564261383"/>
    <n v="157.24682564261383"/>
  </r>
  <r>
    <s v="410015300"/>
    <s v="4100"/>
    <x v="3"/>
    <x v="22"/>
    <s v="410015300"/>
    <x v="22"/>
    <x v="3"/>
    <s v="UF-Dry"/>
    <n v="130.59"/>
    <n v="27"/>
    <n v="0.2067539627842867"/>
    <n v="0"/>
    <m/>
    <n v="108"/>
    <n v="108"/>
    <n v="-4.4099999999999966"/>
    <n v="24.810475534114406"/>
    <n v="24.810475534114406"/>
  </r>
  <r>
    <s v="410019690"/>
    <s v="4100"/>
    <x v="3"/>
    <x v="0"/>
    <s v="410019690"/>
    <x v="0"/>
    <x v="0"/>
    <s v="OS - Dry"/>
    <n v="34.56"/>
    <n v="0"/>
    <n v="0"/>
    <n v="0"/>
    <m/>
    <n v="180"/>
    <n v="180"/>
    <n v="-145.44"/>
    <n v="156.24999999999997"/>
    <n v="156.24999999999997"/>
  </r>
  <r>
    <s v="410020661"/>
    <s v="4100"/>
    <x v="3"/>
    <x v="23"/>
    <s v="410020661"/>
    <x v="23"/>
    <x v="4"/>
    <s v="OS-Chill"/>
    <n v="448.32"/>
    <n v="0"/>
    <n v="0"/>
    <n v="0"/>
    <m/>
    <n v="0"/>
    <n v="0"/>
    <n v="448.32"/>
    <n v="0"/>
    <n v="0"/>
  </r>
  <r>
    <s v="410023638"/>
    <s v="4100"/>
    <x v="3"/>
    <x v="24"/>
    <s v="410023638"/>
    <x v="24"/>
    <x v="2"/>
    <s v="OS - Dry"/>
    <n v="2400"/>
    <n v="1272"/>
    <n v="0.53"/>
    <n v="0"/>
    <m/>
    <n v="3924"/>
    <n v="3924"/>
    <n v="-2796"/>
    <n v="49.05"/>
    <n v="49.05"/>
  </r>
  <r>
    <s v="410025885"/>
    <s v="4100"/>
    <x v="3"/>
    <x v="25"/>
    <s v="410025885"/>
    <x v="25"/>
    <x v="1"/>
    <s v="T&amp;I EX UF"/>
    <n v="1548"/>
    <n v="264"/>
    <n v="0.17054263565891473"/>
    <n v="0"/>
    <m/>
    <n v="2412"/>
    <n v="2412"/>
    <n v="-1128"/>
    <n v="46.744186046511629"/>
    <n v="46.744186046511629"/>
  </r>
  <r>
    <s v="410026192"/>
    <s v="4100"/>
    <x v="3"/>
    <x v="26"/>
    <s v="410026192"/>
    <x v="26"/>
    <x v="2"/>
    <s v="OS - Dry"/>
    <n v="2986.08"/>
    <n v="0"/>
    <n v="0"/>
    <n v="0"/>
    <m/>
    <n v="0"/>
    <n v="0"/>
    <n v="2986.08"/>
    <n v="0"/>
    <n v="0"/>
  </r>
  <r>
    <s v="410026234"/>
    <s v="4100"/>
    <x v="3"/>
    <x v="27"/>
    <s v="410026234"/>
    <x v="27"/>
    <x v="1"/>
    <s v="T&amp;I EX UF"/>
    <n v="0"/>
    <n v="24"/>
    <n v="0"/>
    <n v="0"/>
    <m/>
    <n v="1752"/>
    <n v="1752"/>
    <n v="-1776"/>
    <n v="0"/>
    <n v="0"/>
  </r>
  <r>
    <s v="410026744"/>
    <s v="4100"/>
    <x v="3"/>
    <x v="28"/>
    <s v="410026744"/>
    <x v="28"/>
    <x v="0"/>
    <s v="PF MFG"/>
    <n v="0"/>
    <n v="0"/>
    <n v="0"/>
    <n v="0"/>
    <m/>
    <n v="48"/>
    <n v="48"/>
    <n v="-48"/>
    <n v="0"/>
    <n v="0"/>
  </r>
  <r>
    <s v="410004145"/>
    <s v="4100"/>
    <x v="3"/>
    <x v="29"/>
    <s v="410004145"/>
    <x v="29"/>
    <x v="3"/>
    <s v="UF-Dry"/>
    <n v="22.68"/>
    <n v="9"/>
    <n v="0.3968253968253968"/>
    <n v="0"/>
    <m/>
    <n v="36"/>
    <n v="36"/>
    <n v="-22.32"/>
    <n v="47.61904761904762"/>
    <n v="47.61904761904762"/>
  </r>
  <r>
    <s v="410014248"/>
    <s v="4100"/>
    <x v="3"/>
    <x v="30"/>
    <s v="410014248"/>
    <x v="30"/>
    <x v="3"/>
    <s v="UF-Dry"/>
    <n v="904.6"/>
    <n v="230"/>
    <n v="0.25425602476232589"/>
    <n v="0"/>
    <m/>
    <n v="850"/>
    <n v="850"/>
    <n v="-175.39999999999998"/>
    <n v="28.189254919301348"/>
    <n v="28.189254919301348"/>
  </r>
  <r>
    <s v="410015305"/>
    <s v="4100"/>
    <x v="3"/>
    <x v="31"/>
    <s v="410015305"/>
    <x v="31"/>
    <x v="3"/>
    <s v="UF-Dry"/>
    <n v="83.07"/>
    <n v="9"/>
    <n v="0.10834236186348864"/>
    <n v="0"/>
    <m/>
    <n v="81"/>
    <n v="81"/>
    <n v="-6.9300000000000068"/>
    <n v="29.252437703141933"/>
    <n v="29.252437703141933"/>
  </r>
  <r>
    <s v="410016407"/>
    <s v="4100"/>
    <x v="3"/>
    <x v="32"/>
    <s v="410016407"/>
    <x v="32"/>
    <x v="3"/>
    <s v="UF-Dry"/>
    <n v="630.45000000000005"/>
    <n v="108"/>
    <n v="0.17130620985010706"/>
    <n v="0"/>
    <m/>
    <n v="1080"/>
    <n v="1080"/>
    <n v="-557.54999999999995"/>
    <n v="51.391862955032117"/>
    <n v="51.391862955032117"/>
  </r>
  <r>
    <s v="410000189"/>
    <s v="4100"/>
    <x v="3"/>
    <x v="1"/>
    <s v="410000189"/>
    <x v="1"/>
    <x v="1"/>
    <s v="T&amp;I Comm-UF"/>
    <n v="50100.480000000003"/>
    <n v="19548"/>
    <n v="0.39017590250632328"/>
    <n v="0"/>
    <m/>
    <n v="28032"/>
    <n v="28032"/>
    <n v="2520.4800000000032"/>
    <n v="16.785467923660612"/>
    <n v="16.785467923660612"/>
  </r>
  <r>
    <s v="410001167"/>
    <s v="4100"/>
    <x v="3"/>
    <x v="33"/>
    <s v="410001167"/>
    <x v="33"/>
    <x v="1"/>
    <s v="T&amp;I EX UF"/>
    <n v="3229.56"/>
    <n v="2220"/>
    <n v="0.68740014119570469"/>
    <n v="0"/>
    <m/>
    <n v="5784"/>
    <n v="5784"/>
    <n v="-4774.4400000000005"/>
    <n v="53.728681306431838"/>
    <n v="53.728681306431838"/>
  </r>
  <r>
    <s v="410001296"/>
    <s v="4100"/>
    <x v="3"/>
    <x v="2"/>
    <s v="410001296"/>
    <x v="2"/>
    <x v="1"/>
    <s v="T&amp;I EX HP 2 KG"/>
    <n v="4407.3599999999997"/>
    <n v="2016"/>
    <n v="0.45741668481812242"/>
    <n v="0"/>
    <m/>
    <n v="2784"/>
    <n v="2784"/>
    <n v="-392.64000000000033"/>
    <n v="18.950119799607933"/>
    <n v="18.950119799607933"/>
  </r>
  <r>
    <s v="410002122"/>
    <s v="4100"/>
    <x v="3"/>
    <x v="3"/>
    <s v="410002122"/>
    <x v="3"/>
    <x v="1"/>
    <s v="T&amp;I EX HP 2 KG"/>
    <n v="8971.32"/>
    <n v="6828"/>
    <n v="0.76109201321544662"/>
    <n v="6000"/>
    <d v="2026-05-23T00:00:00"/>
    <n v="4764"/>
    <n v="10764"/>
    <n v="-8620.68"/>
    <n v="35.994703120611014"/>
    <n v="15.930766041117696"/>
  </r>
  <r>
    <s v="410005159"/>
    <s v="4100"/>
    <x v="3"/>
    <x v="4"/>
    <s v="410005159"/>
    <x v="4"/>
    <x v="1"/>
    <s v="T&amp;I EX HP"/>
    <n v="1188.72"/>
    <n v="528"/>
    <n v="0.44417524732485364"/>
    <n v="804"/>
    <d v="2026-05-23T00:00:00"/>
    <n v="324"/>
    <n v="1128"/>
    <n v="-467.28"/>
    <n v="28.467595396729255"/>
    <n v="8.1768625075711689"/>
  </r>
  <r>
    <s v="410006982"/>
    <s v="4100"/>
    <x v="3"/>
    <x v="34"/>
    <s v="410006982"/>
    <x v="34"/>
    <x v="1"/>
    <s v="T&amp;I Comm-UF"/>
    <n v="6835.32"/>
    <n v="4320"/>
    <n v="0.63201137620477166"/>
    <n v="0"/>
    <m/>
    <n v="9408"/>
    <n v="9408"/>
    <n v="-6892.68"/>
    <n v="41.291409912045083"/>
    <n v="41.291409912045083"/>
  </r>
  <r>
    <s v="410007310"/>
    <s v="4100"/>
    <x v="3"/>
    <x v="5"/>
    <s v="410007310"/>
    <x v="5"/>
    <x v="1"/>
    <s v="T&amp;I Comm -HP"/>
    <n v="77218.44"/>
    <n v="33120"/>
    <n v="0.42891309381541504"/>
    <n v="3672"/>
    <d v="2026-05-23T00:00:00"/>
    <n v="58356"/>
    <n v="62028"/>
    <n v="-17929.559999999998"/>
    <n v="24.09838893404218"/>
    <n v="22.671786687221342"/>
  </r>
  <r>
    <s v="410008529"/>
    <s v="4100"/>
    <x v="3"/>
    <x v="6"/>
    <s v="410008529"/>
    <x v="6"/>
    <x v="1"/>
    <s v="T&amp;I EX HP 2 KG"/>
    <n v="8263.56"/>
    <n v="4728"/>
    <n v="0.57215050172080806"/>
    <n v="2004"/>
    <d v="2026-05-23T00:00:00"/>
    <n v="7524"/>
    <n v="9528"/>
    <n v="-5992.4400000000005"/>
    <n v="34.590418657334126"/>
    <n v="27.315103901950248"/>
  </r>
  <r>
    <s v="410013179"/>
    <s v="4100"/>
    <x v="3"/>
    <x v="7"/>
    <s v="410013179"/>
    <x v="7"/>
    <x v="1"/>
    <s v="T&amp;I EX HP 2 KG"/>
    <n v="16822.2"/>
    <n v="10008"/>
    <n v="0.59492813068445272"/>
    <n v="4992"/>
    <d v="2026-05-23T00:00:00"/>
    <n v="14880"/>
    <n v="19872"/>
    <n v="-13057.8"/>
    <n v="35.438884331419196"/>
    <n v="26.53636266362307"/>
  </r>
  <r>
    <s v="410013678"/>
    <s v="4100"/>
    <x v="3"/>
    <x v="8"/>
    <s v="410013678"/>
    <x v="8"/>
    <x v="1"/>
    <s v="T&amp;I EX HP"/>
    <n v="9756.1200000000008"/>
    <n v="3840"/>
    <n v="0.3935990947220821"/>
    <n v="0"/>
    <m/>
    <n v="8688"/>
    <n v="8688"/>
    <n v="-2771.8799999999992"/>
    <n v="26.715538554261325"/>
    <n v="26.715538554261325"/>
  </r>
  <r>
    <s v="410014654"/>
    <s v="4100"/>
    <x v="3"/>
    <x v="9"/>
    <s v="410014654"/>
    <x v="9"/>
    <x v="1"/>
    <s v="T&amp;I Comm-UF"/>
    <n v="4847.88"/>
    <n v="2220"/>
    <n v="0.45793212703284736"/>
    <n v="0"/>
    <m/>
    <n v="2628"/>
    <n v="2628"/>
    <n v="-0.11999999999989086"/>
    <n v="16.262778781653012"/>
    <n v="16.262778781653012"/>
  </r>
  <r>
    <s v="410014788"/>
    <s v="4100"/>
    <x v="3"/>
    <x v="35"/>
    <s v="410014788"/>
    <x v="35"/>
    <x v="1"/>
    <s v="T&amp;I EX HP"/>
    <n v="17943.599999999999"/>
    <n v="7236"/>
    <n v="0.40326355915200968"/>
    <n v="0"/>
    <m/>
    <n v="9816"/>
    <n v="9816"/>
    <n v="891.59999999999854"/>
    <n v="16.411422457032035"/>
    <n v="16.411422457032035"/>
  </r>
  <r>
    <s v="410015536"/>
    <s v="4100"/>
    <x v="3"/>
    <x v="36"/>
    <s v="410015536"/>
    <x v="36"/>
    <x v="5"/>
    <s v="Ganache- UF"/>
    <n v="5509.08"/>
    <n v="2856"/>
    <n v="0.51841686815221422"/>
    <n v="0"/>
    <m/>
    <n v="6120"/>
    <n v="6120"/>
    <n v="-3466.92"/>
    <n v="33.326798666928056"/>
    <n v="33.326798666928056"/>
  </r>
  <r>
    <s v="410015906"/>
    <s v="4100"/>
    <x v="3"/>
    <x v="11"/>
    <s v="410015906"/>
    <x v="11"/>
    <x v="1"/>
    <s v="T&amp;I EX HP"/>
    <n v="2242.8000000000002"/>
    <n v="1320"/>
    <n v="0.58855002675227386"/>
    <n v="492"/>
    <d v="2026-05-23T00:00:00"/>
    <n v="2124"/>
    <n v="2616"/>
    <n v="-1693.1999999999998"/>
    <n v="34.991974317817011"/>
    <n v="28.410914927768857"/>
  </r>
  <r>
    <s v="410016336"/>
    <s v="4100"/>
    <x v="3"/>
    <x v="12"/>
    <s v="410016336"/>
    <x v="12"/>
    <x v="1"/>
    <s v="T&amp;I Comm-UF"/>
    <n v="57035.88"/>
    <n v="27840"/>
    <n v="0.48811379784093806"/>
    <n v="0"/>
    <m/>
    <n v="45912"/>
    <n v="45912"/>
    <n v="-16716.120000000003"/>
    <n v="24.149009360423651"/>
    <n v="24.149009360423651"/>
  </r>
  <r>
    <s v="410016984"/>
    <s v="4100"/>
    <x v="3"/>
    <x v="13"/>
    <s v="410016984"/>
    <x v="13"/>
    <x v="1"/>
    <s v="T&amp;I EX HP"/>
    <n v="2019.12"/>
    <n v="924"/>
    <n v="0.4576251040057055"/>
    <n v="0"/>
    <m/>
    <n v="1404"/>
    <n v="1404"/>
    <n v="-308.88000000000011"/>
    <n v="20.860572922857482"/>
    <n v="20.860572922857482"/>
  </r>
  <r>
    <s v="410016998"/>
    <s v="4100"/>
    <x v="3"/>
    <x v="37"/>
    <s v="410016998"/>
    <x v="37"/>
    <x v="1"/>
    <s v="T&amp;I EX UF"/>
    <n v="5804.04"/>
    <n v="2652"/>
    <n v="0.45692310873115966"/>
    <n v="0"/>
    <m/>
    <n v="8280"/>
    <n v="8280"/>
    <n v="-5127.96"/>
    <n v="42.797775342692333"/>
    <n v="42.797775342692333"/>
  </r>
  <r>
    <s v="410018098"/>
    <s v="4100"/>
    <x v="3"/>
    <x v="38"/>
    <s v="410018098"/>
    <x v="38"/>
    <x v="1"/>
    <s v="T&amp;I EX HP"/>
    <n v="1286.6400000000001"/>
    <n v="360"/>
    <n v="0.27979854504756574"/>
    <n v="0"/>
    <m/>
    <n v="1020"/>
    <n v="1020"/>
    <n v="-93.3599999999999"/>
    <n v="23.782876329043088"/>
    <n v="23.782876329043088"/>
  </r>
  <r>
    <s v="410020308"/>
    <s v="4100"/>
    <x v="3"/>
    <x v="14"/>
    <s v="410020308"/>
    <x v="14"/>
    <x v="1"/>
    <s v="T&amp;I EX HP 2 KG"/>
    <n v="19346.16"/>
    <n v="10296"/>
    <n v="0.53219863786922061"/>
    <n v="6996"/>
    <d v="2026-05-23T00:00:00"/>
    <n v="10668"/>
    <n v="17664"/>
    <n v="-8613.84"/>
    <n v="27.391482340681563"/>
    <n v="16.542817799501297"/>
  </r>
  <r>
    <s v="410020827"/>
    <s v="4100"/>
    <x v="3"/>
    <x v="39"/>
    <s v="410020827"/>
    <x v="39"/>
    <x v="5"/>
    <s v="Ganache- UF"/>
    <n v="8814.84"/>
    <n v="4608"/>
    <n v="0.52275480893584003"/>
    <n v="0"/>
    <m/>
    <n v="9228"/>
    <n v="9228"/>
    <n v="-5021.16"/>
    <n v="31.406128755598509"/>
    <n v="31.406128755598509"/>
  </r>
  <r>
    <s v="410021910"/>
    <s v="4100"/>
    <x v="3"/>
    <x v="15"/>
    <s v="410021910"/>
    <x v="15"/>
    <x v="1"/>
    <s v="T&amp;I EX HP 2 KG"/>
    <n v="2953.44"/>
    <n v="1140"/>
    <n v="0.38599057370388429"/>
    <n v="0"/>
    <m/>
    <n v="3420"/>
    <n v="3420"/>
    <n v="-1606.56"/>
    <n v="34.739151633349586"/>
    <n v="34.739151633349586"/>
  </r>
  <r>
    <s v="410023081"/>
    <s v="4100"/>
    <x v="3"/>
    <x v="16"/>
    <s v="410023081"/>
    <x v="16"/>
    <x v="1"/>
    <s v="T&amp;I EX HP"/>
    <n v="257.27999999999997"/>
    <n v="144"/>
    <n v="0.55970149253731349"/>
    <n v="0"/>
    <m/>
    <n v="156"/>
    <n v="156"/>
    <n v="-42.720000000000027"/>
    <n v="18.190298507462689"/>
    <n v="18.190298507462689"/>
  </r>
  <r>
    <s v="410023401"/>
    <s v="4100"/>
    <x v="3"/>
    <x v="40"/>
    <s v="410023401"/>
    <x v="40"/>
    <x v="1"/>
    <s v="T&amp;I EX UF"/>
    <n v="2500.08"/>
    <n v="276"/>
    <n v="0.11039646731304599"/>
    <n v="0"/>
    <m/>
    <n v="2220"/>
    <n v="2220"/>
    <n v="4.0799999999999272"/>
    <n v="26.639147547278487"/>
    <n v="26.639147547278487"/>
  </r>
  <r>
    <s v="410024768"/>
    <s v="4100"/>
    <x v="3"/>
    <x v="41"/>
    <s v="410024768"/>
    <x v="41"/>
    <x v="1"/>
    <s v="T&amp;I EX UF"/>
    <n v="7874.64"/>
    <n v="3252"/>
    <n v="0.41297125963853581"/>
    <n v="0"/>
    <m/>
    <n v="7272"/>
    <n v="7272"/>
    <n v="-2649.3599999999997"/>
    <n v="27.704123617079638"/>
    <n v="27.704123617079638"/>
  </r>
  <r>
    <s v="410025570"/>
    <s v="4100"/>
    <x v="3"/>
    <x v="19"/>
    <s v="410025570"/>
    <x v="19"/>
    <x v="1"/>
    <s v="T&amp;I EX HP"/>
    <n v="68.28"/>
    <n v="84"/>
    <n v="1.2302284710017575"/>
    <n v="0"/>
    <m/>
    <n v="276"/>
    <n v="276"/>
    <n v="-291.72000000000003"/>
    <n v="121.26537785588751"/>
    <n v="121.26537785588751"/>
  </r>
  <r>
    <s v="410025598"/>
    <s v="4100"/>
    <x v="3"/>
    <x v="42"/>
    <s v="410025598"/>
    <x v="42"/>
    <x v="1"/>
    <s v="T&amp;I EX HP"/>
    <n v="513.6"/>
    <n v="468"/>
    <n v="0.91121495327102797"/>
    <n v="0"/>
    <m/>
    <n v="384"/>
    <n v="384"/>
    <n v="-338.4"/>
    <n v="22.429906542056074"/>
    <n v="22.429906542056074"/>
  </r>
  <r>
    <s v="410106151"/>
    <s v="4101"/>
    <x v="4"/>
    <x v="20"/>
    <s v="410106151"/>
    <x v="20"/>
    <x v="2"/>
    <s v="OS - Dry"/>
    <n v="51479.28"/>
    <n v="23316"/>
    <n v="0.45292008746043066"/>
    <n v="0"/>
    <m/>
    <n v="27744"/>
    <n v="27744"/>
    <n v="419.27999999999884"/>
    <n v="16.168058294521604"/>
    <n v="16.168058294521604"/>
  </r>
  <r>
    <s v="410113490"/>
    <s v="4101"/>
    <x v="4"/>
    <x v="21"/>
    <s v="410113490"/>
    <x v="21"/>
    <x v="3"/>
    <s v="UF-Dry"/>
    <n v="4844.8999999999996"/>
    <n v="4600"/>
    <n v="0.94945200107329364"/>
    <n v="0"/>
    <m/>
    <n v="0"/>
    <n v="0"/>
    <n v="244.89999999999964"/>
    <n v="0"/>
    <n v="0"/>
  </r>
  <r>
    <s v="410115300"/>
    <s v="4101"/>
    <x v="4"/>
    <x v="22"/>
    <s v="410115300"/>
    <x v="22"/>
    <x v="3"/>
    <s v="UF-Dry"/>
    <n v="363.15"/>
    <n v="306"/>
    <n v="0.84262701363073111"/>
    <n v="0"/>
    <m/>
    <n v="54"/>
    <n v="54"/>
    <n v="3.1499999999999773"/>
    <n v="4.4609665427509295"/>
    <n v="4.4609665427509295"/>
  </r>
  <r>
    <s v="410119690"/>
    <s v="4101"/>
    <x v="4"/>
    <x v="0"/>
    <s v="410119690"/>
    <x v="0"/>
    <x v="0"/>
    <s v="OS - Dry"/>
    <n v="320.64"/>
    <n v="312"/>
    <n v="0.97305389221556893"/>
    <n v="0"/>
    <m/>
    <n v="72"/>
    <n v="72"/>
    <n v="-63.360000000000014"/>
    <n v="6.7365269461077855"/>
    <n v="6.7365269461077855"/>
  </r>
  <r>
    <s v="410120661"/>
    <s v="4101"/>
    <x v="4"/>
    <x v="23"/>
    <s v="410120661"/>
    <x v="23"/>
    <x v="4"/>
    <s v="OS-Chill"/>
    <n v="4826.04"/>
    <n v="3168"/>
    <n v="0.65643881940472937"/>
    <n v="0"/>
    <m/>
    <n v="4920"/>
    <n v="4920"/>
    <n v="-3261.96"/>
    <n v="30.584081358629437"/>
    <n v="30.584081358629437"/>
  </r>
  <r>
    <s v="410123638"/>
    <s v="4101"/>
    <x v="4"/>
    <x v="24"/>
    <s v="410123638"/>
    <x v="24"/>
    <x v="2"/>
    <s v="OS - Dry"/>
    <n v="19999.919999999998"/>
    <n v="9132"/>
    <n v="0.45660182640730568"/>
    <n v="0"/>
    <m/>
    <n v="3540"/>
    <n v="3540"/>
    <n v="7327.9199999999983"/>
    <n v="5.3100212400849607"/>
    <n v="5.3100212400849607"/>
  </r>
  <r>
    <s v="410125885"/>
    <s v="4101"/>
    <x v="4"/>
    <x v="25"/>
    <s v="410125885"/>
    <x v="25"/>
    <x v="1"/>
    <s v="T&amp;I EX UF"/>
    <n v="9027.7199999999993"/>
    <n v="912"/>
    <n v="0.10102218500352249"/>
    <n v="0"/>
    <m/>
    <n v="14220"/>
    <n v="14220"/>
    <n v="-6104.2800000000007"/>
    <n v="47.254456274674006"/>
    <n v="47.254456274674006"/>
  </r>
  <r>
    <s v="410126026"/>
    <s v="4101"/>
    <x v="4"/>
    <x v="43"/>
    <s v="410126026"/>
    <x v="43"/>
    <x v="4"/>
    <s v="OS-Chill"/>
    <n v="1368.84"/>
    <n v="756"/>
    <n v="0.55229245200315602"/>
    <n v="0"/>
    <m/>
    <n v="3732"/>
    <n v="3732"/>
    <n v="-3119.16"/>
    <n v="81.791882177610233"/>
    <n v="81.791882177610233"/>
  </r>
  <r>
    <s v="410126192"/>
    <s v="4101"/>
    <x v="4"/>
    <x v="26"/>
    <s v="410126192"/>
    <x v="26"/>
    <x v="2"/>
    <s v="OS - Dry"/>
    <n v="1979.52"/>
    <n v="0"/>
    <n v="0"/>
    <n v="0"/>
    <m/>
    <n v="0"/>
    <n v="0"/>
    <n v="1979.52"/>
    <n v="0"/>
    <n v="0"/>
  </r>
  <r>
    <s v="410126193"/>
    <s v="4101"/>
    <x v="4"/>
    <x v="44"/>
    <s v="410126193"/>
    <x v="44"/>
    <x v="2"/>
    <s v="OS - Dry"/>
    <n v="2638.68"/>
    <n v="0"/>
    <n v="0"/>
    <n v="0"/>
    <m/>
    <n v="0"/>
    <n v="0"/>
    <n v="2638.68"/>
    <n v="0"/>
    <n v="0"/>
  </r>
  <r>
    <s v="410126234"/>
    <s v="4101"/>
    <x v="4"/>
    <x v="27"/>
    <s v="410126234"/>
    <x v="27"/>
    <x v="1"/>
    <s v="T&amp;I EX UF"/>
    <n v="0"/>
    <n v="24"/>
    <n v="0"/>
    <n v="0"/>
    <m/>
    <n v="1728"/>
    <n v="1728"/>
    <n v="-1752"/>
    <n v="0"/>
    <n v="0"/>
  </r>
  <r>
    <s v="410126744"/>
    <s v="4101"/>
    <x v="4"/>
    <x v="28"/>
    <s v="410126744"/>
    <x v="28"/>
    <x v="0"/>
    <s v="PF MFG"/>
    <n v="0"/>
    <n v="0"/>
    <n v="0"/>
    <n v="0"/>
    <m/>
    <n v="192"/>
    <n v="192"/>
    <n v="-192"/>
    <n v="0"/>
    <n v="0"/>
  </r>
  <r>
    <s v="410126745"/>
    <s v="4101"/>
    <x v="4"/>
    <x v="45"/>
    <s v="410126745"/>
    <x v="45"/>
    <x v="0"/>
    <s v="PF MFG"/>
    <n v="0"/>
    <n v="0"/>
    <n v="0"/>
    <n v="0"/>
    <m/>
    <n v="648"/>
    <n v="648"/>
    <n v="-648"/>
    <n v="0"/>
    <n v="0"/>
  </r>
  <r>
    <s v="410127021"/>
    <s v="4101"/>
    <x v="4"/>
    <x v="46"/>
    <s v="410127021"/>
    <x v="46"/>
    <x v="6"/>
    <e v="#N/A"/>
    <n v="0"/>
    <n v="0"/>
    <n v="0"/>
    <n v="0"/>
    <m/>
    <n v="120"/>
    <n v="120"/>
    <n v="-120"/>
    <n v="0"/>
    <n v="0"/>
  </r>
  <r>
    <s v="410104145"/>
    <s v="4101"/>
    <x v="4"/>
    <x v="29"/>
    <s v="410104145"/>
    <x v="29"/>
    <x v="3"/>
    <s v="UF-Dry"/>
    <n v="435.42"/>
    <n v="378"/>
    <n v="0.86812732534104997"/>
    <n v="0"/>
    <m/>
    <n v="63"/>
    <n v="63"/>
    <n v="-5.5799999999999841"/>
    <n v="4.3406366267052494"/>
    <n v="4.3406366267052494"/>
  </r>
  <r>
    <s v="410114248"/>
    <s v="4101"/>
    <x v="4"/>
    <x v="30"/>
    <s v="410114248"/>
    <x v="30"/>
    <x v="3"/>
    <s v="UF-Dry"/>
    <n v="5920.8"/>
    <n v="3400"/>
    <n v="0.57424672341575456"/>
    <n v="0"/>
    <m/>
    <n v="1320"/>
    <n v="1320"/>
    <n v="1200.8000000000002"/>
    <n v="6.6882853668423179"/>
    <n v="6.6882853668423179"/>
  </r>
  <r>
    <s v="410115305"/>
    <s v="4101"/>
    <x v="4"/>
    <x v="31"/>
    <s v="410115305"/>
    <x v="31"/>
    <x v="3"/>
    <s v="UF-Dry"/>
    <n v="206.82"/>
    <n v="36"/>
    <n v="0.1740644038294169"/>
    <n v="0"/>
    <m/>
    <n v="243"/>
    <n v="243"/>
    <n v="-72.180000000000007"/>
    <n v="35.248041775456919"/>
    <n v="35.248041775456919"/>
  </r>
  <r>
    <s v="410115312"/>
    <s v="4101"/>
    <x v="4"/>
    <x v="47"/>
    <s v="410115312"/>
    <x v="47"/>
    <x v="3"/>
    <s v="UF-Dry"/>
    <n v="421.56"/>
    <n v="36"/>
    <n v="8.5397096498719044E-2"/>
    <n v="0"/>
    <m/>
    <n v="387"/>
    <n v="387"/>
    <n v="-1.4399999999999977"/>
    <n v="27.540563620836892"/>
    <n v="27.540563620836892"/>
  </r>
  <r>
    <s v="410116407"/>
    <s v="4101"/>
    <x v="4"/>
    <x v="32"/>
    <s v="410116407"/>
    <x v="32"/>
    <x v="3"/>
    <s v="UF-Dry"/>
    <n v="1977.48"/>
    <n v="891"/>
    <n v="0.45057345712725289"/>
    <n v="0"/>
    <m/>
    <n v="1170"/>
    <n v="1170"/>
    <n v="-83.519999999999982"/>
    <n v="17.749863462588749"/>
    <n v="17.749863462588749"/>
  </r>
  <r>
    <s v="410100189"/>
    <s v="4101"/>
    <x v="4"/>
    <x v="1"/>
    <s v="410100189"/>
    <x v="1"/>
    <x v="1"/>
    <s v="T&amp;I Comm-UF"/>
    <n v="194379.24"/>
    <n v="107424"/>
    <n v="0.55265161032628796"/>
    <n v="15600"/>
    <d v="2026-05-22T00:00:00"/>
    <n v="80184"/>
    <n v="95784"/>
    <n v="-8828.7600000000093"/>
    <n v="14.783060166301709"/>
    <n v="12.375395644102735"/>
  </r>
  <r>
    <s v="410101167"/>
    <s v="4101"/>
    <x v="4"/>
    <x v="33"/>
    <s v="410101167"/>
    <x v="33"/>
    <x v="1"/>
    <s v="T&amp;I EX UF"/>
    <n v="24977.88"/>
    <n v="17952"/>
    <n v="0.71871591984587957"/>
    <n v="1200"/>
    <d v="2026-05-23T00:00:00"/>
    <n v="13632"/>
    <n v="14832"/>
    <n v="-7806.119999999999"/>
    <n v="17.81416197051151"/>
    <n v="16.372886730178863"/>
  </r>
  <r>
    <s v="410101296"/>
    <s v="4101"/>
    <x v="4"/>
    <x v="2"/>
    <s v="410101296"/>
    <x v="2"/>
    <x v="1"/>
    <s v="T&amp;I EX HP 2 KG"/>
    <n v="19237.2"/>
    <n v="11292"/>
    <n v="0.58698771130933813"/>
    <n v="1500"/>
    <d v="2026-05-23T00:00:00"/>
    <n v="11412"/>
    <n v="12912"/>
    <n v="-4966.7999999999993"/>
    <n v="20.135986526105668"/>
    <n v="17.796768760526479"/>
  </r>
  <r>
    <s v="410102122"/>
    <s v="4101"/>
    <x v="4"/>
    <x v="3"/>
    <s v="410102122"/>
    <x v="3"/>
    <x v="1"/>
    <s v="T&amp;I EX HP 2 KG"/>
    <n v="56073.72"/>
    <n v="33396"/>
    <n v="0.59557311339429597"/>
    <n v="6000"/>
    <d v="2026-05-23T00:00:00"/>
    <n v="32916"/>
    <n v="38916"/>
    <n v="-16238.279999999999"/>
    <n v="20.820448509569189"/>
    <n v="17.610388609851459"/>
  </r>
  <r>
    <s v="410105159"/>
    <s v="4101"/>
    <x v="4"/>
    <x v="4"/>
    <s v="410105159"/>
    <x v="4"/>
    <x v="1"/>
    <s v="T&amp;I EX HP"/>
    <n v="379.08"/>
    <n v="120"/>
    <n v="0.31655587211142766"/>
    <n v="204"/>
    <d v="2026-05-23T00:00:00"/>
    <n v="132"/>
    <n v="336"/>
    <n v="-76.920000000000016"/>
    <n v="26.590693257359927"/>
    <n v="10.446343779677113"/>
  </r>
  <r>
    <s v="410106982"/>
    <s v="4101"/>
    <x v="4"/>
    <x v="34"/>
    <s v="410106982"/>
    <x v="34"/>
    <x v="1"/>
    <s v="T&amp;I Comm-UF"/>
    <n v="21017.759999999998"/>
    <n v="13368"/>
    <n v="0.6360335259323544"/>
    <n v="144"/>
    <d v="2026-05-18T00:00:00"/>
    <n v="12840"/>
    <n v="12984"/>
    <n v="-5334.2400000000016"/>
    <n v="18.532897892068423"/>
    <n v="18.327357434855095"/>
  </r>
  <r>
    <s v="410107310"/>
    <s v="4101"/>
    <x v="4"/>
    <x v="5"/>
    <s v="410107310"/>
    <x v="5"/>
    <x v="1"/>
    <s v="T&amp;I Comm -HP"/>
    <n v="193047"/>
    <n v="98520"/>
    <n v="0.51034204105735914"/>
    <n v="20304"/>
    <d v="2026-05-23T00:00:00"/>
    <n v="101136"/>
    <n v="121440"/>
    <n v="-26913"/>
    <n v="18.872088144337908"/>
    <n v="15.716794355778646"/>
  </r>
  <r>
    <s v="410108529"/>
    <s v="4101"/>
    <x v="4"/>
    <x v="6"/>
    <s v="410108529"/>
    <x v="6"/>
    <x v="1"/>
    <s v="T&amp;I EX HP 2 KG"/>
    <n v="47885.279999999999"/>
    <n v="29376"/>
    <n v="0.61346618418019072"/>
    <n v="12684"/>
    <d v="2026-05-23T00:00:00"/>
    <n v="22956"/>
    <n v="35640"/>
    <n v="-17130.72"/>
    <n v="22.328364791852529"/>
    <n v="14.381872675694911"/>
  </r>
  <r>
    <s v="410113179"/>
    <s v="4101"/>
    <x v="4"/>
    <x v="7"/>
    <s v="410113179"/>
    <x v="7"/>
    <x v="1"/>
    <s v="T&amp;I EX HP 2 KG"/>
    <n v="100932.48"/>
    <n v="59124"/>
    <n v="0.58577773973254199"/>
    <n v="15600"/>
    <d v="2026-05-24T00:00:00"/>
    <n v="60804"/>
    <n v="76404"/>
    <n v="-34595.520000000004"/>
    <n v="22.709439022998346"/>
    <n v="18.072675911658965"/>
  </r>
  <r>
    <s v="410113678"/>
    <s v="4101"/>
    <x v="4"/>
    <x v="8"/>
    <s v="410113678"/>
    <x v="8"/>
    <x v="1"/>
    <s v="T&amp;I EX HP"/>
    <n v="5362.56"/>
    <n v="3948"/>
    <n v="0.73621553884711777"/>
    <n v="0"/>
    <m/>
    <n v="4440"/>
    <n v="4440"/>
    <n v="-3025.4399999999996"/>
    <n v="24.838882921589686"/>
    <n v="24.838882921589686"/>
  </r>
  <r>
    <s v="410114654"/>
    <s v="4101"/>
    <x v="4"/>
    <x v="9"/>
    <s v="410114654"/>
    <x v="9"/>
    <x v="1"/>
    <s v="T&amp;I Comm-UF"/>
    <n v="15674.04"/>
    <n v="7656"/>
    <n v="0.48845096733197052"/>
    <n v="4872"/>
    <d v="2026-05-24T00:00:00"/>
    <n v="5736"/>
    <n v="10608"/>
    <n v="-2589.9599999999991"/>
    <n v="20.303635820758398"/>
    <n v="10.978662808057143"/>
  </r>
  <r>
    <s v="410114788"/>
    <s v="4101"/>
    <x v="4"/>
    <x v="35"/>
    <s v="410114788"/>
    <x v="35"/>
    <x v="1"/>
    <s v="T&amp;I EX HP"/>
    <n v="61680.84"/>
    <n v="34056"/>
    <n v="0.55213255850601262"/>
    <n v="0"/>
    <m/>
    <n v="48372"/>
    <n v="48372"/>
    <n v="-20747.160000000003"/>
    <n v="23.526916948601869"/>
    <n v="23.526916948601869"/>
  </r>
  <r>
    <s v="410115459"/>
    <s v="4101"/>
    <x v="4"/>
    <x v="10"/>
    <s v="410115459"/>
    <x v="10"/>
    <x v="1"/>
    <s v="T&amp;I EX HP"/>
    <n v="12870"/>
    <n v="5000"/>
    <n v="0.38850038850038848"/>
    <n v="0"/>
    <m/>
    <n v="14050"/>
    <n v="14050"/>
    <n v="-6180"/>
    <n v="32.750582750582751"/>
    <n v="32.750582750582751"/>
  </r>
  <r>
    <s v="410115536"/>
    <s v="4101"/>
    <x v="4"/>
    <x v="36"/>
    <s v="410115536"/>
    <x v="36"/>
    <x v="5"/>
    <s v="Ganache- UF"/>
    <n v="23688.12"/>
    <n v="11832"/>
    <n v="0.49949088403807479"/>
    <n v="4824"/>
    <d v="2026-05-22T00:00:00"/>
    <n v="19224"/>
    <n v="24048"/>
    <n v="-12191.880000000001"/>
    <n v="30.455772767108577"/>
    <n v="24.34638122400596"/>
  </r>
  <r>
    <s v="410115906"/>
    <s v="4101"/>
    <x v="4"/>
    <x v="11"/>
    <s v="410115906"/>
    <x v="11"/>
    <x v="1"/>
    <s v="T&amp;I EX HP"/>
    <n v="25744.080000000002"/>
    <n v="9348"/>
    <n v="0.36311260685951874"/>
    <n v="1008"/>
    <d v="2026-05-21T00:00:00"/>
    <n v="17508"/>
    <n v="18516"/>
    <n v="-2119.9199999999983"/>
    <n v="21.576999449970632"/>
    <n v="20.402360465007877"/>
  </r>
  <r>
    <s v="410116336"/>
    <s v="4101"/>
    <x v="4"/>
    <x v="12"/>
    <s v="410116336"/>
    <x v="12"/>
    <x v="1"/>
    <s v="T&amp;I Comm-UF"/>
    <n v="102780.36"/>
    <n v="85368"/>
    <n v="0.8305866996379464"/>
    <n v="29256"/>
    <d v="2026-05-23T00:00:00"/>
    <n v="26148"/>
    <n v="55404"/>
    <n v="-37991.64"/>
    <n v="16.171572078556643"/>
    <n v="7.6321974353855149"/>
  </r>
  <r>
    <s v="410116984"/>
    <s v="4101"/>
    <x v="4"/>
    <x v="13"/>
    <s v="410116984"/>
    <x v="13"/>
    <x v="1"/>
    <s v="T&amp;I EX HP"/>
    <n v="2691.12"/>
    <n v="2172"/>
    <n v="0.80709890305894949"/>
    <n v="0"/>
    <m/>
    <n v="3288"/>
    <n v="3288"/>
    <n v="-2768.88"/>
    <n v="36.653883884776604"/>
    <n v="36.653883884776604"/>
  </r>
  <r>
    <s v="410116998"/>
    <s v="4101"/>
    <x v="4"/>
    <x v="37"/>
    <s v="410116998"/>
    <x v="37"/>
    <x v="1"/>
    <s v="T&amp;I EX UF"/>
    <n v="23215.200000000001"/>
    <n v="10740"/>
    <n v="0.46262793342292979"/>
    <n v="0"/>
    <m/>
    <n v="17388"/>
    <n v="17388"/>
    <n v="-4912.7999999999993"/>
    <n v="22.469761190943863"/>
    <n v="22.469761190943863"/>
  </r>
  <r>
    <s v="410118098"/>
    <s v="4101"/>
    <x v="4"/>
    <x v="38"/>
    <s v="410118098"/>
    <x v="38"/>
    <x v="1"/>
    <s v="T&amp;I EX HP"/>
    <n v="5791.08"/>
    <n v="4944"/>
    <n v="0.85372676599183572"/>
    <n v="3000"/>
    <d v="2026-05-23T00:00:00"/>
    <n v="1548"/>
    <n v="4548"/>
    <n v="-3700.92"/>
    <n v="23.560372158561098"/>
    <n v="8.0192295737582633"/>
  </r>
  <r>
    <s v="410120308"/>
    <s v="4101"/>
    <x v="4"/>
    <x v="14"/>
    <s v="410120308"/>
    <x v="14"/>
    <x v="1"/>
    <s v="T&amp;I EX HP 2 KG"/>
    <n v="50820.959999999999"/>
    <n v="28692"/>
    <n v="0.56457020882722408"/>
    <n v="6396"/>
    <d v="2026-05-23T00:00:00"/>
    <n v="31416"/>
    <n v="37812"/>
    <n v="-15683.04"/>
    <n v="22.320711769317228"/>
    <n v="18.545104224713583"/>
  </r>
  <r>
    <s v="410120827"/>
    <s v="4101"/>
    <x v="4"/>
    <x v="39"/>
    <s v="410120827"/>
    <x v="39"/>
    <x v="5"/>
    <s v="Ganache- UF"/>
    <n v="6610.68"/>
    <n v="4344"/>
    <n v="0.65711848100346704"/>
    <n v="0"/>
    <m/>
    <n v="4728"/>
    <n v="4728"/>
    <n v="-2461.3199999999997"/>
    <n v="21.456189075859061"/>
    <n v="21.456189075859061"/>
  </r>
  <r>
    <s v="410121910"/>
    <s v="4101"/>
    <x v="4"/>
    <x v="15"/>
    <s v="410121910"/>
    <x v="15"/>
    <x v="1"/>
    <s v="T&amp;I EX HP 2 KG"/>
    <n v="2281.3200000000002"/>
    <n v="1920"/>
    <n v="0.84161801062542729"/>
    <n v="1008"/>
    <d v="2026-05-23T00:00:00"/>
    <n v="1044"/>
    <n v="2052"/>
    <n v="-1690.6799999999998"/>
    <n v="26.984377465677763"/>
    <n v="13.728893798327283"/>
  </r>
  <r>
    <s v="410123081"/>
    <s v="4101"/>
    <x v="4"/>
    <x v="16"/>
    <s v="410123081"/>
    <x v="16"/>
    <x v="1"/>
    <s v="T&amp;I EX HP"/>
    <n v="2574.36"/>
    <n v="2088"/>
    <n v="0.81107537407355612"/>
    <n v="0"/>
    <m/>
    <n v="1200"/>
    <n v="1200"/>
    <n v="-713.63999999999987"/>
    <n v="13.984058173682003"/>
    <n v="13.984058173682003"/>
  </r>
  <r>
    <s v="410123401"/>
    <s v="4101"/>
    <x v="4"/>
    <x v="40"/>
    <s v="410123401"/>
    <x v="40"/>
    <x v="1"/>
    <s v="T&amp;I EX UF"/>
    <n v="3000"/>
    <n v="864"/>
    <n v="0.28799999999999998"/>
    <n v="0"/>
    <m/>
    <n v="2232"/>
    <n v="2232"/>
    <n v="-96"/>
    <n v="22.32"/>
    <n v="22.32"/>
  </r>
  <r>
    <s v="410123890"/>
    <s v="4101"/>
    <x v="4"/>
    <x v="48"/>
    <s v="410123890"/>
    <x v="48"/>
    <x v="1"/>
    <s v="T&amp;I EX HP"/>
    <n v="0"/>
    <n v="0"/>
    <n v="0"/>
    <n v="0"/>
    <m/>
    <n v="1116"/>
    <n v="1116"/>
    <n v="-1116"/>
    <n v="0"/>
    <n v="0"/>
  </r>
  <r>
    <s v="410124768"/>
    <s v="4101"/>
    <x v="4"/>
    <x v="41"/>
    <s v="410124768"/>
    <x v="41"/>
    <x v="1"/>
    <s v="T&amp;I EX UF"/>
    <n v="5962.32"/>
    <n v="2880"/>
    <n v="0.48303345006641712"/>
    <n v="0"/>
    <m/>
    <n v="6720"/>
    <n v="6720"/>
    <n v="-3637.6800000000003"/>
    <n v="33.812341504649197"/>
    <n v="33.812341504649197"/>
  </r>
  <r>
    <s v="410125570"/>
    <s v="4101"/>
    <x v="4"/>
    <x v="19"/>
    <s v="410125570"/>
    <x v="19"/>
    <x v="1"/>
    <s v="T&amp;I EX HP"/>
    <n v="1254.96"/>
    <n v="888"/>
    <n v="0.70759227385733403"/>
    <n v="3480"/>
    <d v="2026-05-22T00:00:00"/>
    <n v="1140"/>
    <n v="4620"/>
    <n v="-4253.04"/>
    <n v="110.44176706827309"/>
    <n v="27.251864601262191"/>
  </r>
  <r>
    <s v="410125598"/>
    <s v="4101"/>
    <x v="4"/>
    <x v="42"/>
    <s v="410125598"/>
    <x v="42"/>
    <x v="1"/>
    <s v="T&amp;I EX HP"/>
    <n v="9399.7199999999993"/>
    <n v="1320"/>
    <n v="0.14042971492767869"/>
    <n v="0"/>
    <m/>
    <n v="4548"/>
    <n v="4548"/>
    <n v="3531.7199999999993"/>
    <n v="14.5153259884337"/>
    <n v="14.5153259884337"/>
  </r>
  <r>
    <s v="410406151"/>
    <s v="4104"/>
    <x v="5"/>
    <x v="20"/>
    <s v="410406151"/>
    <x v="20"/>
    <x v="2"/>
    <s v="OS - Dry"/>
    <n v="12999.96"/>
    <n v="6840"/>
    <n v="0.52615546509373878"/>
    <n v="0"/>
    <m/>
    <n v="10740"/>
    <n v="10740"/>
    <n v="-4580.0400000000009"/>
    <n v="24.784691645205061"/>
    <n v="24.784691645205061"/>
  </r>
  <r>
    <s v="410413490"/>
    <s v="4104"/>
    <x v="5"/>
    <x v="21"/>
    <s v="410413490"/>
    <x v="21"/>
    <x v="3"/>
    <s v="UF-Dry"/>
    <n v="900"/>
    <n v="290"/>
    <n v="0.32222222222222224"/>
    <n v="0"/>
    <m/>
    <n v="1510"/>
    <n v="1510"/>
    <n v="-900"/>
    <n v="50.333333333333336"/>
    <n v="50.333333333333336"/>
  </r>
  <r>
    <s v="410415300"/>
    <s v="4104"/>
    <x v="5"/>
    <x v="22"/>
    <s v="410415300"/>
    <x v="22"/>
    <x v="3"/>
    <s v="UF-Dry"/>
    <n v="153"/>
    <n v="18"/>
    <n v="0.11764705882352941"/>
    <n v="0"/>
    <m/>
    <n v="198"/>
    <n v="198"/>
    <n v="-63"/>
    <n v="38.82352941176471"/>
    <n v="38.82352941176471"/>
  </r>
  <r>
    <s v="410419690"/>
    <s v="4104"/>
    <x v="5"/>
    <x v="0"/>
    <s v="410419690"/>
    <x v="0"/>
    <x v="0"/>
    <s v="OS - Dry"/>
    <n v="60"/>
    <n v="24"/>
    <n v="0.4"/>
    <n v="0"/>
    <m/>
    <n v="132"/>
    <n v="132"/>
    <n v="-96"/>
    <n v="66"/>
    <n v="66"/>
  </r>
  <r>
    <s v="410420661"/>
    <s v="4104"/>
    <x v="5"/>
    <x v="23"/>
    <s v="410420661"/>
    <x v="23"/>
    <x v="4"/>
    <s v="OS-Chill"/>
    <n v="588"/>
    <n v="168"/>
    <n v="0.2857142857142857"/>
    <n v="30"/>
    <m/>
    <n v="108"/>
    <n v="138"/>
    <n v="282"/>
    <n v="7.0408163265306118"/>
    <n v="5.5102040816326525"/>
  </r>
  <r>
    <s v="410423638"/>
    <s v="4104"/>
    <x v="5"/>
    <x v="24"/>
    <s v="410423638"/>
    <x v="24"/>
    <x v="2"/>
    <s v="OS - Dry"/>
    <n v="12000"/>
    <n v="7920"/>
    <n v="0.66"/>
    <n v="0"/>
    <m/>
    <n v="2904"/>
    <n v="2904"/>
    <n v="1176"/>
    <n v="7.26"/>
    <n v="7.26"/>
  </r>
  <r>
    <s v="410425885"/>
    <s v="4104"/>
    <x v="5"/>
    <x v="25"/>
    <s v="410425885"/>
    <x v="25"/>
    <x v="1"/>
    <s v="T&amp;I EX UF"/>
    <n v="180"/>
    <n v="0"/>
    <n v="0"/>
    <n v="0"/>
    <m/>
    <n v="1200"/>
    <n v="1200"/>
    <n v="-1020"/>
    <n v="200"/>
    <n v="200"/>
  </r>
  <r>
    <s v="410426193"/>
    <s v="4104"/>
    <x v="5"/>
    <x v="44"/>
    <s v="410426193"/>
    <x v="44"/>
    <x v="2"/>
    <s v="OS - Dry"/>
    <n v="0"/>
    <n v="720"/>
    <n v="0"/>
    <n v="0"/>
    <m/>
    <n v="0"/>
    <n v="0"/>
    <n v="-720"/>
    <n v="0"/>
    <n v="0"/>
  </r>
  <r>
    <s v="410404145"/>
    <s v="4104"/>
    <x v="5"/>
    <x v="29"/>
    <s v="410404145"/>
    <x v="29"/>
    <x v="3"/>
    <s v="UF-Dry"/>
    <n v="27"/>
    <n v="27"/>
    <n v="1"/>
    <n v="0"/>
    <m/>
    <n v="45"/>
    <n v="45"/>
    <n v="-45"/>
    <n v="50"/>
    <n v="50"/>
  </r>
  <r>
    <s v="410414248"/>
    <s v="4104"/>
    <x v="5"/>
    <x v="30"/>
    <s v="410414248"/>
    <x v="30"/>
    <x v="3"/>
    <s v="UF-Dry"/>
    <n v="380"/>
    <n v="300"/>
    <n v="0.78947368421052633"/>
    <n v="0"/>
    <m/>
    <n v="0"/>
    <n v="0"/>
    <n v="80"/>
    <n v="0"/>
    <n v="0"/>
  </r>
  <r>
    <s v="410415305"/>
    <s v="4104"/>
    <x v="5"/>
    <x v="31"/>
    <s v="410415305"/>
    <x v="31"/>
    <x v="3"/>
    <s v="UF-Dry"/>
    <n v="81"/>
    <n v="36"/>
    <n v="0.44444444444444442"/>
    <n v="0"/>
    <m/>
    <n v="126"/>
    <n v="126"/>
    <n v="-81"/>
    <n v="46.666666666666664"/>
    <n v="46.666666666666664"/>
  </r>
  <r>
    <s v="410416407"/>
    <s v="4104"/>
    <x v="5"/>
    <x v="32"/>
    <s v="410416407"/>
    <x v="32"/>
    <x v="3"/>
    <s v="UF-Dry"/>
    <n v="126"/>
    <n v="81"/>
    <n v="0.6428571428571429"/>
    <n v="0"/>
    <m/>
    <n v="189"/>
    <n v="189"/>
    <n v="-144"/>
    <n v="45"/>
    <n v="45"/>
  </r>
  <r>
    <s v="410400189"/>
    <s v="4104"/>
    <x v="5"/>
    <x v="1"/>
    <s v="410400189"/>
    <x v="1"/>
    <x v="1"/>
    <s v="T&amp;I Comm-UF"/>
    <n v="11499.96"/>
    <n v="5844"/>
    <n v="0.508175680611063"/>
    <n v="0"/>
    <m/>
    <n v="11868"/>
    <n v="11868"/>
    <n v="-6212.0400000000009"/>
    <n v="30.960107687331085"/>
    <n v="30.960107687331085"/>
  </r>
  <r>
    <s v="410401167"/>
    <s v="4104"/>
    <x v="5"/>
    <x v="33"/>
    <s v="410401167"/>
    <x v="33"/>
    <x v="1"/>
    <s v="T&amp;I EX UF"/>
    <n v="864"/>
    <n v="864"/>
    <n v="1"/>
    <n v="0"/>
    <m/>
    <n v="1044"/>
    <n v="1044"/>
    <n v="-1044"/>
    <n v="36.25"/>
    <n v="36.25"/>
  </r>
  <r>
    <s v="410401296"/>
    <s v="4104"/>
    <x v="5"/>
    <x v="2"/>
    <s v="410401296"/>
    <x v="2"/>
    <x v="1"/>
    <s v="T&amp;I EX HP 2 KG"/>
    <n v="3048"/>
    <n v="1644"/>
    <n v="0.53937007874015752"/>
    <n v="0"/>
    <m/>
    <n v="2244"/>
    <n v="2244"/>
    <n v="-840"/>
    <n v="22.086614173228348"/>
    <n v="22.086614173228348"/>
  </r>
  <r>
    <s v="410402122"/>
    <s v="4104"/>
    <x v="5"/>
    <x v="3"/>
    <s v="410402122"/>
    <x v="3"/>
    <x v="1"/>
    <s v="T&amp;I EX HP 2 KG"/>
    <n v="9000"/>
    <n v="2304"/>
    <n v="0.25600000000000001"/>
    <n v="0"/>
    <m/>
    <n v="9828"/>
    <n v="9828"/>
    <n v="-3132"/>
    <n v="32.76"/>
    <n v="32.76"/>
  </r>
  <r>
    <s v="410405159"/>
    <s v="4104"/>
    <x v="5"/>
    <x v="4"/>
    <s v="410405159"/>
    <x v="4"/>
    <x v="1"/>
    <s v="T&amp;I EX HP"/>
    <n v="24"/>
    <n v="48"/>
    <n v="2"/>
    <n v="0"/>
    <m/>
    <n v="0"/>
    <n v="0"/>
    <n v="-24"/>
    <n v="0"/>
    <n v="0"/>
  </r>
  <r>
    <s v="410406982"/>
    <s v="4104"/>
    <x v="5"/>
    <x v="34"/>
    <s v="410406982"/>
    <x v="34"/>
    <x v="1"/>
    <s v="T&amp;I Comm-UF"/>
    <n v="564"/>
    <n v="132"/>
    <n v="0.23404255319148937"/>
    <n v="0"/>
    <m/>
    <n v="1416"/>
    <n v="1416"/>
    <n v="-984"/>
    <n v="75.319148936170208"/>
    <n v="75.319148936170208"/>
  </r>
  <r>
    <s v="410407310"/>
    <s v="4104"/>
    <x v="5"/>
    <x v="5"/>
    <s v="410407310"/>
    <x v="5"/>
    <x v="1"/>
    <s v="T&amp;I Comm -HP"/>
    <n v="19999.919999999998"/>
    <n v="13776"/>
    <n v="0.68880275521102086"/>
    <n v="0"/>
    <m/>
    <n v="26016"/>
    <n v="26016"/>
    <n v="-19792.080000000002"/>
    <n v="39.024156096624388"/>
    <n v="39.024156096624388"/>
  </r>
  <r>
    <s v="410408529"/>
    <s v="4104"/>
    <x v="5"/>
    <x v="6"/>
    <s v="410408529"/>
    <x v="6"/>
    <x v="1"/>
    <s v="T&amp;I EX HP 2 KG"/>
    <n v="6000"/>
    <n v="1992"/>
    <n v="0.33200000000000002"/>
    <n v="0"/>
    <m/>
    <n v="6972"/>
    <n v="6972"/>
    <n v="-2964"/>
    <n v="34.86"/>
    <n v="34.86"/>
  </r>
  <r>
    <s v="410413179"/>
    <s v="4104"/>
    <x v="5"/>
    <x v="7"/>
    <s v="410413179"/>
    <x v="7"/>
    <x v="1"/>
    <s v="T&amp;I EX HP 2 KG"/>
    <n v="12000"/>
    <n v="6576"/>
    <n v="0.54800000000000004"/>
    <n v="0"/>
    <m/>
    <n v="9984"/>
    <n v="9984"/>
    <n v="-4560"/>
    <n v="24.96"/>
    <n v="24.96"/>
  </r>
  <r>
    <s v="410413678"/>
    <s v="4104"/>
    <x v="5"/>
    <x v="8"/>
    <s v="410413678"/>
    <x v="8"/>
    <x v="1"/>
    <s v="T&amp;I EX HP"/>
    <n v="3199.92"/>
    <n v="3432"/>
    <n v="1.0725268131703292"/>
    <n v="0"/>
    <m/>
    <n v="2784"/>
    <n v="2784"/>
    <n v="-3016.08"/>
    <n v="26.100652516312909"/>
    <n v="26.100652516312909"/>
  </r>
  <r>
    <s v="410414654"/>
    <s v="4104"/>
    <x v="5"/>
    <x v="9"/>
    <s v="410414654"/>
    <x v="9"/>
    <x v="1"/>
    <s v="T&amp;I Comm-UF"/>
    <n v="3000"/>
    <n v="1224"/>
    <n v="0.40799999999999997"/>
    <n v="0"/>
    <m/>
    <n v="1788"/>
    <n v="1788"/>
    <n v="-12"/>
    <n v="17.88"/>
    <n v="17.88"/>
  </r>
  <r>
    <s v="410414788"/>
    <s v="4104"/>
    <x v="5"/>
    <x v="35"/>
    <s v="410414788"/>
    <x v="35"/>
    <x v="1"/>
    <s v="T&amp;I EX HP"/>
    <n v="21999.96"/>
    <n v="6060"/>
    <n v="0.27545504628190232"/>
    <n v="0"/>
    <m/>
    <n v="11424"/>
    <n v="11424"/>
    <n v="4515.9599999999991"/>
    <n v="15.578210142200259"/>
    <n v="15.578210142200259"/>
  </r>
  <r>
    <s v="410415536"/>
    <s v="4104"/>
    <x v="5"/>
    <x v="36"/>
    <s v="410415536"/>
    <x v="36"/>
    <x v="5"/>
    <s v="Ganache- UF"/>
    <n v="9999.9599999999991"/>
    <n v="4632"/>
    <n v="0.46320185280741127"/>
    <n v="0"/>
    <m/>
    <n v="15804"/>
    <n v="15804"/>
    <n v="-10436.040000000001"/>
    <n v="47.412189648758599"/>
    <n v="47.412189648758599"/>
  </r>
  <r>
    <s v="410415906"/>
    <s v="4104"/>
    <x v="5"/>
    <x v="11"/>
    <s v="410415906"/>
    <x v="11"/>
    <x v="1"/>
    <s v="T&amp;I EX HP"/>
    <n v="1056"/>
    <n v="636"/>
    <n v="0.60227272727272729"/>
    <n v="0"/>
    <m/>
    <n v="1140"/>
    <n v="1140"/>
    <n v="-720"/>
    <n v="32.386363636363633"/>
    <n v="32.386363636363633"/>
  </r>
  <r>
    <s v="410416336"/>
    <s v="4104"/>
    <x v="5"/>
    <x v="12"/>
    <s v="410416336"/>
    <x v="12"/>
    <x v="1"/>
    <s v="T&amp;I Comm-UF"/>
    <n v="39999.96"/>
    <n v="19452"/>
    <n v="0.48630048630048633"/>
    <n v="0"/>
    <m/>
    <n v="35796"/>
    <n v="35796"/>
    <n v="-15248.04"/>
    <n v="26.84702684702685"/>
    <n v="26.84702684702685"/>
  </r>
  <r>
    <s v="410416984"/>
    <s v="4104"/>
    <x v="5"/>
    <x v="13"/>
    <s v="410416984"/>
    <x v="13"/>
    <x v="1"/>
    <s v="T&amp;I EX HP"/>
    <n v="144"/>
    <n v="144"/>
    <n v="1"/>
    <n v="0"/>
    <m/>
    <n v="204"/>
    <n v="204"/>
    <n v="-204"/>
    <n v="42.5"/>
    <n v="42.5"/>
  </r>
  <r>
    <s v="410416998"/>
    <s v="4104"/>
    <x v="5"/>
    <x v="37"/>
    <s v="410416998"/>
    <x v="37"/>
    <x v="1"/>
    <s v="T&amp;I EX UF"/>
    <n v="4776"/>
    <n v="4092"/>
    <n v="0.85678391959798994"/>
    <n v="0"/>
    <m/>
    <n v="6108"/>
    <n v="6108"/>
    <n v="-5424"/>
    <n v="38.366834170854275"/>
    <n v="38.366834170854275"/>
  </r>
  <r>
    <s v="410418098"/>
    <s v="4104"/>
    <x v="5"/>
    <x v="38"/>
    <s v="410418098"/>
    <x v="38"/>
    <x v="1"/>
    <s v="T&amp;I EX HP"/>
    <n v="999.96"/>
    <n v="372"/>
    <n v="0.37201488059522381"/>
    <n v="0"/>
    <m/>
    <n v="996"/>
    <n v="996"/>
    <n v="-368.03999999999996"/>
    <n v="29.881195247809913"/>
    <n v="29.881195247809913"/>
  </r>
  <r>
    <s v="410420827"/>
    <s v="4104"/>
    <x v="5"/>
    <x v="39"/>
    <s v="410420827"/>
    <x v="39"/>
    <x v="5"/>
    <s v="Ganache- UF"/>
    <n v="3499.92"/>
    <n v="1260"/>
    <n v="0.36000822875951449"/>
    <n v="0"/>
    <m/>
    <n v="7080"/>
    <n v="7080"/>
    <n v="-4840.08"/>
    <n v="60.687101419461015"/>
    <n v="60.687101419461015"/>
  </r>
  <r>
    <s v="410423081"/>
    <s v="4104"/>
    <x v="5"/>
    <x v="16"/>
    <s v="410423081"/>
    <x v="16"/>
    <x v="1"/>
    <s v="T&amp;I EX HP"/>
    <n v="300"/>
    <n v="84"/>
    <n v="0.28000000000000003"/>
    <n v="0"/>
    <m/>
    <n v="300"/>
    <n v="300"/>
    <n v="-84"/>
    <n v="30"/>
    <n v="30"/>
  </r>
  <r>
    <s v="410424768"/>
    <s v="4104"/>
    <x v="5"/>
    <x v="41"/>
    <s v="410424768"/>
    <x v="41"/>
    <x v="1"/>
    <s v="T&amp;I EX UF"/>
    <n v="3499.92"/>
    <n v="3456"/>
    <n v="0.98745114174038262"/>
    <n v="0"/>
    <m/>
    <n v="2532"/>
    <n v="2532"/>
    <n v="-2488.08"/>
    <n v="21.703353219502159"/>
    <n v="21.703353219502159"/>
  </r>
  <r>
    <s v="410425570"/>
    <s v="4104"/>
    <x v="5"/>
    <x v="19"/>
    <s v="410425570"/>
    <x v="19"/>
    <x v="1"/>
    <s v="T&amp;I EX HP"/>
    <n v="1008"/>
    <n v="1272"/>
    <n v="1.2619047619047619"/>
    <n v="0"/>
    <m/>
    <n v="2760"/>
    <n v="2760"/>
    <n v="-3024"/>
    <n v="82.142857142857139"/>
    <n v="82.142857142857139"/>
  </r>
  <r>
    <s v="410425598"/>
    <s v="4104"/>
    <x v="5"/>
    <x v="42"/>
    <s v="410425598"/>
    <x v="42"/>
    <x v="1"/>
    <s v="T&amp;I EX HP"/>
    <n v="36"/>
    <n v="12"/>
    <n v="0.33333333333333331"/>
    <n v="0"/>
    <m/>
    <n v="336"/>
    <n v="336"/>
    <n v="-312"/>
    <n v="280"/>
    <n v="280"/>
  </r>
  <r>
    <s v="410506151"/>
    <s v="4105"/>
    <x v="6"/>
    <x v="20"/>
    <s v="410506151"/>
    <x v="20"/>
    <x v="2"/>
    <s v="OS - Dry"/>
    <n v="10295.64"/>
    <n v="5772"/>
    <n v="0.56062566290196625"/>
    <n v="1500"/>
    <d v="2026-05-18T00:00:00"/>
    <n v="10188"/>
    <n v="11688"/>
    <n v="-7164.3600000000006"/>
    <n v="34.057134864855414"/>
    <n v="29.686352669673767"/>
  </r>
  <r>
    <s v="410513490"/>
    <s v="4105"/>
    <x v="6"/>
    <x v="21"/>
    <s v="410513490"/>
    <x v="21"/>
    <x v="3"/>
    <s v="UF-Dry"/>
    <n v="2152.6999999999998"/>
    <n v="1350"/>
    <n v="0.62711943141171556"/>
    <n v="0"/>
    <m/>
    <n v="2370"/>
    <n v="2370"/>
    <n v="-1567.3000000000002"/>
    <n v="33.02829005435035"/>
    <n v="33.02829005435035"/>
  </r>
  <r>
    <s v="410515300"/>
    <s v="4105"/>
    <x v="6"/>
    <x v="22"/>
    <s v="410515300"/>
    <x v="22"/>
    <x v="3"/>
    <s v="UF-Dry"/>
    <n v="207.81"/>
    <n v="90"/>
    <n v="0.43308791684711995"/>
    <n v="0"/>
    <m/>
    <n v="360"/>
    <n v="360"/>
    <n v="-242.19"/>
    <n v="51.97055002165439"/>
    <n v="51.97055002165439"/>
  </r>
  <r>
    <s v="410519690"/>
    <s v="4105"/>
    <x v="6"/>
    <x v="0"/>
    <s v="410519690"/>
    <x v="0"/>
    <x v="0"/>
    <s v="OS - Dry"/>
    <n v="0"/>
    <n v="36"/>
    <n v="0"/>
    <n v="0"/>
    <m/>
    <n v="144"/>
    <n v="144"/>
    <n v="-180"/>
    <n v="0"/>
    <n v="0"/>
  </r>
  <r>
    <s v="410520661"/>
    <s v="4105"/>
    <x v="6"/>
    <x v="23"/>
    <s v="410520661"/>
    <x v="23"/>
    <x v="4"/>
    <s v="OS-Chill"/>
    <n v="1608.36"/>
    <n v="1104"/>
    <n v="0.68641348951727232"/>
    <n v="0"/>
    <m/>
    <n v="912"/>
    <n v="912"/>
    <n v="-407.6400000000001"/>
    <n v="17.011116914123704"/>
    <n v="17.011116914123704"/>
  </r>
  <r>
    <s v="410523638"/>
    <s v="4105"/>
    <x v="6"/>
    <x v="24"/>
    <s v="410523638"/>
    <x v="24"/>
    <x v="2"/>
    <s v="OS - Dry"/>
    <n v="3499.92"/>
    <n v="324"/>
    <n v="9.2573544538160871E-2"/>
    <n v="0"/>
    <m/>
    <n v="0"/>
    <n v="0"/>
    <n v="3175.92"/>
    <n v="0"/>
    <n v="0"/>
  </r>
  <r>
    <s v="410525885"/>
    <s v="4105"/>
    <x v="6"/>
    <x v="25"/>
    <s v="410525885"/>
    <x v="25"/>
    <x v="1"/>
    <s v="T&amp;I EX UF"/>
    <n v="2320.92"/>
    <n v="528"/>
    <n v="0.22749599296830567"/>
    <n v="0"/>
    <m/>
    <n v="2916"/>
    <n v="2916"/>
    <n v="-1123.08"/>
    <n v="37.691949744067003"/>
    <n v="37.691949744067003"/>
  </r>
  <r>
    <s v="410526744"/>
    <s v="4105"/>
    <x v="6"/>
    <x v="28"/>
    <s v="410526744"/>
    <x v="28"/>
    <x v="0"/>
    <s v="PF MFG"/>
    <n v="0"/>
    <n v="0"/>
    <n v="0"/>
    <n v="0"/>
    <m/>
    <n v="48"/>
    <n v="48"/>
    <n v="-48"/>
    <n v="0"/>
    <n v="0"/>
  </r>
  <r>
    <s v="410526745"/>
    <s v="4105"/>
    <x v="6"/>
    <x v="45"/>
    <s v="410526745"/>
    <x v="45"/>
    <x v="0"/>
    <s v="PF MFG"/>
    <n v="0"/>
    <n v="0"/>
    <n v="0"/>
    <n v="0"/>
    <m/>
    <n v="192"/>
    <n v="192"/>
    <n v="-192"/>
    <n v="0"/>
    <n v="0"/>
  </r>
  <r>
    <s v="410504145"/>
    <s v="4105"/>
    <x v="6"/>
    <x v="29"/>
    <s v="410504145"/>
    <x v="29"/>
    <x v="3"/>
    <s v="UF-Dry"/>
    <n v="240.48"/>
    <n v="117"/>
    <n v="0.48652694610778446"/>
    <n v="0"/>
    <m/>
    <n v="324"/>
    <n v="324"/>
    <n v="-200.52"/>
    <n v="40.419161676646709"/>
    <n v="40.419161676646709"/>
  </r>
  <r>
    <s v="410514248"/>
    <s v="4105"/>
    <x v="6"/>
    <x v="30"/>
    <s v="410514248"/>
    <x v="30"/>
    <x v="3"/>
    <s v="UF-Dry"/>
    <n v="1076.8"/>
    <n v="800"/>
    <n v="0.74294205052005946"/>
    <n v="0"/>
    <m/>
    <n v="480"/>
    <n v="480"/>
    <n v="-203.20000000000005"/>
    <n v="13.37295690936107"/>
    <n v="13.37295690936107"/>
  </r>
  <r>
    <s v="410515305"/>
    <s v="4105"/>
    <x v="6"/>
    <x v="31"/>
    <s v="410515305"/>
    <x v="31"/>
    <x v="3"/>
    <s v="UF-Dry"/>
    <n v="73.17"/>
    <n v="36"/>
    <n v="0.49200492004920049"/>
    <n v="0"/>
    <m/>
    <n v="99"/>
    <n v="99"/>
    <n v="-61.83"/>
    <n v="40.59040590405904"/>
    <n v="40.59040590405904"/>
  </r>
  <r>
    <s v="410515312"/>
    <s v="4105"/>
    <x v="6"/>
    <x v="47"/>
    <s v="410515312"/>
    <x v="47"/>
    <x v="3"/>
    <s v="UF-Dry"/>
    <n v="16.739999999999998"/>
    <n v="9"/>
    <n v="0.53763440860215062"/>
    <n v="0"/>
    <m/>
    <n v="36"/>
    <n v="36"/>
    <n v="-28.26"/>
    <n v="64.516129032258078"/>
    <n v="64.516129032258078"/>
  </r>
  <r>
    <s v="410516407"/>
    <s v="4105"/>
    <x v="6"/>
    <x v="32"/>
    <s v="410516407"/>
    <x v="32"/>
    <x v="3"/>
    <s v="UF-Dry"/>
    <n v="668.07"/>
    <n v="360"/>
    <n v="0.5388656877273339"/>
    <n v="0"/>
    <m/>
    <n v="486"/>
    <n v="486"/>
    <n v="-177.92999999999995"/>
    <n v="21.824060352957023"/>
    <n v="21.824060352957023"/>
  </r>
  <r>
    <s v="410500189"/>
    <s v="4105"/>
    <x v="6"/>
    <x v="1"/>
    <s v="410500189"/>
    <x v="1"/>
    <x v="1"/>
    <s v="T&amp;I Comm-UF"/>
    <n v="23215.200000000001"/>
    <n v="16884"/>
    <n v="0.72728212550398008"/>
    <n v="0"/>
    <m/>
    <n v="10080"/>
    <n v="10080"/>
    <n v="-3748.7999999999993"/>
    <n v="13.025948516489196"/>
    <n v="13.025948516489196"/>
  </r>
  <r>
    <s v="410501167"/>
    <s v="4105"/>
    <x v="6"/>
    <x v="33"/>
    <s v="410501167"/>
    <x v="33"/>
    <x v="1"/>
    <s v="T&amp;I EX UF"/>
    <n v="5920.8"/>
    <n v="5148"/>
    <n v="0.86947709768950143"/>
    <n v="0"/>
    <m/>
    <n v="5124"/>
    <n v="5124"/>
    <n v="-4351.2"/>
    <n v="25.962707742196997"/>
    <n v="25.962707742196997"/>
  </r>
  <r>
    <s v="410501296"/>
    <s v="4105"/>
    <x v="6"/>
    <x v="2"/>
    <s v="410501296"/>
    <x v="2"/>
    <x v="1"/>
    <s v="T&amp;I EX HP 2 KG"/>
    <n v="2415"/>
    <n v="2184"/>
    <n v="0.90434782608695652"/>
    <n v="0"/>
    <m/>
    <n v="2196"/>
    <n v="2196"/>
    <n v="-1965"/>
    <n v="27.279503105590063"/>
    <n v="27.279503105590063"/>
  </r>
  <r>
    <s v="410502122"/>
    <s v="4105"/>
    <x v="6"/>
    <x v="3"/>
    <s v="410502122"/>
    <x v="3"/>
    <x v="1"/>
    <s v="T&amp;I EX HP 2 KG"/>
    <n v="5621.88"/>
    <n v="912"/>
    <n v="0.16222331319772032"/>
    <n v="0"/>
    <m/>
    <n v="7392"/>
    <n v="7392"/>
    <n v="-2682.12"/>
    <n v="39.445879314393046"/>
    <n v="39.445879314393046"/>
  </r>
  <r>
    <s v="410505159"/>
    <s v="4105"/>
    <x v="6"/>
    <x v="4"/>
    <s v="410505159"/>
    <x v="4"/>
    <x v="1"/>
    <s v="T&amp;I EX HP"/>
    <n v="34.56"/>
    <n v="0"/>
    <n v="0"/>
    <n v="0"/>
    <m/>
    <n v="36"/>
    <n v="36"/>
    <n v="-1.4399999999999977"/>
    <n v="31.249999999999996"/>
    <n v="31.249999999999996"/>
  </r>
  <r>
    <s v="410506982"/>
    <s v="4105"/>
    <x v="6"/>
    <x v="34"/>
    <s v="410506982"/>
    <x v="34"/>
    <x v="1"/>
    <s v="T&amp;I Comm-UF"/>
    <n v="8971.32"/>
    <n v="4716"/>
    <n v="0.52567515148272492"/>
    <n v="0"/>
    <m/>
    <n v="11364"/>
    <n v="11364"/>
    <n v="-7108.68"/>
    <n v="38.00109682856035"/>
    <n v="38.00109682856035"/>
  </r>
  <r>
    <s v="410507310"/>
    <s v="4105"/>
    <x v="6"/>
    <x v="5"/>
    <s v="410507310"/>
    <x v="5"/>
    <x v="1"/>
    <s v="T&amp;I Comm -HP"/>
    <n v="13513.32"/>
    <n v="6612"/>
    <n v="0.48929500670449599"/>
    <n v="4920"/>
    <d v="2026-05-23T00:00:00"/>
    <n v="16572"/>
    <n v="21492"/>
    <n v="-14590.68"/>
    <n v="47.712923249060928"/>
    <n v="36.790366838053117"/>
  </r>
  <r>
    <s v="410508529"/>
    <s v="4105"/>
    <x v="6"/>
    <x v="6"/>
    <s v="410508529"/>
    <x v="6"/>
    <x v="1"/>
    <s v="T&amp;I EX HP 2 KG"/>
    <n v="8263.56"/>
    <n v="4524"/>
    <n v="0.54746380494605229"/>
    <n v="0"/>
    <m/>
    <n v="10500"/>
    <n v="10500"/>
    <n v="-6760.4400000000005"/>
    <n v="38.11916413749038"/>
    <n v="38.11916413749038"/>
  </r>
  <r>
    <s v="410513179"/>
    <s v="4105"/>
    <x v="6"/>
    <x v="7"/>
    <s v="410513179"/>
    <x v="7"/>
    <x v="1"/>
    <s v="T&amp;I EX HP 2 KG"/>
    <n v="16975.560000000001"/>
    <n v="8736"/>
    <n v="0.5146221980305804"/>
    <n v="0"/>
    <m/>
    <n v="17244"/>
    <n v="17244"/>
    <n v="-9004.4399999999987"/>
    <n v="30.474399666343846"/>
    <n v="30.474399666343846"/>
  </r>
  <r>
    <s v="410513678"/>
    <s v="4105"/>
    <x v="6"/>
    <x v="8"/>
    <s v="410513678"/>
    <x v="8"/>
    <x v="1"/>
    <s v="T&amp;I EX HP"/>
    <n v="5385.36"/>
    <n v="4176"/>
    <n v="0.77543562547350597"/>
    <n v="0"/>
    <m/>
    <n v="6276"/>
    <n v="6276"/>
    <n v="-5066.6400000000003"/>
    <n v="34.961451045055483"/>
    <n v="34.961451045055483"/>
  </r>
  <r>
    <s v="410514654"/>
    <s v="4105"/>
    <x v="6"/>
    <x v="9"/>
    <s v="410514654"/>
    <x v="9"/>
    <x v="1"/>
    <s v="T&amp;I Comm-UF"/>
    <n v="1682.52"/>
    <n v="768"/>
    <n v="0.45645816988802512"/>
    <n v="240"/>
    <d v="2026-05-23T00:00:00"/>
    <n v="1092"/>
    <n v="1332"/>
    <n v="-417.48"/>
    <n v="23.750089151986309"/>
    <n v="19.470793809286072"/>
  </r>
  <r>
    <s v="410514788"/>
    <s v="4105"/>
    <x v="6"/>
    <x v="35"/>
    <s v="410514788"/>
    <x v="35"/>
    <x v="1"/>
    <s v="T&amp;I EX HP"/>
    <n v="34204.68"/>
    <n v="16500"/>
    <n v="0.48239012907005707"/>
    <n v="1200"/>
    <d v="2026-05-23T00:00:00"/>
    <n v="22512"/>
    <n v="23712"/>
    <n v="-6007.32"/>
    <n v="20.797154073653079"/>
    <n v="19.744666519318411"/>
  </r>
  <r>
    <s v="410515536"/>
    <s v="4105"/>
    <x v="6"/>
    <x v="36"/>
    <s v="410515536"/>
    <x v="36"/>
    <x v="5"/>
    <s v="Ganache- UF"/>
    <n v="4407.3599999999997"/>
    <n v="2400"/>
    <n v="0.54454367240252677"/>
    <n v="2400"/>
    <d v="2026-05-23T00:00:00"/>
    <n v="4188"/>
    <n v="6588"/>
    <n v="-4580.6400000000003"/>
    <n v="44.843171422348078"/>
    <n v="28.506861250272276"/>
  </r>
  <r>
    <s v="410515906"/>
    <s v="4105"/>
    <x v="6"/>
    <x v="11"/>
    <s v="410515906"/>
    <x v="11"/>
    <x v="1"/>
    <s v="T&amp;I EX HP"/>
    <n v="3875.88"/>
    <n v="2424"/>
    <n v="0.62540635933001021"/>
    <n v="0"/>
    <m/>
    <n v="4464"/>
    <n v="4464"/>
    <n v="-3012.12"/>
    <n v="34.552153317440172"/>
    <n v="34.552153317440172"/>
  </r>
  <r>
    <s v="410516336"/>
    <s v="4105"/>
    <x v="6"/>
    <x v="12"/>
    <s v="410516336"/>
    <x v="12"/>
    <x v="1"/>
    <s v="T&amp;I Comm-UF"/>
    <n v="57035.88"/>
    <n v="33648"/>
    <n v="0.58994443497671989"/>
    <n v="12000"/>
    <d v="2026-05-23T00:00:00"/>
    <n v="44424"/>
    <n v="56424"/>
    <n v="-33036.120000000003"/>
    <n v="29.67816048424255"/>
    <n v="23.366344132851111"/>
  </r>
  <r>
    <s v="410516984"/>
    <s v="4105"/>
    <x v="6"/>
    <x v="13"/>
    <s v="410516984"/>
    <x v="13"/>
    <x v="1"/>
    <s v="T&amp;I EX HP"/>
    <n v="64.319999999999993"/>
    <n v="24"/>
    <n v="0.37313432835820898"/>
    <n v="0"/>
    <m/>
    <n v="228"/>
    <n v="228"/>
    <n v="-187.68"/>
    <n v="106.34328358208957"/>
    <n v="106.34328358208957"/>
  </r>
  <r>
    <s v="410516998"/>
    <s v="4105"/>
    <x v="6"/>
    <x v="37"/>
    <s v="410516998"/>
    <x v="37"/>
    <x v="1"/>
    <s v="T&amp;I EX UF"/>
    <n v="5804.04"/>
    <n v="3084"/>
    <n v="0.53135402237062457"/>
    <n v="1200"/>
    <d v="2026-05-23T00:00:00"/>
    <n v="7284"/>
    <n v="8484"/>
    <n v="-5763.96"/>
    <n v="43.85221328591809"/>
    <n v="37.649637149296012"/>
  </r>
  <r>
    <s v="410518098"/>
    <s v="4105"/>
    <x v="6"/>
    <x v="38"/>
    <s v="410518098"/>
    <x v="38"/>
    <x v="1"/>
    <s v="T&amp;I EX HP"/>
    <n v="579"/>
    <n v="192"/>
    <n v="0.33160621761658032"/>
    <n v="0"/>
    <m/>
    <n v="768"/>
    <n v="768"/>
    <n v="-381"/>
    <n v="39.792746113989637"/>
    <n v="39.792746113989637"/>
  </r>
  <r>
    <s v="410520827"/>
    <s v="4105"/>
    <x v="6"/>
    <x v="39"/>
    <s v="410520827"/>
    <x v="39"/>
    <x v="5"/>
    <s v="Ganache- UF"/>
    <n v="3305.76"/>
    <n v="1944"/>
    <n v="0.58806446928996658"/>
    <n v="0"/>
    <m/>
    <n v="4440"/>
    <n v="4440"/>
    <n v="-3078.24"/>
    <n v="40.293306229127339"/>
    <n v="40.293306229127339"/>
  </r>
  <r>
    <s v="410523081"/>
    <s v="4105"/>
    <x v="6"/>
    <x v="16"/>
    <s v="410523081"/>
    <x v="16"/>
    <x v="1"/>
    <s v="T&amp;I EX HP"/>
    <n v="257.27999999999997"/>
    <n v="180"/>
    <n v="0.6996268656716419"/>
    <n v="0"/>
    <m/>
    <n v="192"/>
    <n v="192"/>
    <n v="-114.72000000000003"/>
    <n v="22.388059701492541"/>
    <n v="22.388059701492541"/>
  </r>
  <r>
    <s v="410523401"/>
    <s v="4105"/>
    <x v="6"/>
    <x v="40"/>
    <s v="410523401"/>
    <x v="40"/>
    <x v="1"/>
    <s v="T&amp;I EX UF"/>
    <n v="2500.08"/>
    <n v="660"/>
    <n v="0.26399155227032733"/>
    <n v="3000"/>
    <d v="2026-05-23T00:00:00"/>
    <n v="1200"/>
    <n v="4200"/>
    <n v="-2359.92"/>
    <n v="50.39838725160795"/>
    <n v="14.399539214745129"/>
  </r>
  <r>
    <s v="410524768"/>
    <s v="4105"/>
    <x v="6"/>
    <x v="41"/>
    <s v="410524768"/>
    <x v="41"/>
    <x v="1"/>
    <s v="T&amp;I EX UF"/>
    <n v="3364.2"/>
    <n v="1560"/>
    <n v="0.46370608168360977"/>
    <n v="0"/>
    <m/>
    <n v="5952"/>
    <n v="5952"/>
    <n v="-4147.8"/>
    <n v="53.076511503477796"/>
    <n v="53.076511503477796"/>
  </r>
  <r>
    <s v="410525598"/>
    <s v="4105"/>
    <x v="6"/>
    <x v="42"/>
    <s v="410525598"/>
    <x v="42"/>
    <x v="1"/>
    <s v="T&amp;I EX HP"/>
    <n v="307.8"/>
    <n v="396"/>
    <n v="1.2865497076023391"/>
    <n v="0"/>
    <m/>
    <n v="84"/>
    <n v="84"/>
    <n v="-172.2"/>
    <n v="8.1871345029239766"/>
    <n v="8.1871345029239766"/>
  </r>
  <r>
    <s v="410806151"/>
    <s v="4108"/>
    <x v="7"/>
    <x v="20"/>
    <s v="410806151"/>
    <x v="20"/>
    <x v="2"/>
    <s v="OS - Dry"/>
    <n v="7722.24"/>
    <n v="4248"/>
    <n v="0.55009945300845353"/>
    <n v="0"/>
    <m/>
    <n v="10332"/>
    <n v="10332"/>
    <n v="-6857.76"/>
    <n v="40.138612630532073"/>
    <n v="40.138612630532073"/>
  </r>
  <r>
    <s v="410813490"/>
    <s v="4108"/>
    <x v="7"/>
    <x v="21"/>
    <s v="410813490"/>
    <x v="21"/>
    <x v="3"/>
    <s v="UF-Dry"/>
    <n v="774.9"/>
    <n v="460"/>
    <n v="0.59362498386888629"/>
    <n v="0"/>
    <m/>
    <n v="16950"/>
    <n v="16950"/>
    <n v="-16635.099999999999"/>
    <n v="656.21370499419288"/>
    <n v="656.21370499419288"/>
  </r>
  <r>
    <s v="410815300"/>
    <s v="4108"/>
    <x v="7"/>
    <x v="22"/>
    <s v="410815300"/>
    <x v="22"/>
    <x v="3"/>
    <s v="UF-Dry"/>
    <n v="207.81"/>
    <n v="45"/>
    <n v="0.21654395842355997"/>
    <n v="0"/>
    <m/>
    <n v="1431"/>
    <n v="1431"/>
    <n v="-1268.19"/>
    <n v="206.58293633607622"/>
    <n v="206.58293633607622"/>
  </r>
  <r>
    <s v="410819690"/>
    <s v="4108"/>
    <x v="7"/>
    <x v="0"/>
    <s v="410819690"/>
    <x v="0"/>
    <x v="0"/>
    <s v="OS - Dry"/>
    <n v="206.76"/>
    <n v="12"/>
    <n v="5.8038305281485784E-2"/>
    <n v="0"/>
    <m/>
    <n v="180"/>
    <n v="180"/>
    <n v="14.759999999999991"/>
    <n v="26.117237376668605"/>
    <n v="26.117237376668605"/>
  </r>
  <r>
    <s v="410820661"/>
    <s v="4108"/>
    <x v="7"/>
    <x v="23"/>
    <s v="410820661"/>
    <x v="23"/>
    <x v="4"/>
    <s v="OS-Chill"/>
    <n v="1286.6400000000001"/>
    <n v="84"/>
    <n v="6.5286327177765335E-2"/>
    <n v="0"/>
    <m/>
    <n v="0"/>
    <n v="0"/>
    <n v="1202.6400000000001"/>
    <n v="0"/>
    <n v="0"/>
  </r>
  <r>
    <s v="410823638"/>
    <s v="4108"/>
    <x v="7"/>
    <x v="24"/>
    <s v="410823638"/>
    <x v="24"/>
    <x v="2"/>
    <s v="OS - Dry"/>
    <n v="4999.92"/>
    <n v="3720"/>
    <n v="0.74401190419046703"/>
    <n v="0"/>
    <m/>
    <n v="13092"/>
    <n v="13092"/>
    <n v="-11812.08"/>
    <n v="78.553256852109627"/>
    <n v="78.553256852109627"/>
  </r>
  <r>
    <s v="410825885"/>
    <s v="4108"/>
    <x v="7"/>
    <x v="25"/>
    <s v="410825885"/>
    <x v="25"/>
    <x v="1"/>
    <s v="T&amp;I EX UF"/>
    <n v="1548"/>
    <n v="72"/>
    <n v="4.6511627906976744E-2"/>
    <n v="0"/>
    <m/>
    <n v="39996"/>
    <n v="39996"/>
    <n v="-38520"/>
    <n v="775.11627906976742"/>
    <n v="775.11627906976742"/>
  </r>
  <r>
    <s v="410826234"/>
    <s v="4108"/>
    <x v="7"/>
    <x v="27"/>
    <s v="410826234"/>
    <x v="27"/>
    <x v="1"/>
    <s v="T&amp;I EX UF"/>
    <n v="0"/>
    <n v="0"/>
    <n v="0"/>
    <n v="0"/>
    <m/>
    <n v="10680"/>
    <n v="10680"/>
    <n v="-10680"/>
    <n v="0"/>
    <n v="0"/>
  </r>
  <r>
    <s v="410827021"/>
    <s v="4108"/>
    <x v="7"/>
    <x v="46"/>
    <s v="410827021"/>
    <x v="46"/>
    <x v="6"/>
    <e v="#N/A"/>
    <n v="0"/>
    <n v="0"/>
    <n v="0"/>
    <n v="0"/>
    <m/>
    <n v="696"/>
    <n v="696"/>
    <n v="-696"/>
    <n v="0"/>
    <n v="0"/>
  </r>
  <r>
    <s v="410804145"/>
    <s v="4108"/>
    <x v="7"/>
    <x v="29"/>
    <s v="410804145"/>
    <x v="29"/>
    <x v="3"/>
    <s v="UF-Dry"/>
    <n v="131.58000000000001"/>
    <n v="54"/>
    <n v="0.41039671682626533"/>
    <n v="0"/>
    <m/>
    <n v="1269"/>
    <n v="1269"/>
    <n v="-1191.42"/>
    <n v="289.32968536251707"/>
    <n v="289.32968536251707"/>
  </r>
  <r>
    <s v="410814248"/>
    <s v="4108"/>
    <x v="7"/>
    <x v="30"/>
    <s v="410814248"/>
    <x v="30"/>
    <x v="3"/>
    <s v="UF-Dry"/>
    <n v="129.6"/>
    <n v="80"/>
    <n v="0.61728395061728403"/>
    <n v="0"/>
    <m/>
    <n v="13070"/>
    <n v="13070"/>
    <n v="-13020.4"/>
    <n v="3025.4629629629635"/>
    <n v="3025.4629629629635"/>
  </r>
  <r>
    <s v="410815305"/>
    <s v="4108"/>
    <x v="7"/>
    <x v="31"/>
    <s v="410815305"/>
    <x v="31"/>
    <x v="3"/>
    <s v="UF-Dry"/>
    <n v="54.36"/>
    <n v="36"/>
    <n v="0.66225165562913912"/>
    <n v="0"/>
    <m/>
    <n v="3447"/>
    <n v="3447"/>
    <n v="-3428.64"/>
    <n v="1902.317880794702"/>
    <n v="1902.317880794702"/>
  </r>
  <r>
    <s v="410815312"/>
    <s v="4108"/>
    <x v="7"/>
    <x v="47"/>
    <s v="410815312"/>
    <x v="47"/>
    <x v="3"/>
    <s v="UF-Dry"/>
    <n v="0"/>
    <n v="0"/>
    <n v="0"/>
    <n v="0"/>
    <m/>
    <n v="1602"/>
    <n v="1602"/>
    <n v="-1602"/>
    <n v="0"/>
    <n v="0"/>
  </r>
  <r>
    <s v="410816407"/>
    <s v="4108"/>
    <x v="7"/>
    <x v="32"/>
    <s v="410816407"/>
    <x v="32"/>
    <x v="3"/>
    <s v="UF-Dry"/>
    <n v="130.59"/>
    <n v="27"/>
    <n v="0.2067539627842867"/>
    <n v="0"/>
    <m/>
    <n v="2034"/>
    <n v="2034"/>
    <n v="-1930.41"/>
    <n v="467.26395589248796"/>
    <n v="467.26395589248796"/>
  </r>
  <r>
    <s v="410800189"/>
    <s v="4108"/>
    <x v="7"/>
    <x v="1"/>
    <s v="410800189"/>
    <x v="1"/>
    <x v="1"/>
    <s v="T&amp;I Comm-UF"/>
    <n v="10317.36"/>
    <n v="26376"/>
    <n v="2.556467933657447"/>
    <n v="0"/>
    <m/>
    <n v="1536"/>
    <n v="1536"/>
    <n v="-17594.64"/>
    <n v="4.4662588103933558"/>
    <n v="4.4662588103933558"/>
  </r>
  <r>
    <s v="410801167"/>
    <s v="4108"/>
    <x v="7"/>
    <x v="33"/>
    <s v="410801167"/>
    <x v="33"/>
    <x v="1"/>
    <s v="T&amp;I EX UF"/>
    <n v="1615.2"/>
    <n v="1116"/>
    <n v="0.69093610698365526"/>
    <n v="0"/>
    <m/>
    <n v="2052"/>
    <n v="2052"/>
    <n v="-1552.8"/>
    <n v="38.112927191679049"/>
    <n v="38.112927191679049"/>
  </r>
  <r>
    <s v="410801296"/>
    <s v="4108"/>
    <x v="7"/>
    <x v="2"/>
    <s v="410801296"/>
    <x v="2"/>
    <x v="1"/>
    <s v="T&amp;I EX HP 2 KG"/>
    <n v="1262.8800000000001"/>
    <n v="864"/>
    <n v="0.68415051311288477"/>
    <n v="0"/>
    <m/>
    <n v="1716"/>
    <n v="1716"/>
    <n v="-1317.12"/>
    <n v="40.763968072976049"/>
    <n v="40.763968072976049"/>
  </r>
  <r>
    <s v="410802122"/>
    <s v="4108"/>
    <x v="7"/>
    <x v="3"/>
    <s v="410802122"/>
    <x v="3"/>
    <x v="1"/>
    <s v="T&amp;I EX HP 2 KG"/>
    <n v="3978.84"/>
    <n v="1692"/>
    <n v="0.42524957022649817"/>
    <n v="0"/>
    <m/>
    <n v="4788"/>
    <n v="4788"/>
    <n v="-2501.16"/>
    <n v="36.100974153270798"/>
    <n v="36.100974153270798"/>
  </r>
  <r>
    <s v="410806982"/>
    <s v="4108"/>
    <x v="7"/>
    <x v="34"/>
    <s v="410806982"/>
    <x v="34"/>
    <x v="1"/>
    <s v="T&amp;I Comm-UF"/>
    <n v="2242.8000000000002"/>
    <n v="1164"/>
    <n v="0.51899411449973243"/>
    <n v="0"/>
    <m/>
    <n v="6840"/>
    <n v="6840"/>
    <n v="-5761.2"/>
    <n v="91.492776886035301"/>
    <n v="91.492776886035301"/>
  </r>
  <r>
    <s v="410807310"/>
    <s v="4108"/>
    <x v="7"/>
    <x v="5"/>
    <s v="410807310"/>
    <x v="5"/>
    <x v="1"/>
    <s v="T&amp;I Comm -HP"/>
    <n v="37537.199999999997"/>
    <n v="12480"/>
    <n v="0.33247018957194463"/>
    <n v="0"/>
    <m/>
    <n v="55080"/>
    <n v="55080"/>
    <n v="-30022.800000000003"/>
    <n v="44.020331830823821"/>
    <n v="44.020331830823821"/>
  </r>
  <r>
    <s v="410808529"/>
    <s v="4108"/>
    <x v="7"/>
    <x v="6"/>
    <s v="410808529"/>
    <x v="6"/>
    <x v="1"/>
    <s v="T&amp;I EX HP 2 KG"/>
    <n v="4957.68"/>
    <n v="4224"/>
    <n v="0.85201142469864932"/>
    <n v="0"/>
    <m/>
    <n v="6144"/>
    <n v="6144"/>
    <n v="-5410.32"/>
    <n v="37.178680350486516"/>
    <n v="37.178680350486516"/>
  </r>
  <r>
    <s v="410813179"/>
    <s v="4108"/>
    <x v="7"/>
    <x v="7"/>
    <s v="410813179"/>
    <x v="7"/>
    <x v="1"/>
    <s v="T&amp;I EX HP 2 KG"/>
    <n v="12266.28"/>
    <n v="9108"/>
    <n v="0.74252340562909047"/>
    <n v="0"/>
    <m/>
    <n v="11028"/>
    <n v="11028"/>
    <n v="-7869.7199999999993"/>
    <n v="26.971502362574469"/>
    <n v="26.971502362574469"/>
  </r>
  <r>
    <s v="410813678"/>
    <s v="4108"/>
    <x v="7"/>
    <x v="8"/>
    <s v="410813678"/>
    <x v="8"/>
    <x v="1"/>
    <s v="T&amp;I EX HP"/>
    <n v="5574.36"/>
    <n v="2256"/>
    <n v="0.4047101371278497"/>
    <n v="0"/>
    <m/>
    <n v="5952"/>
    <n v="5952"/>
    <n v="-2633.6400000000003"/>
    <n v="32.032376810970234"/>
    <n v="32.032376810970234"/>
  </r>
  <r>
    <s v="410814654"/>
    <s v="4108"/>
    <x v="7"/>
    <x v="9"/>
    <s v="410814654"/>
    <x v="9"/>
    <x v="1"/>
    <s v="T&amp;I Comm-UF"/>
    <n v="1682.52"/>
    <n v="1116"/>
    <n v="0.66329077811853654"/>
    <n v="0"/>
    <m/>
    <n v="1428"/>
    <n v="1428"/>
    <n v="-861.48"/>
    <n v="25.461807289066403"/>
    <n v="25.461807289066403"/>
  </r>
  <r>
    <s v="410814788"/>
    <s v="4108"/>
    <x v="7"/>
    <x v="35"/>
    <s v="410814788"/>
    <x v="35"/>
    <x v="1"/>
    <s v="T&amp;I EX HP"/>
    <n v="7849.92"/>
    <n v="4452"/>
    <n v="0.56713953772777304"/>
    <n v="0"/>
    <m/>
    <n v="7848"/>
    <n v="7848"/>
    <n v="-4450.08"/>
    <n v="29.992662345603524"/>
    <n v="29.992662345603524"/>
  </r>
  <r>
    <s v="410815536"/>
    <s v="4108"/>
    <x v="7"/>
    <x v="36"/>
    <s v="410815536"/>
    <x v="36"/>
    <x v="5"/>
    <s v="Ganache- UF"/>
    <n v="2644.68"/>
    <n v="2508"/>
    <n v="0.94831888924179863"/>
    <n v="0"/>
    <m/>
    <n v="49440"/>
    <n v="49440"/>
    <n v="-49303.32"/>
    <n v="560.82399382912115"/>
    <n v="560.82399382912115"/>
  </r>
  <r>
    <s v="410815906"/>
    <s v="4108"/>
    <x v="7"/>
    <x v="11"/>
    <s v="410815906"/>
    <x v="11"/>
    <x v="1"/>
    <s v="T&amp;I EX HP"/>
    <n v="0"/>
    <n v="0"/>
    <n v="0"/>
    <n v="444"/>
    <d v="2026-03-31T00:00:00"/>
    <n v="36"/>
    <n v="480"/>
    <n v="-480"/>
    <n v="0"/>
    <n v="0"/>
  </r>
  <r>
    <s v="410816336"/>
    <s v="4108"/>
    <x v="7"/>
    <x v="12"/>
    <s v="410816336"/>
    <x v="12"/>
    <x v="1"/>
    <s v="T&amp;I Comm-UF"/>
    <n v="13688.52"/>
    <n v="9960"/>
    <n v="0.72761701045839866"/>
    <n v="0"/>
    <m/>
    <n v="44244"/>
    <n v="44244"/>
    <n v="-40515.479999999996"/>
    <n v="96.965924731088535"/>
    <n v="96.965924731088535"/>
  </r>
  <r>
    <s v="410816984"/>
    <s v="4108"/>
    <x v="7"/>
    <x v="13"/>
    <s v="410816984"/>
    <x v="13"/>
    <x v="1"/>
    <s v="T&amp;I EX HP"/>
    <n v="2019.12"/>
    <n v="936"/>
    <n v="0.46356828717461074"/>
    <n v="0"/>
    <m/>
    <n v="7944"/>
    <n v="7944"/>
    <n v="-6860.88"/>
    <n v="118.03161773445858"/>
    <n v="118.03161773445858"/>
  </r>
  <r>
    <s v="410816998"/>
    <s v="4108"/>
    <x v="7"/>
    <x v="37"/>
    <s v="410816998"/>
    <x v="37"/>
    <x v="1"/>
    <s v="T&amp;I EX UF"/>
    <n v="4702.32"/>
    <n v="2124"/>
    <n v="0.4516919307916093"/>
    <n v="0"/>
    <m/>
    <n v="34440"/>
    <n v="34440"/>
    <n v="-31861.68"/>
    <n v="219.7213290460879"/>
    <n v="219.7213290460879"/>
  </r>
  <r>
    <s v="410818098"/>
    <s v="4108"/>
    <x v="7"/>
    <x v="38"/>
    <s v="410818098"/>
    <x v="38"/>
    <x v="1"/>
    <s v="T&amp;I EX HP"/>
    <n v="192.96"/>
    <n v="0"/>
    <n v="0"/>
    <n v="0"/>
    <m/>
    <n v="396"/>
    <n v="396"/>
    <n v="-203.04"/>
    <n v="61.567164179104473"/>
    <n v="61.567164179104473"/>
  </r>
  <r>
    <s v="410820308"/>
    <s v="4108"/>
    <x v="7"/>
    <x v="14"/>
    <s v="410820308"/>
    <x v="14"/>
    <x v="1"/>
    <s v="T&amp;I EX HP 2 KG"/>
    <n v="3034.56"/>
    <n v="732"/>
    <n v="0.24122113255298958"/>
    <n v="0"/>
    <m/>
    <n v="6036"/>
    <n v="6036"/>
    <n v="-3733.44"/>
    <n v="59.672571970895284"/>
    <n v="59.672571970895284"/>
  </r>
  <r>
    <s v="410820827"/>
    <s v="4108"/>
    <x v="7"/>
    <x v="39"/>
    <s v="410820827"/>
    <x v="39"/>
    <x v="5"/>
    <s v="Ganache- UF"/>
    <n v="3305.76"/>
    <n v="1908"/>
    <n v="0.57717438652533759"/>
    <n v="0"/>
    <m/>
    <n v="6936"/>
    <n v="6936"/>
    <n v="-5538.24"/>
    <n v="62.944678379555683"/>
    <n v="62.944678379555683"/>
  </r>
  <r>
    <s v="410823081"/>
    <s v="4108"/>
    <x v="7"/>
    <x v="16"/>
    <s v="410823081"/>
    <x v="16"/>
    <x v="1"/>
    <s v="T&amp;I EX HP"/>
    <n v="25.68"/>
    <n v="0"/>
    <n v="0"/>
    <n v="0"/>
    <m/>
    <n v="132"/>
    <n v="132"/>
    <n v="-106.32"/>
    <n v="154.20560747663552"/>
    <n v="154.20560747663552"/>
  </r>
  <r>
    <s v="410823401"/>
    <s v="4108"/>
    <x v="7"/>
    <x v="40"/>
    <s v="410823401"/>
    <x v="40"/>
    <x v="1"/>
    <s v="T&amp;I EX UF"/>
    <n v="0"/>
    <n v="0"/>
    <n v="0"/>
    <n v="0"/>
    <m/>
    <n v="33036"/>
    <n v="33036"/>
    <n v="-33036"/>
    <n v="0"/>
    <n v="0"/>
  </r>
  <r>
    <s v="410824768"/>
    <s v="4108"/>
    <x v="7"/>
    <x v="41"/>
    <s v="410824768"/>
    <x v="41"/>
    <x v="1"/>
    <s v="T&amp;I EX UF"/>
    <n v="2242.8000000000002"/>
    <n v="1932"/>
    <n v="0.86142322097378266"/>
    <n v="0"/>
    <m/>
    <n v="3756"/>
    <n v="3756"/>
    <n v="-3445.2"/>
    <n v="50.240770465489561"/>
    <n v="50.240770465489561"/>
  </r>
  <r>
    <s v="410825570"/>
    <s v="4108"/>
    <x v="7"/>
    <x v="19"/>
    <s v="410825570"/>
    <x v="19"/>
    <x v="1"/>
    <s v="T&amp;I EX HP"/>
    <n v="0"/>
    <n v="0"/>
    <n v="0"/>
    <n v="0"/>
    <m/>
    <n v="180"/>
    <n v="180"/>
    <n v="-180"/>
    <n v="0"/>
    <n v="0"/>
  </r>
  <r>
    <s v="410825598"/>
    <s v="4108"/>
    <x v="7"/>
    <x v="42"/>
    <s v="410825598"/>
    <x v="42"/>
    <x v="1"/>
    <s v="T&amp;I EX HP"/>
    <n v="90"/>
    <n v="36"/>
    <n v="0.4"/>
    <n v="0"/>
    <m/>
    <n v="12"/>
    <n v="12"/>
    <n v="42"/>
    <n v="4"/>
    <n v="4"/>
  </r>
  <r>
    <s v="420006151"/>
    <s v="4200"/>
    <x v="8"/>
    <x v="20"/>
    <s v="420006151"/>
    <x v="20"/>
    <x v="2"/>
    <s v="OS - Dry"/>
    <n v="16086.84"/>
    <n v="7560"/>
    <n v="0.46994934990339932"/>
    <n v="0"/>
    <m/>
    <n v="14292"/>
    <n v="14292"/>
    <n v="-5765.16"/>
    <n v="26.652841701664219"/>
    <n v="26.652841701664219"/>
  </r>
  <r>
    <s v="420013490"/>
    <s v="4200"/>
    <x v="8"/>
    <x v="21"/>
    <s v="420013490"/>
    <x v="21"/>
    <x v="3"/>
    <s v="UF-Dry"/>
    <n v="5147.8"/>
    <n v="1740"/>
    <n v="0.33800846963751502"/>
    <n v="1200"/>
    <d v="2026-05-22T00:00:00"/>
    <n v="3410"/>
    <n v="4610"/>
    <n v="-1202.1999999999998"/>
    <n v="26.865845603947317"/>
    <n v="19.872566921791833"/>
  </r>
  <r>
    <s v="420015300"/>
    <s v="4200"/>
    <x v="8"/>
    <x v="22"/>
    <s v="420015300"/>
    <x v="22"/>
    <x v="3"/>
    <s v="UF-Dry"/>
    <n v="257.31"/>
    <n v="9"/>
    <n v="3.4977264777894368E-2"/>
    <n v="117"/>
    <d v="2026-05-22T00:00:00"/>
    <n v="0"/>
    <n v="117"/>
    <n v="131.31"/>
    <n v="13.641133263378803"/>
    <n v="0"/>
  </r>
  <r>
    <s v="420019690"/>
    <s v="4200"/>
    <x v="8"/>
    <x v="0"/>
    <s v="420019690"/>
    <x v="0"/>
    <x v="0"/>
    <s v="OS - Dry"/>
    <n v="257.27999999999997"/>
    <n v="48"/>
    <n v="0.18656716417910449"/>
    <n v="0"/>
    <m/>
    <n v="336"/>
    <n v="336"/>
    <n v="-126.72000000000003"/>
    <n v="39.179104477611943"/>
    <n v="39.179104477611943"/>
  </r>
  <r>
    <s v="420020160"/>
    <s v="4200"/>
    <x v="8"/>
    <x v="49"/>
    <s v="420020160"/>
    <x v="49"/>
    <x v="0"/>
    <s v="OS - Dry"/>
    <n v="128.63999999999999"/>
    <n v="0"/>
    <n v="0"/>
    <n v="0"/>
    <m/>
    <n v="0"/>
    <n v="0"/>
    <n v="128.63999999999999"/>
    <n v="0"/>
    <n v="0"/>
  </r>
  <r>
    <s v="420020309"/>
    <s v="4200"/>
    <x v="8"/>
    <x v="50"/>
    <s v="420020309"/>
    <x v="50"/>
    <x v="0"/>
    <s v="OS - Dry"/>
    <n v="77.16"/>
    <n v="0"/>
    <n v="0"/>
    <n v="0"/>
    <m/>
    <n v="0"/>
    <n v="0"/>
    <n v="77.16"/>
    <n v="0"/>
    <n v="0"/>
  </r>
  <r>
    <s v="420020661"/>
    <s v="4200"/>
    <x v="8"/>
    <x v="23"/>
    <s v="420020661"/>
    <x v="23"/>
    <x v="4"/>
    <s v="OS-Chill"/>
    <n v="1876.56"/>
    <n v="660"/>
    <n v="0.35170737946028907"/>
    <n v="0"/>
    <m/>
    <n v="1284"/>
    <n v="1284"/>
    <n v="-67.440000000000055"/>
    <n v="20.52692160122778"/>
    <n v="20.52692160122778"/>
  </r>
  <r>
    <s v="420023638"/>
    <s v="4200"/>
    <x v="8"/>
    <x v="24"/>
    <s v="420023638"/>
    <x v="24"/>
    <x v="2"/>
    <s v="OS - Dry"/>
    <n v="5791.08"/>
    <n v="1716"/>
    <n v="0.29631778528357405"/>
    <n v="0"/>
    <m/>
    <n v="1308"/>
    <n v="1308"/>
    <n v="2767.08"/>
    <n v="6.7759381669740355"/>
    <n v="6.7759381669740355"/>
  </r>
  <r>
    <s v="420025885"/>
    <s v="4200"/>
    <x v="8"/>
    <x v="25"/>
    <s v="420025885"/>
    <x v="25"/>
    <x v="1"/>
    <s v="T&amp;I EX UF"/>
    <n v="771.96"/>
    <n v="240"/>
    <n v="0.31089693766516396"/>
    <n v="0"/>
    <m/>
    <n v="540"/>
    <n v="540"/>
    <n v="-8.0399999999999636"/>
    <n v="20.985543292398567"/>
    <n v="20.985543292398567"/>
  </r>
  <r>
    <s v="420026234"/>
    <s v="4200"/>
    <x v="8"/>
    <x v="27"/>
    <s v="420026234"/>
    <x v="27"/>
    <x v="1"/>
    <s v="T&amp;I EX UF"/>
    <n v="0"/>
    <n v="0"/>
    <n v="0"/>
    <n v="0"/>
    <m/>
    <n v="552"/>
    <n v="552"/>
    <n v="-552"/>
    <n v="0"/>
    <n v="0"/>
  </r>
  <r>
    <s v="420026745"/>
    <s v="4200"/>
    <x v="8"/>
    <x v="45"/>
    <s v="420026745"/>
    <x v="45"/>
    <x v="0"/>
    <s v="PF MFG"/>
    <n v="128.63999999999999"/>
    <n v="0"/>
    <n v="0"/>
    <n v="0"/>
    <m/>
    <n v="0"/>
    <n v="0"/>
    <n v="128.63999999999999"/>
    <n v="0"/>
    <n v="0"/>
  </r>
  <r>
    <s v="420004145"/>
    <s v="4200"/>
    <x v="8"/>
    <x v="29"/>
    <s v="420004145"/>
    <x v="29"/>
    <x v="3"/>
    <s v="UF-Dry"/>
    <n v="720"/>
    <n v="297"/>
    <n v="0.41249999999999998"/>
    <n v="1197"/>
    <d v="2026-05-22T00:00:00"/>
    <n v="0"/>
    <n v="1197"/>
    <n v="-774"/>
    <n v="49.875"/>
    <n v="0"/>
  </r>
  <r>
    <s v="420014248"/>
    <s v="4200"/>
    <x v="8"/>
    <x v="30"/>
    <s v="420014248"/>
    <x v="30"/>
    <x v="3"/>
    <s v="UF-Dry"/>
    <n v="1029.3"/>
    <n v="430"/>
    <n v="0.41775964247546876"/>
    <n v="600"/>
    <d v="2026-05-22T00:00:00"/>
    <n v="610"/>
    <n v="1210"/>
    <n v="-610.70000000000005"/>
    <n v="35.266686097347716"/>
    <n v="17.779073156514137"/>
  </r>
  <r>
    <s v="420015305"/>
    <s v="4200"/>
    <x v="8"/>
    <x v="31"/>
    <s v="420015305"/>
    <x v="31"/>
    <x v="3"/>
    <s v="UF-Dry"/>
    <n v="192.96"/>
    <n v="99"/>
    <n v="0.51305970149253732"/>
    <n v="0"/>
    <m/>
    <n v="180"/>
    <n v="180"/>
    <n v="-86.039999999999992"/>
    <n v="27.985074626865671"/>
    <n v="27.985074626865671"/>
  </r>
  <r>
    <s v="420015312"/>
    <s v="4200"/>
    <x v="8"/>
    <x v="47"/>
    <s v="420015312"/>
    <x v="47"/>
    <x v="3"/>
    <s v="UF-Dry"/>
    <n v="144.44999999999999"/>
    <n v="54"/>
    <n v="0.37383177570093462"/>
    <n v="0"/>
    <m/>
    <n v="207"/>
    <n v="207"/>
    <n v="-116.55000000000001"/>
    <n v="42.990654205607484"/>
    <n v="42.990654205607484"/>
  </r>
  <r>
    <s v="420016407"/>
    <s v="4200"/>
    <x v="8"/>
    <x v="32"/>
    <s v="420016407"/>
    <x v="32"/>
    <x v="3"/>
    <s v="UF-Dry"/>
    <n v="578.97"/>
    <n v="189"/>
    <n v="0.32644178454842221"/>
    <n v="0"/>
    <m/>
    <n v="486"/>
    <n v="486"/>
    <n v="-96.029999999999973"/>
    <n v="25.182651950878284"/>
    <n v="25.182651950878284"/>
  </r>
  <r>
    <s v="420000189"/>
    <s v="4200"/>
    <x v="8"/>
    <x v="1"/>
    <s v="420000189"/>
    <x v="1"/>
    <x v="1"/>
    <s v="T&amp;I Comm-UF"/>
    <n v="120000"/>
    <n v="81720"/>
    <n v="0.68100000000000005"/>
    <n v="19356"/>
    <d v="2026-05-22T00:00:00"/>
    <n v="18924"/>
    <n v="38280"/>
    <n v="0"/>
    <n v="9.57"/>
    <n v="4.7309999999999999"/>
  </r>
  <r>
    <s v="420001167"/>
    <s v="4200"/>
    <x v="8"/>
    <x v="33"/>
    <s v="420001167"/>
    <x v="33"/>
    <x v="1"/>
    <s v="T&amp;I EX UF"/>
    <n v="4504.4399999999996"/>
    <n v="1704"/>
    <n v="0.37829341716173381"/>
    <n v="0"/>
    <m/>
    <n v="4056"/>
    <n v="4056"/>
    <n v="-1255.5600000000004"/>
    <n v="27.013346831126622"/>
    <n v="27.013346831126622"/>
  </r>
  <r>
    <s v="420001296"/>
    <s v="4200"/>
    <x v="8"/>
    <x v="2"/>
    <s v="420001296"/>
    <x v="2"/>
    <x v="1"/>
    <s v="T&amp;I EX HP 2 KG"/>
    <n v="7722.24"/>
    <n v="3504"/>
    <n v="0.45375435106911988"/>
    <n v="0"/>
    <m/>
    <n v="7224"/>
    <n v="7224"/>
    <n v="-3005.76"/>
    <n v="28.064395822973644"/>
    <n v="28.064395822973644"/>
  </r>
  <r>
    <s v="420002122"/>
    <s v="4200"/>
    <x v="8"/>
    <x v="3"/>
    <s v="420002122"/>
    <x v="3"/>
    <x v="1"/>
    <s v="T&amp;I EX HP 2 KG"/>
    <n v="9652.2000000000007"/>
    <n v="5448"/>
    <n v="0.56443090694349474"/>
    <n v="0"/>
    <m/>
    <n v="5268"/>
    <n v="5268"/>
    <n v="-1063.7999999999993"/>
    <n v="16.373469260893888"/>
    <n v="16.373469260893888"/>
  </r>
  <r>
    <s v="420005159"/>
    <s v="4200"/>
    <x v="8"/>
    <x v="4"/>
    <s v="420005159"/>
    <x v="4"/>
    <x v="1"/>
    <s v="T&amp;I EX HP"/>
    <n v="0"/>
    <n v="0"/>
    <n v="0"/>
    <n v="0"/>
    <m/>
    <n v="480"/>
    <n v="480"/>
    <n v="-480"/>
    <n v="0"/>
    <n v="0"/>
  </r>
  <r>
    <s v="420006982"/>
    <s v="4200"/>
    <x v="8"/>
    <x v="34"/>
    <s v="420006982"/>
    <x v="34"/>
    <x v="1"/>
    <s v="T&amp;I Comm-UF"/>
    <n v="5147.76"/>
    <n v="2160"/>
    <n v="0.41959998135111193"/>
    <n v="0"/>
    <m/>
    <n v="3084"/>
    <n v="3084"/>
    <n v="-96.239999999999782"/>
    <n v="17.972865867872628"/>
    <n v="17.972865867872628"/>
  </r>
  <r>
    <s v="420007310"/>
    <s v="4200"/>
    <x v="8"/>
    <x v="5"/>
    <s v="420007310"/>
    <x v="5"/>
    <x v="1"/>
    <s v="T&amp;I Comm -HP"/>
    <n v="25203.599999999999"/>
    <n v="13848"/>
    <n v="0.54944531733561874"/>
    <n v="0"/>
    <m/>
    <n v="26448"/>
    <n v="26448"/>
    <n v="-15092.400000000001"/>
    <n v="31.481216969004429"/>
    <n v="31.481216969004429"/>
  </r>
  <r>
    <s v="420008529"/>
    <s v="4200"/>
    <x v="8"/>
    <x v="6"/>
    <s v="420008529"/>
    <x v="6"/>
    <x v="1"/>
    <s v="T&amp;I EX HP 2 KG"/>
    <n v="7400.52"/>
    <n v="4092"/>
    <n v="0.55293411814304938"/>
    <n v="0"/>
    <m/>
    <n v="8616"/>
    <n v="8616"/>
    <n v="-5307.48"/>
    <n v="34.927275380648922"/>
    <n v="34.927275380648922"/>
  </r>
  <r>
    <s v="420013179"/>
    <s v="4200"/>
    <x v="8"/>
    <x v="7"/>
    <s v="420013179"/>
    <x v="7"/>
    <x v="1"/>
    <s v="T&amp;I EX HP 2 KG"/>
    <n v="0"/>
    <n v="0"/>
    <n v="0"/>
    <n v="0"/>
    <m/>
    <n v="60"/>
    <n v="60"/>
    <n v="-60"/>
    <n v="0"/>
    <n v="0"/>
  </r>
  <r>
    <s v="420013678"/>
    <s v="4200"/>
    <x v="8"/>
    <x v="8"/>
    <s v="420013678"/>
    <x v="8"/>
    <x v="1"/>
    <s v="T&amp;I EX HP"/>
    <n v="4504.4399999999996"/>
    <n v="1632"/>
    <n v="0.36230918826757602"/>
    <n v="0"/>
    <m/>
    <n v="4080"/>
    <n v="4080"/>
    <n v="-1207.5600000000004"/>
    <n v="27.173189120068201"/>
    <n v="27.173189120068201"/>
  </r>
  <r>
    <s v="420014654"/>
    <s v="4200"/>
    <x v="8"/>
    <x v="9"/>
    <s v="420014654"/>
    <x v="9"/>
    <x v="1"/>
    <s v="T&amp;I Comm-UF"/>
    <n v="9008.8799999999992"/>
    <n v="1644"/>
    <n v="0.18248661320830115"/>
    <n v="0"/>
    <m/>
    <n v="8376"/>
    <n v="8376"/>
    <n v="-1011.1200000000008"/>
    <n v="27.8924794203053"/>
    <n v="27.8924794203053"/>
  </r>
  <r>
    <s v="420014788"/>
    <s v="4200"/>
    <x v="8"/>
    <x v="35"/>
    <s v="420014788"/>
    <x v="35"/>
    <x v="1"/>
    <s v="T&amp;I EX HP"/>
    <n v="22522.32"/>
    <n v="12828"/>
    <n v="0.56956832155834747"/>
    <n v="0"/>
    <m/>
    <n v="11376"/>
    <n v="11376"/>
    <n v="-1681.6800000000003"/>
    <n v="15.152968255490553"/>
    <n v="15.152968255490553"/>
  </r>
  <r>
    <s v="420015536"/>
    <s v="4200"/>
    <x v="8"/>
    <x v="36"/>
    <s v="420015536"/>
    <x v="36"/>
    <x v="5"/>
    <s v="Ganache- UF"/>
    <n v="9652.2000000000007"/>
    <n v="2664"/>
    <n v="0.27599925405607012"/>
    <n v="0"/>
    <m/>
    <n v="10428"/>
    <n v="10428"/>
    <n v="-3439.7999999999993"/>
    <n v="32.41126375334121"/>
    <n v="32.41126375334121"/>
  </r>
  <r>
    <s v="420015906"/>
    <s v="4200"/>
    <x v="8"/>
    <x v="11"/>
    <s v="420015906"/>
    <x v="11"/>
    <x v="1"/>
    <s v="T&amp;I EX HP"/>
    <n v="964.92"/>
    <n v="600"/>
    <n v="0.62181320731252332"/>
    <n v="0"/>
    <m/>
    <n v="1164"/>
    <n v="1164"/>
    <n v="-799.08"/>
    <n v="36.189528665588853"/>
    <n v="36.189528665588853"/>
  </r>
  <r>
    <s v="420016336"/>
    <s v="4200"/>
    <x v="8"/>
    <x v="12"/>
    <s v="420016336"/>
    <x v="12"/>
    <x v="1"/>
    <s v="T&amp;I Comm-UF"/>
    <n v="64349.279999999999"/>
    <n v="32268"/>
    <n v="0.50145083208390206"/>
    <n v="27768"/>
    <d v="2026-05-22T00:00:00"/>
    <n v="32124"/>
    <n v="59892"/>
    <n v="-27810.720000000001"/>
    <n v="27.921990735560676"/>
    <n v="14.976391344238817"/>
  </r>
  <r>
    <s v="420016984"/>
    <s v="4200"/>
    <x v="8"/>
    <x v="13"/>
    <s v="420016984"/>
    <x v="13"/>
    <x v="1"/>
    <s v="T&amp;I EX HP"/>
    <n v="2574.36"/>
    <n v="1428"/>
    <n v="0.55470097422271936"/>
    <n v="0"/>
    <m/>
    <n v="1164"/>
    <n v="1164"/>
    <n v="-17.639999999999873"/>
    <n v="13.564536428471543"/>
    <n v="13.564536428471543"/>
  </r>
  <r>
    <s v="420016998"/>
    <s v="4200"/>
    <x v="8"/>
    <x v="37"/>
    <s v="420016998"/>
    <x v="37"/>
    <x v="1"/>
    <s v="T&amp;I EX UF"/>
    <n v="5147.76"/>
    <n v="1980"/>
    <n v="0.38463331623851926"/>
    <n v="0"/>
    <m/>
    <n v="4464"/>
    <n v="4464"/>
    <n v="-1296.2399999999998"/>
    <n v="26.015198843768939"/>
    <n v="26.015198843768939"/>
  </r>
  <r>
    <s v="420018098"/>
    <s v="4200"/>
    <x v="8"/>
    <x v="38"/>
    <s v="420018098"/>
    <x v="38"/>
    <x v="1"/>
    <s v="T&amp;I EX HP"/>
    <n v="1929.96"/>
    <n v="504"/>
    <n v="0.26114530871106134"/>
    <n v="0"/>
    <m/>
    <n v="1512"/>
    <n v="1512"/>
    <n v="-86.039999999999964"/>
    <n v="23.503077783995522"/>
    <n v="23.503077783995522"/>
  </r>
  <r>
    <s v="420020308"/>
    <s v="4200"/>
    <x v="8"/>
    <x v="14"/>
    <s v="420020308"/>
    <x v="14"/>
    <x v="1"/>
    <s v="T&amp;I EX HP 2 KG"/>
    <n v="8043.84"/>
    <n v="1200"/>
    <n v="0.14918248000954767"/>
    <n v="0"/>
    <m/>
    <n v="6948"/>
    <n v="6948"/>
    <n v="-104.15999999999985"/>
    <n v="25.912996777658432"/>
    <n v="25.912996777658432"/>
  </r>
  <r>
    <s v="420020827"/>
    <s v="4200"/>
    <x v="8"/>
    <x v="39"/>
    <s v="420020827"/>
    <x v="39"/>
    <x v="5"/>
    <s v="Ganache- UF"/>
    <n v="1286.6400000000001"/>
    <n v="1524"/>
    <n v="1.1844805073680282"/>
    <n v="0"/>
    <m/>
    <n v="972"/>
    <n v="972"/>
    <n v="-1209.3599999999999"/>
    <n v="22.663682148852825"/>
    <n v="22.663682148852825"/>
  </r>
  <r>
    <s v="420021910"/>
    <s v="4200"/>
    <x v="8"/>
    <x v="15"/>
    <s v="420021910"/>
    <x v="15"/>
    <x v="1"/>
    <s v="T&amp;I EX HP 2 KG"/>
    <n v="1286.6400000000001"/>
    <n v="3780"/>
    <n v="2.9378847229994403"/>
    <n v="0"/>
    <m/>
    <n v="2904"/>
    <n v="2904"/>
    <n v="-5397.36"/>
    <n v="67.711247901510902"/>
    <n v="67.711247901510902"/>
  </r>
  <r>
    <s v="420023081"/>
    <s v="4200"/>
    <x v="8"/>
    <x v="16"/>
    <s v="420023081"/>
    <x v="16"/>
    <x v="1"/>
    <s v="T&amp;I EX HP"/>
    <n v="900.6"/>
    <n v="48"/>
    <n v="5.3297801465689541E-2"/>
    <n v="0"/>
    <m/>
    <n v="744"/>
    <n v="744"/>
    <n v="108.60000000000002"/>
    <n v="24.783477681545637"/>
    <n v="24.783477681545637"/>
  </r>
  <r>
    <s v="420023401"/>
    <s v="4200"/>
    <x v="8"/>
    <x v="40"/>
    <s v="420023401"/>
    <x v="40"/>
    <x v="1"/>
    <s v="T&amp;I EX UF"/>
    <n v="5791.08"/>
    <n v="1956"/>
    <n v="0.33776083217638159"/>
    <n v="0"/>
    <m/>
    <n v="4200"/>
    <n v="4200"/>
    <n v="-364.92000000000007"/>
    <n v="21.757599618723969"/>
    <n v="21.757599618723969"/>
  </r>
  <r>
    <s v="420024768"/>
    <s v="4200"/>
    <x v="8"/>
    <x v="41"/>
    <s v="420024768"/>
    <x v="41"/>
    <x v="1"/>
    <s v="T&amp;I EX UF"/>
    <n v="5469.48"/>
    <n v="1824"/>
    <n v="0.33348691283266418"/>
    <n v="0"/>
    <m/>
    <n v="4848"/>
    <n v="4848"/>
    <n v="-1202.5200000000004"/>
    <n v="26.591193312709805"/>
    <n v="26.591193312709805"/>
  </r>
  <r>
    <s v="420025570"/>
    <s v="4200"/>
    <x v="8"/>
    <x v="19"/>
    <s v="420025570"/>
    <x v="19"/>
    <x v="1"/>
    <s v="T&amp;I EX HP"/>
    <n v="8043.84"/>
    <n v="5304"/>
    <n v="0.65938656164220077"/>
    <n v="0"/>
    <m/>
    <n v="7752"/>
    <n v="7752"/>
    <n v="-5012.16"/>
    <n v="28.911564625850342"/>
    <n v="28.911564625850342"/>
  </r>
  <r>
    <s v="420025598"/>
    <s v="4200"/>
    <x v="8"/>
    <x v="42"/>
    <s v="420025598"/>
    <x v="42"/>
    <x v="1"/>
    <s v="T&amp;I EX HP"/>
    <n v="4504.4399999999996"/>
    <n v="1188"/>
    <n v="0.26373977675360316"/>
    <n v="0"/>
    <m/>
    <n v="24"/>
    <n v="24"/>
    <n v="3292.4399999999996"/>
    <n v="0.15984228894157765"/>
    <n v="0.15984228894157765"/>
  </r>
  <r>
    <s v="420106151"/>
    <s v="4201"/>
    <x v="9"/>
    <x v="20"/>
    <s v="420106151"/>
    <x v="20"/>
    <x v="2"/>
    <s v="OS - Dry"/>
    <n v="4504.4399999999996"/>
    <n v="1776"/>
    <n v="0.39427764605589155"/>
    <n v="0"/>
    <m/>
    <n v="2472"/>
    <n v="2472"/>
    <n v="256.4399999999996"/>
    <n v="16.463755760982497"/>
    <n v="16.463755760982497"/>
  </r>
  <r>
    <s v="420113490"/>
    <s v="4201"/>
    <x v="9"/>
    <x v="21"/>
    <s v="420113490"/>
    <x v="21"/>
    <x v="3"/>
    <s v="UF-Dry"/>
    <n v="858.1"/>
    <n v="60"/>
    <n v="6.9921920522083666E-2"/>
    <n v="0"/>
    <m/>
    <n v="720"/>
    <n v="720"/>
    <n v="78.100000000000023"/>
    <n v="25.171891387950122"/>
    <n v="25.171891387950122"/>
  </r>
  <r>
    <s v="420115300"/>
    <s v="4201"/>
    <x v="9"/>
    <x v="22"/>
    <s v="420115300"/>
    <x v="22"/>
    <x v="3"/>
    <s v="UF-Dry"/>
    <n v="90"/>
    <n v="90"/>
    <n v="1"/>
    <n v="0"/>
    <m/>
    <n v="0"/>
    <n v="0"/>
    <n v="0"/>
    <n v="0"/>
    <n v="0"/>
  </r>
  <r>
    <s v="420119690"/>
    <s v="4201"/>
    <x v="9"/>
    <x v="0"/>
    <s v="420119690"/>
    <x v="0"/>
    <x v="0"/>
    <s v="OS - Dry"/>
    <n v="128.63999999999999"/>
    <n v="0"/>
    <n v="0"/>
    <n v="0"/>
    <m/>
    <n v="168"/>
    <n v="168"/>
    <n v="-39.360000000000014"/>
    <n v="39.179104477611943"/>
    <n v="39.179104477611943"/>
  </r>
  <r>
    <s v="420120309"/>
    <s v="4201"/>
    <x v="9"/>
    <x v="50"/>
    <s v="420120309"/>
    <x v="50"/>
    <x v="0"/>
    <s v="OS - Dry"/>
    <n v="192.96"/>
    <n v="0"/>
    <n v="0"/>
    <n v="0"/>
    <m/>
    <n v="0"/>
    <n v="0"/>
    <n v="192.96"/>
    <n v="0"/>
    <n v="0"/>
  </r>
  <r>
    <s v="420120661"/>
    <s v="4201"/>
    <x v="9"/>
    <x v="23"/>
    <s v="420120661"/>
    <x v="23"/>
    <x v="4"/>
    <s v="OS-Chill"/>
    <n v="154.32"/>
    <n v="0"/>
    <n v="0"/>
    <n v="0"/>
    <m/>
    <n v="0"/>
    <n v="0"/>
    <n v="154.32"/>
    <n v="0"/>
    <n v="0"/>
  </r>
  <r>
    <s v="420123638"/>
    <s v="4201"/>
    <x v="9"/>
    <x v="24"/>
    <s v="420123638"/>
    <x v="24"/>
    <x v="2"/>
    <s v="OS - Dry"/>
    <n v="1608.36"/>
    <n v="408"/>
    <n v="0.25367455047377452"/>
    <n v="0"/>
    <m/>
    <n v="2340"/>
    <n v="2340"/>
    <n v="-1139.6400000000001"/>
    <n v="43.646944713870035"/>
    <n v="43.646944713870035"/>
  </r>
  <r>
    <s v="420125885"/>
    <s v="4201"/>
    <x v="9"/>
    <x v="25"/>
    <s v="420125885"/>
    <x v="25"/>
    <x v="1"/>
    <s v="T&amp;I EX UF"/>
    <n v="2574.36"/>
    <n v="456"/>
    <n v="0.17713140353330536"/>
    <n v="0"/>
    <m/>
    <n v="2280"/>
    <n v="2280"/>
    <n v="-161.63999999999987"/>
    <n v="26.569710529995806"/>
    <n v="26.569710529995806"/>
  </r>
  <r>
    <s v="420126234"/>
    <s v="4201"/>
    <x v="9"/>
    <x v="27"/>
    <s v="420126234"/>
    <x v="27"/>
    <x v="1"/>
    <s v="T&amp;I EX UF"/>
    <n v="0"/>
    <n v="0"/>
    <n v="0"/>
    <n v="0"/>
    <m/>
    <n v="228"/>
    <n v="228"/>
    <n v="-228"/>
    <n v="0"/>
    <n v="0"/>
  </r>
  <r>
    <s v="420104145"/>
    <s v="4201"/>
    <x v="9"/>
    <x v="29"/>
    <s v="420104145"/>
    <x v="29"/>
    <x v="3"/>
    <s v="UF-Dry"/>
    <n v="192.96"/>
    <n v="135"/>
    <n v="0.69962686567164178"/>
    <n v="0"/>
    <m/>
    <n v="144"/>
    <n v="144"/>
    <n v="-86.039999999999992"/>
    <n v="22.388059701492537"/>
    <n v="22.388059701492537"/>
  </r>
  <r>
    <s v="420114248"/>
    <s v="4201"/>
    <x v="9"/>
    <x v="30"/>
    <s v="420114248"/>
    <x v="30"/>
    <x v="3"/>
    <s v="UF-Dry"/>
    <n v="268.2"/>
    <n v="140"/>
    <n v="0.52199850857568986"/>
    <n v="0"/>
    <m/>
    <n v="440"/>
    <n v="440"/>
    <n v="-311.8"/>
    <n v="49.217002237136469"/>
    <n v="49.217002237136469"/>
  </r>
  <r>
    <s v="420115305"/>
    <s v="4201"/>
    <x v="9"/>
    <x v="31"/>
    <s v="420115305"/>
    <x v="31"/>
    <x v="3"/>
    <s v="UF-Dry"/>
    <n v="48.42"/>
    <n v="54"/>
    <n v="1.1152416356877324"/>
    <n v="0"/>
    <m/>
    <n v="54"/>
    <n v="54"/>
    <n v="-59.58"/>
    <n v="33.457249070631967"/>
    <n v="33.457249070631967"/>
  </r>
  <r>
    <s v="420115312"/>
    <s v="4201"/>
    <x v="9"/>
    <x v="47"/>
    <s v="420115312"/>
    <x v="47"/>
    <x v="3"/>
    <s v="UF-Dry"/>
    <n v="67.23"/>
    <n v="0"/>
    <n v="0"/>
    <n v="0"/>
    <m/>
    <n v="144"/>
    <n v="144"/>
    <n v="-76.77"/>
    <n v="64.257028112449802"/>
    <n v="64.257028112449802"/>
  </r>
  <r>
    <s v="420116407"/>
    <s v="4201"/>
    <x v="9"/>
    <x v="32"/>
    <s v="420116407"/>
    <x v="32"/>
    <x v="3"/>
    <s v="UF-Dry"/>
    <n v="48.42"/>
    <n v="36"/>
    <n v="0.74349442379182151"/>
    <n v="0"/>
    <m/>
    <n v="153"/>
    <n v="153"/>
    <n v="-140.57999999999998"/>
    <n v="94.795539033457246"/>
    <n v="94.795539033457246"/>
  </r>
  <r>
    <s v="420100189"/>
    <s v="4201"/>
    <x v="9"/>
    <x v="1"/>
    <s v="420100189"/>
    <x v="1"/>
    <x v="1"/>
    <s v="T&amp;I Comm-UF"/>
    <n v="31357.08"/>
    <n v="14772"/>
    <n v="0.47108978259455281"/>
    <n v="0"/>
    <m/>
    <n v="30876"/>
    <n v="30876"/>
    <n v="-14290.919999999998"/>
    <n v="29.539740307452092"/>
    <n v="29.539740307452092"/>
  </r>
  <r>
    <s v="420101167"/>
    <s v="4201"/>
    <x v="9"/>
    <x v="33"/>
    <s v="420101167"/>
    <x v="33"/>
    <x v="1"/>
    <s v="T&amp;I EX UF"/>
    <n v="1929.96"/>
    <n v="120"/>
    <n v="6.2177454455014609E-2"/>
    <n v="0"/>
    <m/>
    <n v="3288"/>
    <n v="3288"/>
    <n v="-1478.04"/>
    <n v="51.109867562022004"/>
    <n v="51.109867562022004"/>
  </r>
  <r>
    <s v="420101296"/>
    <s v="4201"/>
    <x v="9"/>
    <x v="2"/>
    <s v="420101296"/>
    <x v="2"/>
    <x v="1"/>
    <s v="T&amp;I EX HP 2 KG"/>
    <n v="514.67999999999995"/>
    <n v="156"/>
    <n v="0.30310095593378411"/>
    <n v="0"/>
    <m/>
    <n v="612"/>
    <n v="612"/>
    <n v="-253.32000000000005"/>
    <n v="35.672650967591515"/>
    <n v="35.672650967591515"/>
  </r>
  <r>
    <s v="420102122"/>
    <s v="4201"/>
    <x v="9"/>
    <x v="3"/>
    <s v="420102122"/>
    <x v="3"/>
    <x v="1"/>
    <s v="T&amp;I EX HP 2 KG"/>
    <n v="1448.04"/>
    <n v="348"/>
    <n v="0.24032485290461589"/>
    <n v="0"/>
    <m/>
    <n v="2364"/>
    <n v="2364"/>
    <n v="-1263.96"/>
    <n v="48.976547609182063"/>
    <n v="48.976547609182063"/>
  </r>
  <r>
    <s v="420105159"/>
    <s v="4201"/>
    <x v="9"/>
    <x v="4"/>
    <s v="420105159"/>
    <x v="4"/>
    <x v="1"/>
    <s v="T&amp;I EX HP"/>
    <n v="3861.12"/>
    <n v="1272"/>
    <n v="0.32943809050223771"/>
    <n v="0"/>
    <m/>
    <n v="1464"/>
    <n v="1464"/>
    <n v="1125.1199999999999"/>
    <n v="11.374937841869716"/>
    <n v="11.374937841869716"/>
  </r>
  <r>
    <s v="420106982"/>
    <s v="4201"/>
    <x v="9"/>
    <x v="34"/>
    <s v="420106982"/>
    <x v="34"/>
    <x v="1"/>
    <s v="T&amp;I Comm-UF"/>
    <n v="1126.32"/>
    <n v="36"/>
    <n v="3.1962497336458555E-2"/>
    <n v="0"/>
    <m/>
    <n v="1524"/>
    <n v="1524"/>
    <n v="-433.68000000000006"/>
    <n v="40.592371617302369"/>
    <n v="40.592371617302369"/>
  </r>
  <r>
    <s v="420107310"/>
    <s v="4201"/>
    <x v="9"/>
    <x v="5"/>
    <s v="420107310"/>
    <x v="5"/>
    <x v="1"/>
    <s v="T&amp;I Comm -HP"/>
    <n v="2574.36"/>
    <n v="816"/>
    <n v="0.31697198527012538"/>
    <n v="0"/>
    <m/>
    <n v="4248"/>
    <n v="4248"/>
    <n v="-2489.64"/>
    <n v="49.503565934834292"/>
    <n v="49.503565934834292"/>
  </r>
  <r>
    <s v="420108529"/>
    <s v="4201"/>
    <x v="9"/>
    <x v="6"/>
    <s v="420108529"/>
    <x v="6"/>
    <x v="1"/>
    <s v="T&amp;I EX HP 2 KG"/>
    <n v="3217.68"/>
    <n v="960"/>
    <n v="0.29835160736928473"/>
    <n v="0"/>
    <m/>
    <n v="4596"/>
    <n v="4596"/>
    <n v="-2338.3200000000002"/>
    <n v="42.850749608413516"/>
    <n v="42.850749608413516"/>
  </r>
  <r>
    <s v="420113678"/>
    <s v="4201"/>
    <x v="9"/>
    <x v="8"/>
    <s v="420113678"/>
    <x v="8"/>
    <x v="1"/>
    <s v="T&amp;I EX HP"/>
    <n v="771.96"/>
    <n v="360"/>
    <n v="0.46634540649774597"/>
    <n v="0"/>
    <m/>
    <n v="444"/>
    <n v="444"/>
    <n v="-32.039999999999964"/>
    <n v="17.254780040416598"/>
    <n v="17.254780040416598"/>
  </r>
  <r>
    <s v="420114654"/>
    <s v="4201"/>
    <x v="9"/>
    <x v="9"/>
    <s v="420114654"/>
    <x v="9"/>
    <x v="1"/>
    <s v="T&amp;I Comm-UF"/>
    <n v="2896.08"/>
    <n v="1896"/>
    <n v="0.65467804756774672"/>
    <n v="0"/>
    <m/>
    <n v="1908"/>
    <n v="1908"/>
    <n v="-907.92000000000007"/>
    <n v="19.764647385431342"/>
    <n v="19.764647385431342"/>
  </r>
  <r>
    <s v="420114788"/>
    <s v="4201"/>
    <x v="9"/>
    <x v="35"/>
    <s v="420114788"/>
    <x v="35"/>
    <x v="1"/>
    <s v="T&amp;I EX HP"/>
    <n v="13500"/>
    <n v="7176"/>
    <n v="0.53155555555555556"/>
    <n v="0"/>
    <m/>
    <n v="15492"/>
    <n v="15492"/>
    <n v="-9168"/>
    <n v="34.426666666666669"/>
    <n v="34.426666666666669"/>
  </r>
  <r>
    <s v="420115536"/>
    <s v="4201"/>
    <x v="9"/>
    <x v="36"/>
    <s v="420115536"/>
    <x v="36"/>
    <x v="5"/>
    <s v="Ganache- UF"/>
    <n v="2574.36"/>
    <n v="1200"/>
    <n v="0.46613527245606673"/>
    <n v="0"/>
    <m/>
    <n v="1896"/>
    <n v="1896"/>
    <n v="-521.63999999999987"/>
    <n v="22.094811914417566"/>
    <n v="22.094811914417566"/>
  </r>
  <r>
    <s v="420116336"/>
    <s v="4201"/>
    <x v="9"/>
    <x v="12"/>
    <s v="420116336"/>
    <x v="12"/>
    <x v="1"/>
    <s v="T&amp;I Comm-UF"/>
    <n v="9008.8799999999992"/>
    <n v="4080"/>
    <n v="0.45288648533447001"/>
    <n v="0"/>
    <m/>
    <n v="11184"/>
    <n v="11184"/>
    <n v="-6255.1200000000008"/>
    <n v="37.243253323387592"/>
    <n v="37.243253323387592"/>
  </r>
  <r>
    <s v="420116984"/>
    <s v="4201"/>
    <x v="9"/>
    <x v="13"/>
    <s v="420116984"/>
    <x v="13"/>
    <x v="1"/>
    <s v="T&amp;I EX HP"/>
    <n v="257.27999999999997"/>
    <n v="180"/>
    <n v="0.6996268656716419"/>
    <n v="0"/>
    <m/>
    <n v="780"/>
    <n v="780"/>
    <n v="-702.72"/>
    <n v="90.951492537313442"/>
    <n v="90.951492537313442"/>
  </r>
  <r>
    <s v="420116998"/>
    <s v="4201"/>
    <x v="9"/>
    <x v="37"/>
    <s v="420116998"/>
    <x v="37"/>
    <x v="1"/>
    <s v="T&amp;I EX UF"/>
    <n v="2574.36"/>
    <n v="360"/>
    <n v="0.13984058173682001"/>
    <n v="0"/>
    <m/>
    <n v="3336"/>
    <n v="3336"/>
    <n v="-1121.6399999999999"/>
    <n v="38.875681722835971"/>
    <n v="38.875681722835971"/>
  </r>
  <r>
    <s v="420118098"/>
    <s v="4201"/>
    <x v="9"/>
    <x v="38"/>
    <s v="420118098"/>
    <x v="38"/>
    <x v="1"/>
    <s v="T&amp;I EX HP"/>
    <n v="128.63999999999999"/>
    <n v="0"/>
    <n v="0"/>
    <n v="0"/>
    <m/>
    <n v="348"/>
    <n v="348"/>
    <n v="-219.36"/>
    <n v="81.156716417910459"/>
    <n v="81.156716417910459"/>
  </r>
  <r>
    <s v="420120308"/>
    <s v="4201"/>
    <x v="9"/>
    <x v="14"/>
    <s v="420120308"/>
    <x v="14"/>
    <x v="1"/>
    <s v="T&amp;I EX HP 2 KG"/>
    <n v="0"/>
    <n v="0"/>
    <n v="0"/>
    <n v="0"/>
    <m/>
    <n v="2880"/>
    <n v="2880"/>
    <n v="-2880"/>
    <n v="0"/>
    <n v="0"/>
  </r>
  <r>
    <s v="420120827"/>
    <s v="4201"/>
    <x v="9"/>
    <x v="39"/>
    <s v="420120827"/>
    <x v="39"/>
    <x v="5"/>
    <s v="Ganache- UF"/>
    <n v="1126.32"/>
    <n v="516"/>
    <n v="0.45812912848923931"/>
    <n v="0"/>
    <m/>
    <n v="888"/>
    <n v="888"/>
    <n v="-277.68000000000006"/>
    <n v="23.652248028979333"/>
    <n v="23.652248028979333"/>
  </r>
  <r>
    <s v="420123081"/>
    <s v="4201"/>
    <x v="9"/>
    <x v="16"/>
    <s v="420123081"/>
    <x v="16"/>
    <x v="1"/>
    <s v="T&amp;I EX HP"/>
    <n v="128.63999999999999"/>
    <n v="0"/>
    <n v="0"/>
    <n v="0"/>
    <m/>
    <n v="132"/>
    <n v="132"/>
    <n v="-3.3600000000000136"/>
    <n v="30.783582089552244"/>
    <n v="30.783582089552244"/>
  </r>
  <r>
    <s v="420123401"/>
    <s v="4201"/>
    <x v="9"/>
    <x v="40"/>
    <s v="420123401"/>
    <x v="40"/>
    <x v="1"/>
    <s v="T&amp;I EX UF"/>
    <n v="4826.04"/>
    <n v="2436"/>
    <n v="0.5047616679513639"/>
    <n v="0"/>
    <m/>
    <n v="5544"/>
    <n v="5544"/>
    <n v="-3153.96"/>
    <n v="34.463038018748293"/>
    <n v="34.463038018748293"/>
  </r>
  <r>
    <s v="420124768"/>
    <s v="4201"/>
    <x v="9"/>
    <x v="41"/>
    <s v="420124768"/>
    <x v="41"/>
    <x v="1"/>
    <s v="T&amp;I EX UF"/>
    <n v="4504.4399999999996"/>
    <n v="1200"/>
    <n v="0.26640381490262943"/>
    <n v="0"/>
    <m/>
    <n v="3324"/>
    <n v="3324"/>
    <n v="-19.5600000000004"/>
    <n v="22.138157018408503"/>
    <n v="22.138157018408503"/>
  </r>
  <r>
    <s v="420125570"/>
    <s v="4201"/>
    <x v="9"/>
    <x v="19"/>
    <s v="420125570"/>
    <x v="19"/>
    <x v="1"/>
    <s v="T&amp;I EX HP"/>
    <n v="3217.68"/>
    <n v="120"/>
    <n v="3.7293950921160592E-2"/>
    <n v="0"/>
    <m/>
    <n v="4644"/>
    <n v="4644"/>
    <n v="-1546.3200000000002"/>
    <n v="43.298277019467442"/>
    <n v="43.298277019467442"/>
  </r>
  <r>
    <s v="420125598"/>
    <s v="4201"/>
    <x v="9"/>
    <x v="42"/>
    <s v="420125598"/>
    <x v="42"/>
    <x v="1"/>
    <s v="T&amp;I EX HP"/>
    <n v="2574.36"/>
    <n v="1308"/>
    <n v="0.50808744697711272"/>
    <n v="0"/>
    <m/>
    <n v="1380"/>
    <n v="1380"/>
    <n v="-113.63999999999987"/>
    <n v="16.081666899734305"/>
    <n v="16.081666899734305"/>
  </r>
  <r>
    <s v="420306151"/>
    <s v="4203"/>
    <x v="10"/>
    <x v="20"/>
    <s v="420306151"/>
    <x v="20"/>
    <x v="2"/>
    <s v="OS - Dry"/>
    <n v="6756"/>
    <n v="5244"/>
    <n v="0.77619893428063946"/>
    <n v="0"/>
    <m/>
    <n v="10644"/>
    <n v="10644"/>
    <n v="-9132"/>
    <n v="47.264653641207815"/>
    <n v="47.264653641207815"/>
  </r>
  <r>
    <s v="420313490"/>
    <s v="4203"/>
    <x v="10"/>
    <x v="21"/>
    <s v="420313490"/>
    <x v="21"/>
    <x v="3"/>
    <s v="UF-Dry"/>
    <n v="1930"/>
    <n v="630"/>
    <n v="0.32642487046632124"/>
    <n v="0"/>
    <m/>
    <n v="3290"/>
    <n v="3290"/>
    <n v="-1990"/>
    <n v="51.139896373056999"/>
    <n v="51.139896373056999"/>
  </r>
  <r>
    <s v="420315300"/>
    <s v="4203"/>
    <x v="10"/>
    <x v="22"/>
    <s v="420315300"/>
    <x v="22"/>
    <x v="3"/>
    <s v="UF-Dry"/>
    <n v="177.03"/>
    <n v="63"/>
    <n v="0.35587188612099646"/>
    <n v="0"/>
    <m/>
    <n v="351"/>
    <n v="351"/>
    <n v="-236.97"/>
    <n v="59.481443823080838"/>
    <n v="59.481443823080838"/>
  </r>
  <r>
    <s v="420319690"/>
    <s v="4203"/>
    <x v="10"/>
    <x v="0"/>
    <s v="420319690"/>
    <x v="0"/>
    <x v="0"/>
    <s v="OS - Dry"/>
    <n v="192.96"/>
    <n v="108"/>
    <n v="0.55970149253731338"/>
    <n v="0"/>
    <m/>
    <n v="84"/>
    <n v="84"/>
    <n v="0.96000000000000796"/>
    <n v="13.059701492537313"/>
    <n v="13.059701492537313"/>
  </r>
  <r>
    <s v="420320160"/>
    <s v="4203"/>
    <x v="10"/>
    <x v="49"/>
    <s v="420320160"/>
    <x v="49"/>
    <x v="0"/>
    <s v="OS - Dry"/>
    <n v="128.63999999999999"/>
    <n v="0"/>
    <n v="0"/>
    <n v="0"/>
    <m/>
    <n v="0"/>
    <n v="0"/>
    <n v="128.63999999999999"/>
    <n v="0"/>
    <n v="0"/>
  </r>
  <r>
    <s v="420320309"/>
    <s v="4203"/>
    <x v="10"/>
    <x v="50"/>
    <s v="420320309"/>
    <x v="50"/>
    <x v="0"/>
    <s v="OS - Dry"/>
    <n v="128.63999999999999"/>
    <n v="0"/>
    <n v="0"/>
    <n v="0"/>
    <m/>
    <n v="0"/>
    <n v="0"/>
    <n v="128.63999999999999"/>
    <n v="0"/>
    <n v="0"/>
  </r>
  <r>
    <s v="420320661"/>
    <s v="4203"/>
    <x v="10"/>
    <x v="23"/>
    <s v="420320661"/>
    <x v="23"/>
    <x v="4"/>
    <s v="OS-Chill"/>
    <n v="463.08"/>
    <n v="276"/>
    <n v="0.5960093288416688"/>
    <n v="0"/>
    <m/>
    <n v="1188"/>
    <n v="1188"/>
    <n v="-1000.9200000000001"/>
    <n v="76.962943767815503"/>
    <n v="76.962943767815503"/>
  </r>
  <r>
    <s v="420323638"/>
    <s v="4203"/>
    <x v="10"/>
    <x v="24"/>
    <s v="420323638"/>
    <x v="24"/>
    <x v="2"/>
    <s v="OS - Dry"/>
    <n v="2251.6799999999998"/>
    <n v="1740"/>
    <n v="0.772756341931358"/>
    <n v="0"/>
    <m/>
    <n v="2052"/>
    <n v="2052"/>
    <n v="-1540.3200000000002"/>
    <n v="27.339586442123217"/>
    <n v="27.339586442123217"/>
  </r>
  <r>
    <s v="420325885"/>
    <s v="4203"/>
    <x v="10"/>
    <x v="25"/>
    <s v="420325885"/>
    <x v="25"/>
    <x v="1"/>
    <s v="T&amp;I EX UF"/>
    <n v="1286.6400000000001"/>
    <n v="60"/>
    <n v="4.6633090841260952E-2"/>
    <n v="0"/>
    <m/>
    <n v="1248"/>
    <n v="1248"/>
    <n v="-21.3599999999999"/>
    <n v="29.099048684946833"/>
    <n v="29.099048684946833"/>
  </r>
  <r>
    <s v="420326745"/>
    <s v="4203"/>
    <x v="10"/>
    <x v="45"/>
    <s v="420326745"/>
    <x v="45"/>
    <x v="0"/>
    <s v="PF MFG"/>
    <n v="128.63999999999999"/>
    <n v="0"/>
    <n v="0"/>
    <n v="0"/>
    <m/>
    <n v="0"/>
    <n v="0"/>
    <n v="128.63999999999999"/>
    <n v="0"/>
    <n v="0"/>
  </r>
  <r>
    <s v="420304145"/>
    <s v="4203"/>
    <x v="10"/>
    <x v="29"/>
    <s v="420304145"/>
    <x v="29"/>
    <x v="3"/>
    <s v="UF-Dry"/>
    <n v="48.42"/>
    <n v="144"/>
    <n v="2.9739776951672861"/>
    <n v="0"/>
    <m/>
    <n v="234"/>
    <n v="234"/>
    <n v="-329.58"/>
    <n v="144.98141263940519"/>
    <n v="144.98141263940519"/>
  </r>
  <r>
    <s v="420314248"/>
    <s v="4203"/>
    <x v="10"/>
    <x v="30"/>
    <s v="420314248"/>
    <x v="30"/>
    <x v="3"/>
    <s v="UF-Dry"/>
    <n v="1501.4"/>
    <n v="720"/>
    <n v="0.47955241774343943"/>
    <n v="0"/>
    <m/>
    <n v="1070"/>
    <n v="1070"/>
    <n v="-288.59999999999991"/>
    <n v="21.380045291061677"/>
    <n v="21.380045291061677"/>
  </r>
  <r>
    <s v="420315305"/>
    <s v="4203"/>
    <x v="10"/>
    <x v="31"/>
    <s v="420315305"/>
    <x v="31"/>
    <x v="3"/>
    <s v="UF-Dry"/>
    <n v="177.03"/>
    <n v="63"/>
    <n v="0.35587188612099646"/>
    <n v="0"/>
    <m/>
    <n v="297"/>
    <n v="297"/>
    <n v="-182.97"/>
    <n v="50.330452465683784"/>
    <n v="50.330452465683784"/>
  </r>
  <r>
    <s v="420315312"/>
    <s v="4203"/>
    <x v="10"/>
    <x v="47"/>
    <s v="420315312"/>
    <x v="47"/>
    <x v="3"/>
    <s v="UF-Dry"/>
    <n v="177.03"/>
    <n v="45"/>
    <n v="0.2541942043721403"/>
    <n v="0"/>
    <m/>
    <n v="135"/>
    <n v="135"/>
    <n v="-2.9699999999999989"/>
    <n v="22.87747839349263"/>
    <n v="22.87747839349263"/>
  </r>
  <r>
    <s v="420316407"/>
    <s v="4203"/>
    <x v="10"/>
    <x v="32"/>
    <s v="420316407"/>
    <x v="32"/>
    <x v="3"/>
    <s v="UF-Dry"/>
    <n v="386.91"/>
    <n v="135"/>
    <n v="0.34891835310537334"/>
    <n v="0"/>
    <m/>
    <n v="252"/>
    <n v="252"/>
    <n v="-8.9999999999974989E-2"/>
    <n v="19.539427773900908"/>
    <n v="19.539427773900908"/>
  </r>
  <r>
    <s v="420300189"/>
    <s v="4203"/>
    <x v="10"/>
    <x v="1"/>
    <s v="420300189"/>
    <x v="1"/>
    <x v="1"/>
    <s v="T&amp;I Comm-UF"/>
    <n v="82045.440000000002"/>
    <n v="40848"/>
    <n v="0.49787044837592437"/>
    <n v="5292"/>
    <d v="2026-05-24T00:00:00"/>
    <n v="35976"/>
    <n v="41268"/>
    <n v="-70.559999999997672"/>
    <n v="15.089686885706262"/>
    <n v="13.154661611906768"/>
  </r>
  <r>
    <s v="420301167"/>
    <s v="4203"/>
    <x v="10"/>
    <x v="33"/>
    <s v="420301167"/>
    <x v="33"/>
    <x v="1"/>
    <s v="T&amp;I EX UF"/>
    <n v="1286.6400000000001"/>
    <n v="612"/>
    <n v="0.47565752658086174"/>
    <n v="0"/>
    <m/>
    <n v="1464"/>
    <n v="1464"/>
    <n v="-789.3599999999999"/>
    <n v="34.13542249580302"/>
    <n v="34.13542249580302"/>
  </r>
  <r>
    <s v="420301296"/>
    <s v="4203"/>
    <x v="10"/>
    <x v="2"/>
    <s v="420301296"/>
    <x v="2"/>
    <x v="1"/>
    <s v="T&amp;I EX HP 2 KG"/>
    <n v="1350.96"/>
    <n v="216"/>
    <n v="0.15988630307337004"/>
    <n v="0"/>
    <m/>
    <n v="1140"/>
    <n v="1140"/>
    <n v="-5.0399999999999636"/>
    <n v="25.315331319950257"/>
    <n v="25.315331319950257"/>
  </r>
  <r>
    <s v="420302122"/>
    <s v="4203"/>
    <x v="10"/>
    <x v="3"/>
    <s v="420302122"/>
    <x v="3"/>
    <x v="1"/>
    <s v="T&amp;I EX HP 2 KG"/>
    <n v="257.27999999999997"/>
    <n v="60"/>
    <n v="0.23320895522388063"/>
    <n v="0"/>
    <m/>
    <n v="408"/>
    <n v="408"/>
    <n v="-210.72000000000003"/>
    <n v="47.574626865671647"/>
    <n v="47.574626865671647"/>
  </r>
  <r>
    <s v="420306982"/>
    <s v="4203"/>
    <x v="10"/>
    <x v="34"/>
    <s v="420306982"/>
    <x v="34"/>
    <x v="1"/>
    <s v="T&amp;I Comm-UF"/>
    <n v="0"/>
    <n v="0"/>
    <n v="0"/>
    <n v="0"/>
    <m/>
    <n v="504"/>
    <n v="504"/>
    <n v="-504"/>
    <n v="0"/>
    <n v="0"/>
  </r>
  <r>
    <s v="420307310"/>
    <s v="4203"/>
    <x v="10"/>
    <x v="5"/>
    <s v="420307310"/>
    <x v="5"/>
    <x v="1"/>
    <s v="T&amp;I Comm -HP"/>
    <n v="5147.76"/>
    <n v="1464"/>
    <n v="0.28439554291575364"/>
    <n v="1692"/>
    <d v="2026-05-24T00:00:00"/>
    <n v="4308"/>
    <n v="6000"/>
    <n v="-2316.2399999999998"/>
    <n v="34.966665112592658"/>
    <n v="25.106065550841528"/>
  </r>
  <r>
    <s v="420308529"/>
    <s v="4203"/>
    <x v="10"/>
    <x v="6"/>
    <s v="420308529"/>
    <x v="6"/>
    <x v="1"/>
    <s v="T&amp;I EX HP 2 KG"/>
    <n v="11904"/>
    <n v="4812"/>
    <n v="0.40423387096774194"/>
    <n v="4980"/>
    <d v="2026-05-24T00:00:00"/>
    <n v="7188"/>
    <n v="12168"/>
    <n v="-5076"/>
    <n v="30.66532258064516"/>
    <n v="18.114919354838708"/>
  </r>
  <r>
    <s v="420313678"/>
    <s v="4203"/>
    <x v="10"/>
    <x v="8"/>
    <s v="420313678"/>
    <x v="8"/>
    <x v="1"/>
    <s v="T&amp;I EX HP"/>
    <n v="1929.96"/>
    <n v="672"/>
    <n v="0.34819374494808181"/>
    <n v="0"/>
    <m/>
    <n v="1380"/>
    <n v="1380"/>
    <n v="-122.03999999999996"/>
    <n v="21.451221786980039"/>
    <n v="21.451221786980039"/>
  </r>
  <r>
    <s v="420314654"/>
    <s v="4203"/>
    <x v="10"/>
    <x v="9"/>
    <s v="420314654"/>
    <x v="9"/>
    <x v="1"/>
    <s v="T&amp;I Comm-UF"/>
    <n v="2573.2800000000002"/>
    <n v="240"/>
    <n v="9.3266181682521904E-2"/>
    <n v="0"/>
    <m/>
    <n v="2352"/>
    <n v="2352"/>
    <n v="-18.7199999999998"/>
    <n v="27.420257414661439"/>
    <n v="27.420257414661439"/>
  </r>
  <r>
    <s v="420314788"/>
    <s v="4203"/>
    <x v="10"/>
    <x v="35"/>
    <s v="420314788"/>
    <x v="35"/>
    <x v="1"/>
    <s v="T&amp;I EX HP"/>
    <n v="14401.2"/>
    <n v="8508"/>
    <n v="0.59078410132488957"/>
    <n v="4992"/>
    <d v="2026-05-24T00:00:00"/>
    <n v="7368"/>
    <n v="12360"/>
    <n v="-6466.7999999999993"/>
    <n v="25.747854345471211"/>
    <n v="15.348720939921673"/>
  </r>
  <r>
    <s v="420315536"/>
    <s v="4203"/>
    <x v="10"/>
    <x v="36"/>
    <s v="420315536"/>
    <x v="36"/>
    <x v="5"/>
    <s v="Ganache- UF"/>
    <n v="16409.400000000001"/>
    <n v="4824"/>
    <n v="0.2939778419686277"/>
    <n v="0"/>
    <m/>
    <n v="17100"/>
    <n v="17100"/>
    <n v="-5514.5999999999985"/>
    <n v="31.262569015320487"/>
    <n v="31.262569015320487"/>
  </r>
  <r>
    <s v="420316336"/>
    <s v="4203"/>
    <x v="10"/>
    <x v="12"/>
    <s v="420316336"/>
    <x v="12"/>
    <x v="1"/>
    <s v="T&amp;I Comm-UF"/>
    <n v="90877.2"/>
    <n v="57396"/>
    <n v="0.63157755740713839"/>
    <n v="4992"/>
    <d v="2026-05-24T00:00:00"/>
    <n v="36552"/>
    <n v="41544"/>
    <n v="-8062.8000000000029"/>
    <n v="13.714330987310349"/>
    <n v="12.066392890626032"/>
  </r>
  <r>
    <s v="420316984"/>
    <s v="4203"/>
    <x v="10"/>
    <x v="13"/>
    <s v="420316984"/>
    <x v="13"/>
    <x v="1"/>
    <s v="T&amp;I EX HP"/>
    <n v="128.63999999999999"/>
    <n v="60"/>
    <n v="0.46641791044776126"/>
    <n v="48"/>
    <d v="2026-05-24T00:00:00"/>
    <n v="24"/>
    <n v="72"/>
    <n v="-3.3600000000000136"/>
    <n v="16.791044776119406"/>
    <n v="5.5970149253731352"/>
  </r>
  <r>
    <s v="420316998"/>
    <s v="4203"/>
    <x v="10"/>
    <x v="37"/>
    <s v="420316998"/>
    <x v="37"/>
    <x v="1"/>
    <s v="T&amp;I EX UF"/>
    <n v="1093.56"/>
    <n v="0"/>
    <n v="0"/>
    <n v="0"/>
    <m/>
    <n v="2052"/>
    <n v="2052"/>
    <n v="-958.44"/>
    <n v="56.293207505761004"/>
    <n v="56.293207505761004"/>
  </r>
  <r>
    <s v="420318098"/>
    <s v="4203"/>
    <x v="10"/>
    <x v="38"/>
    <s v="420318098"/>
    <x v="38"/>
    <x v="1"/>
    <s v="T&amp;I EX HP"/>
    <n v="964.92"/>
    <n v="120"/>
    <n v="0.12436264146250467"/>
    <n v="0"/>
    <m/>
    <n v="1680"/>
    <n v="1680"/>
    <n v="-835.08"/>
    <n v="52.232309414251958"/>
    <n v="52.232309414251958"/>
  </r>
  <r>
    <s v="420320308"/>
    <s v="4203"/>
    <x v="10"/>
    <x v="14"/>
    <s v="420320308"/>
    <x v="14"/>
    <x v="1"/>
    <s v="T&amp;I EX HP 2 KG"/>
    <n v="4504.4399999999996"/>
    <n v="0"/>
    <n v="0"/>
    <n v="0"/>
    <m/>
    <n v="5820"/>
    <n v="5820"/>
    <n v="-1315.5600000000004"/>
    <n v="38.761755068332576"/>
    <n v="38.761755068332576"/>
  </r>
  <r>
    <s v="420320827"/>
    <s v="4203"/>
    <x v="10"/>
    <x v="39"/>
    <s v="420320827"/>
    <x v="39"/>
    <x v="5"/>
    <s v="Ganache- UF"/>
    <n v="1286.6400000000001"/>
    <n v="696"/>
    <n v="0.54094385375862708"/>
    <n v="0"/>
    <m/>
    <n v="1452"/>
    <n v="1452"/>
    <n v="-861.3599999999999"/>
    <n v="33.855623950755451"/>
    <n v="33.855623950755451"/>
  </r>
  <r>
    <s v="420321910"/>
    <s v="4203"/>
    <x v="10"/>
    <x v="15"/>
    <s v="420321910"/>
    <x v="15"/>
    <x v="1"/>
    <s v="T&amp;I EX HP 2 KG"/>
    <n v="6434.52"/>
    <n v="1680"/>
    <n v="0.26109173644654143"/>
    <n v="2004"/>
    <d v="2026-05-24T00:00:00"/>
    <n v="5304"/>
    <n v="7308"/>
    <n v="-2553.4799999999996"/>
    <n v="34.072471606273659"/>
    <n v="24.729117323436711"/>
  </r>
  <r>
    <s v="420322059"/>
    <s v="4203"/>
    <x v="10"/>
    <x v="51"/>
    <s v="420322059"/>
    <x v="51"/>
    <x v="1"/>
    <s v="T&amp;I EX HP"/>
    <n v="128.63999999999999"/>
    <n v="0"/>
    <n v="0"/>
    <n v="0"/>
    <m/>
    <n v="0"/>
    <n v="0"/>
    <n v="128.63999999999999"/>
    <n v="0"/>
    <n v="0"/>
  </r>
  <r>
    <s v="420323081"/>
    <s v="4203"/>
    <x v="10"/>
    <x v="16"/>
    <s v="420323081"/>
    <x v="16"/>
    <x v="1"/>
    <s v="T&amp;I EX HP"/>
    <n v="643.32000000000005"/>
    <n v="24"/>
    <n v="3.7306472673008767E-2"/>
    <n v="0"/>
    <m/>
    <n v="1188"/>
    <n v="1188"/>
    <n v="-568.67999999999995"/>
    <n v="55.400111919418009"/>
    <n v="55.400111919418009"/>
  </r>
  <r>
    <s v="420323401"/>
    <s v="4203"/>
    <x v="10"/>
    <x v="40"/>
    <s v="420323401"/>
    <x v="40"/>
    <x v="1"/>
    <s v="T&amp;I EX UF"/>
    <n v="1093.56"/>
    <n v="360"/>
    <n v="0.32920004389333918"/>
    <n v="0"/>
    <m/>
    <n v="912"/>
    <n v="912"/>
    <n v="-178.44000000000005"/>
    <n v="25.019203335893778"/>
    <n v="25.019203335893778"/>
  </r>
  <r>
    <s v="420324768"/>
    <s v="4203"/>
    <x v="10"/>
    <x v="41"/>
    <s v="420324768"/>
    <x v="41"/>
    <x v="1"/>
    <s v="T&amp;I EX UF"/>
    <n v="2251.56"/>
    <n v="972"/>
    <n v="0.43170068752331719"/>
    <n v="0"/>
    <m/>
    <n v="3708"/>
    <n v="3708"/>
    <n v="-2428.44"/>
    <n v="49.405745349890751"/>
    <n v="49.405745349890751"/>
  </r>
  <r>
    <s v="420325570"/>
    <s v="4203"/>
    <x v="10"/>
    <x v="19"/>
    <s v="420325570"/>
    <x v="19"/>
    <x v="1"/>
    <s v="T&amp;I EX HP"/>
    <n v="1286.6400000000001"/>
    <n v="192"/>
    <n v="0.14922589069203507"/>
    <n v="0"/>
    <m/>
    <n v="1116"/>
    <n v="1116"/>
    <n v="-21.3599999999999"/>
    <n v="26.02126468942361"/>
    <n v="26.02126468942361"/>
  </r>
  <r>
    <s v="420325598"/>
    <s v="4203"/>
    <x v="10"/>
    <x v="42"/>
    <s v="420325598"/>
    <x v="42"/>
    <x v="1"/>
    <s v="T&amp;I EX HP"/>
    <n v="1415.28"/>
    <n v="480"/>
    <n v="0.33915550279803292"/>
    <n v="0"/>
    <m/>
    <n v="1044"/>
    <n v="1044"/>
    <n v="-108.72000000000003"/>
    <n v="22.129896557571644"/>
    <n v="22.129896557571644"/>
  </r>
  <r>
    <s v="430106151"/>
    <s v="4301"/>
    <x v="11"/>
    <x v="20"/>
    <s v="430106151"/>
    <x v="20"/>
    <x v="2"/>
    <s v="OS - Dry"/>
    <n v="15999.96"/>
    <n v="7044"/>
    <n v="0.44025110062775158"/>
    <n v="0"/>
    <m/>
    <n v="5892"/>
    <n v="5892"/>
    <n v="3063.9599999999991"/>
    <n v="11.047527618819046"/>
    <n v="11.047527618819046"/>
  </r>
  <r>
    <s v="430113490"/>
    <s v="4301"/>
    <x v="11"/>
    <x v="21"/>
    <s v="430113490"/>
    <x v="21"/>
    <x v="3"/>
    <s v="UF-Dry"/>
    <n v="4000"/>
    <n v="2460"/>
    <n v="0.61499999999999999"/>
    <n v="0"/>
    <m/>
    <n v="5490"/>
    <n v="5490"/>
    <n v="-3950"/>
    <n v="41.174999999999997"/>
    <n v="41.174999999999997"/>
  </r>
  <r>
    <s v="430115300"/>
    <s v="4301"/>
    <x v="11"/>
    <x v="22"/>
    <s v="430115300"/>
    <x v="22"/>
    <x v="3"/>
    <s v="UF-Dry"/>
    <n v="189"/>
    <n v="18"/>
    <n v="9.5238095238095233E-2"/>
    <n v="0"/>
    <m/>
    <n v="198"/>
    <n v="198"/>
    <n v="-27"/>
    <n v="31.428571428571431"/>
    <n v="31.428571428571431"/>
  </r>
  <r>
    <s v="430119690"/>
    <s v="4301"/>
    <x v="11"/>
    <x v="0"/>
    <s v="430119690"/>
    <x v="0"/>
    <x v="0"/>
    <s v="OS - Dry"/>
    <n v="72"/>
    <n v="96"/>
    <n v="1.3333333333333333"/>
    <n v="0"/>
    <m/>
    <n v="168"/>
    <n v="168"/>
    <n v="-192"/>
    <n v="70"/>
    <n v="70"/>
  </r>
  <r>
    <s v="430120661"/>
    <s v="4301"/>
    <x v="11"/>
    <x v="23"/>
    <s v="430120661"/>
    <x v="23"/>
    <x v="4"/>
    <s v="OS-Chill"/>
    <n v="2035.92"/>
    <n v="456"/>
    <n v="0.22397736649770128"/>
    <n v="0"/>
    <m/>
    <n v="156"/>
    <n v="156"/>
    <n v="1423.92"/>
    <n v="2.2987150772132501"/>
    <n v="2.2987150772132501"/>
  </r>
  <r>
    <s v="430123638"/>
    <s v="4301"/>
    <x v="11"/>
    <x v="24"/>
    <s v="430123638"/>
    <x v="24"/>
    <x v="2"/>
    <s v="OS - Dry"/>
    <n v="14599.92"/>
    <n v="4956"/>
    <n v="0.33945391481597159"/>
    <n v="0"/>
    <m/>
    <n v="4056"/>
    <n v="4056"/>
    <n v="5587.92"/>
    <n v="8.3342922426972201"/>
    <n v="8.3342922426972201"/>
  </r>
  <r>
    <s v="430125885"/>
    <s v="4301"/>
    <x v="11"/>
    <x v="25"/>
    <s v="430125885"/>
    <x v="25"/>
    <x v="1"/>
    <s v="T&amp;I EX UF"/>
    <n v="1680"/>
    <n v="336"/>
    <n v="0.2"/>
    <n v="0"/>
    <m/>
    <n v="2544"/>
    <n v="2544"/>
    <n v="-1200"/>
    <n v="45.428571428571431"/>
    <n v="45.428571428571431"/>
  </r>
  <r>
    <s v="430126193"/>
    <s v="4301"/>
    <x v="11"/>
    <x v="44"/>
    <s v="430126193"/>
    <x v="44"/>
    <x v="2"/>
    <s v="OS - Dry"/>
    <n v="0"/>
    <n v="360"/>
    <n v="0"/>
    <n v="0"/>
    <m/>
    <n v="0"/>
    <n v="0"/>
    <n v="-360"/>
    <n v="0"/>
    <n v="0"/>
  </r>
  <r>
    <s v="430126234"/>
    <s v="4301"/>
    <x v="11"/>
    <x v="27"/>
    <s v="430126234"/>
    <x v="27"/>
    <x v="1"/>
    <s v="T&amp;I EX UF"/>
    <n v="36"/>
    <n v="0"/>
    <n v="0"/>
    <n v="0"/>
    <m/>
    <n v="924"/>
    <n v="924"/>
    <n v="-888"/>
    <n v="770"/>
    <n v="770"/>
  </r>
  <r>
    <s v="430104145"/>
    <s v="4301"/>
    <x v="11"/>
    <x v="29"/>
    <s v="430104145"/>
    <x v="29"/>
    <x v="3"/>
    <s v="UF-Dry"/>
    <n v="180"/>
    <n v="72"/>
    <n v="0.4"/>
    <n v="0"/>
    <m/>
    <n v="297"/>
    <n v="297"/>
    <n v="-189"/>
    <n v="49.5"/>
    <n v="49.5"/>
  </r>
  <r>
    <s v="430114248"/>
    <s v="4301"/>
    <x v="11"/>
    <x v="30"/>
    <s v="430114248"/>
    <x v="30"/>
    <x v="3"/>
    <s v="UF-Dry"/>
    <n v="1070"/>
    <n v="890"/>
    <n v="0.83177570093457942"/>
    <n v="0"/>
    <m/>
    <n v="420"/>
    <n v="420"/>
    <n v="-240"/>
    <n v="11.77570093457944"/>
    <n v="11.77570093457944"/>
  </r>
  <r>
    <s v="430115305"/>
    <s v="4301"/>
    <x v="11"/>
    <x v="31"/>
    <s v="430115305"/>
    <x v="31"/>
    <x v="3"/>
    <s v="UF-Dry"/>
    <n v="18"/>
    <n v="45"/>
    <n v="2.5"/>
    <n v="0"/>
    <m/>
    <n v="198"/>
    <n v="198"/>
    <n v="-225"/>
    <n v="330"/>
    <n v="330"/>
  </r>
  <r>
    <s v="430115312"/>
    <s v="4301"/>
    <x v="11"/>
    <x v="47"/>
    <s v="430115312"/>
    <x v="47"/>
    <x v="3"/>
    <s v="UF-Dry"/>
    <n v="36"/>
    <n v="36"/>
    <n v="1"/>
    <n v="0"/>
    <m/>
    <n v="369"/>
    <n v="369"/>
    <n v="-369"/>
    <n v="307.5"/>
    <n v="307.5"/>
  </r>
  <r>
    <s v="430116407"/>
    <s v="4301"/>
    <x v="11"/>
    <x v="32"/>
    <s v="430116407"/>
    <x v="32"/>
    <x v="3"/>
    <s v="UF-Dry"/>
    <n v="468"/>
    <n v="369"/>
    <n v="0.78846153846153844"/>
    <n v="0"/>
    <m/>
    <n v="540"/>
    <n v="540"/>
    <n v="-441"/>
    <n v="34.615384615384613"/>
    <n v="34.615384615384613"/>
  </r>
  <r>
    <s v="430100189"/>
    <s v="4301"/>
    <x v="11"/>
    <x v="1"/>
    <s v="430100189"/>
    <x v="1"/>
    <x v="1"/>
    <s v="T&amp;I Comm-UF"/>
    <n v="119058.6"/>
    <n v="57048"/>
    <n v="0.47915900237362102"/>
    <n v="0"/>
    <m/>
    <n v="62904"/>
    <n v="62904"/>
    <n v="-893.39999999999418"/>
    <n v="15.850345964088271"/>
    <n v="15.850345964088271"/>
  </r>
  <r>
    <s v="430101167"/>
    <s v="4301"/>
    <x v="11"/>
    <x v="33"/>
    <s v="430101167"/>
    <x v="33"/>
    <x v="1"/>
    <s v="T&amp;I EX UF"/>
    <n v="6721.92"/>
    <n v="8040"/>
    <n v="1.1960868323336189"/>
    <n v="0"/>
    <m/>
    <n v="4704"/>
    <n v="4704"/>
    <n v="-6022.08"/>
    <n v="20.99400171379606"/>
    <n v="20.99400171379606"/>
  </r>
  <r>
    <s v="430101296"/>
    <s v="4301"/>
    <x v="11"/>
    <x v="2"/>
    <s v="430101296"/>
    <x v="2"/>
    <x v="1"/>
    <s v="T&amp;I EX HP 2 KG"/>
    <n v="3128.64"/>
    <n v="1848"/>
    <n v="0.59067198527155573"/>
    <n v="0"/>
    <m/>
    <n v="1992"/>
    <n v="1992"/>
    <n v="-711.36000000000013"/>
    <n v="19.100951212028232"/>
    <n v="19.100951212028232"/>
  </r>
  <r>
    <s v="430102122"/>
    <s v="4301"/>
    <x v="11"/>
    <x v="3"/>
    <s v="430102122"/>
    <x v="3"/>
    <x v="1"/>
    <s v="T&amp;I EX HP 2 KG"/>
    <n v="15000"/>
    <n v="14292"/>
    <n v="0.95279999999999998"/>
    <n v="0"/>
    <m/>
    <n v="111576"/>
    <n v="111576"/>
    <n v="-110868"/>
    <n v="223.15199999999999"/>
    <n v="223.15199999999999"/>
  </r>
  <r>
    <s v="430105159"/>
    <s v="4301"/>
    <x v="11"/>
    <x v="4"/>
    <s v="430105159"/>
    <x v="4"/>
    <x v="1"/>
    <s v="T&amp;I EX HP"/>
    <n v="0"/>
    <n v="0"/>
    <n v="0"/>
    <n v="0"/>
    <m/>
    <n v="15036"/>
    <n v="15036"/>
    <n v="-15036"/>
    <n v="0"/>
    <n v="0"/>
  </r>
  <r>
    <s v="430106982"/>
    <s v="4301"/>
    <x v="11"/>
    <x v="34"/>
    <s v="430106982"/>
    <x v="34"/>
    <x v="1"/>
    <s v="T&amp;I Comm-UF"/>
    <n v="3120"/>
    <n v="2928"/>
    <n v="0.93846153846153846"/>
    <n v="504"/>
    <d v="2026-05-22T00:00:00"/>
    <n v="1332"/>
    <n v="1836"/>
    <n v="-1644"/>
    <n v="17.653846153846153"/>
    <n v="12.807692307692308"/>
  </r>
  <r>
    <s v="430107310"/>
    <s v="4301"/>
    <x v="11"/>
    <x v="5"/>
    <s v="430107310"/>
    <x v="5"/>
    <x v="1"/>
    <s v="T&amp;I Comm -HP"/>
    <n v="62964.84"/>
    <n v="41328"/>
    <n v="0.65636631491480013"/>
    <n v="0"/>
    <m/>
    <n v="94944"/>
    <n v="94944"/>
    <n v="-73307.16"/>
    <n v="45.236674944302251"/>
    <n v="45.236674944302251"/>
  </r>
  <r>
    <s v="430108529"/>
    <s v="4301"/>
    <x v="11"/>
    <x v="6"/>
    <s v="430108529"/>
    <x v="6"/>
    <x v="1"/>
    <s v="T&amp;I EX HP 2 KG"/>
    <n v="20182.560000000001"/>
    <n v="9804"/>
    <n v="0.48576592860370532"/>
    <n v="0"/>
    <m/>
    <n v="23580"/>
    <n v="23580"/>
    <n v="-13201.439999999999"/>
    <n v="35.05006302471044"/>
    <n v="35.05006302471044"/>
  </r>
  <r>
    <s v="430113179"/>
    <s v="4301"/>
    <x v="11"/>
    <x v="7"/>
    <s v="430113179"/>
    <x v="7"/>
    <x v="1"/>
    <s v="T&amp;I EX HP 2 KG"/>
    <n v="77199.960000000006"/>
    <n v="62748"/>
    <n v="0.81279834860018052"/>
    <n v="13296"/>
    <d v="2026-05-24T00:00:00"/>
    <n v="88380"/>
    <n v="101676"/>
    <n v="-87224.04"/>
    <n v="39.511419435968612"/>
    <n v="34.344577380610041"/>
  </r>
  <r>
    <s v="430113678"/>
    <s v="4301"/>
    <x v="11"/>
    <x v="8"/>
    <s v="430113678"/>
    <x v="8"/>
    <x v="1"/>
    <s v="T&amp;I EX HP"/>
    <n v="14179.92"/>
    <n v="8184"/>
    <n v="0.57715417294314775"/>
    <n v="0"/>
    <m/>
    <n v="12048"/>
    <n v="12048"/>
    <n v="-6052.08"/>
    <n v="25.489565526462773"/>
    <n v="25.489565526462773"/>
  </r>
  <r>
    <s v="430114654"/>
    <s v="4301"/>
    <x v="11"/>
    <x v="9"/>
    <s v="430114654"/>
    <x v="9"/>
    <x v="1"/>
    <s v="T&amp;I Comm-UF"/>
    <n v="11321.52"/>
    <n v="9432"/>
    <n v="0.83310368219108388"/>
    <n v="2304"/>
    <d v="2026-05-24T00:00:00"/>
    <n v="12432"/>
    <n v="14736"/>
    <n v="-12846.48"/>
    <n v="39.047760371398894"/>
    <n v="32.942573082059653"/>
  </r>
  <r>
    <s v="430114788"/>
    <s v="4301"/>
    <x v="11"/>
    <x v="35"/>
    <s v="430114788"/>
    <x v="35"/>
    <x v="1"/>
    <s v="T&amp;I EX HP"/>
    <n v="8434.44"/>
    <n v="4560"/>
    <n v="0.54064051673851488"/>
    <n v="5004"/>
    <d v="2026-05-22T00:00:00"/>
    <n v="3000"/>
    <n v="8004"/>
    <n v="-4129.5599999999995"/>
    <n v="28.468991420888639"/>
    <n v="10.670536514575952"/>
  </r>
  <r>
    <s v="430115459"/>
    <s v="4301"/>
    <x v="11"/>
    <x v="10"/>
    <s v="430115459"/>
    <x v="10"/>
    <x v="1"/>
    <s v="T&amp;I EX HP"/>
    <n v="0"/>
    <n v="0"/>
    <n v="0"/>
    <n v="0"/>
    <m/>
    <n v="39920"/>
    <n v="39920"/>
    <n v="-39920"/>
    <n v="0"/>
    <n v="0"/>
  </r>
  <r>
    <s v="430115536"/>
    <s v="4301"/>
    <x v="11"/>
    <x v="36"/>
    <s v="430115536"/>
    <x v="36"/>
    <x v="5"/>
    <s v="Ganache- UF"/>
    <n v="22182.6"/>
    <n v="13140"/>
    <n v="0.59235617105298755"/>
    <n v="1404"/>
    <d v="2026-05-22T00:00:00"/>
    <n v="15888"/>
    <n v="17292"/>
    <n v="-8249.4000000000015"/>
    <n v="23.385897054448083"/>
    <n v="21.487111519839875"/>
  </r>
  <r>
    <s v="430115906"/>
    <s v="4301"/>
    <x v="11"/>
    <x v="11"/>
    <s v="430115906"/>
    <x v="11"/>
    <x v="1"/>
    <s v="T&amp;I EX HP"/>
    <n v="0"/>
    <n v="0"/>
    <n v="0"/>
    <n v="24"/>
    <d v="2026-05-21T00:00:00"/>
    <n v="12372"/>
    <n v="12396"/>
    <n v="-12396"/>
    <n v="0"/>
    <n v="0"/>
  </r>
  <r>
    <s v="430116336"/>
    <s v="4301"/>
    <x v="11"/>
    <x v="12"/>
    <s v="430116336"/>
    <x v="12"/>
    <x v="1"/>
    <s v="T&amp;I Comm-UF"/>
    <n v="79503.12"/>
    <n v="56052"/>
    <n v="0.70502893471350558"/>
    <n v="12024"/>
    <d v="2026-05-22T00:00:00"/>
    <n v="10980"/>
    <n v="23004"/>
    <n v="447.11999999999534"/>
    <n v="8.6804140516749531"/>
    <n v="4.1432336240389063"/>
  </r>
  <r>
    <s v="430116984"/>
    <s v="4301"/>
    <x v="11"/>
    <x v="13"/>
    <s v="430116984"/>
    <x v="13"/>
    <x v="1"/>
    <s v="T&amp;I EX HP"/>
    <n v="204"/>
    <n v="120"/>
    <n v="0.58823529411764708"/>
    <n v="0"/>
    <m/>
    <n v="480"/>
    <n v="480"/>
    <n v="-396"/>
    <n v="70.588235294117652"/>
    <n v="70.588235294117652"/>
  </r>
  <r>
    <s v="430116998"/>
    <s v="4301"/>
    <x v="11"/>
    <x v="37"/>
    <s v="430116998"/>
    <x v="37"/>
    <x v="1"/>
    <s v="T&amp;I EX UF"/>
    <n v="9000"/>
    <n v="6084"/>
    <n v="0.67600000000000005"/>
    <n v="0"/>
    <m/>
    <n v="11628"/>
    <n v="11628"/>
    <n v="-8712"/>
    <n v="38.76"/>
    <n v="38.76"/>
  </r>
  <r>
    <s v="430118098"/>
    <s v="4301"/>
    <x v="11"/>
    <x v="38"/>
    <s v="430118098"/>
    <x v="38"/>
    <x v="1"/>
    <s v="T&amp;I EX HP"/>
    <n v="1299.96"/>
    <n v="492"/>
    <n v="0.37847318379027045"/>
    <n v="0"/>
    <m/>
    <n v="3672"/>
    <n v="3672"/>
    <n v="-2864.04"/>
    <n v="84.741068955967876"/>
    <n v="84.741068955967876"/>
  </r>
  <r>
    <s v="430120308"/>
    <s v="4301"/>
    <x v="11"/>
    <x v="14"/>
    <s v="430120308"/>
    <x v="14"/>
    <x v="1"/>
    <s v="T&amp;I EX HP 2 KG"/>
    <n v="0"/>
    <n v="240"/>
    <n v="0"/>
    <n v="0"/>
    <m/>
    <n v="21696"/>
    <n v="21696"/>
    <n v="-21936"/>
    <n v="0"/>
    <n v="0"/>
  </r>
  <r>
    <s v="430120827"/>
    <s v="4301"/>
    <x v="11"/>
    <x v="39"/>
    <s v="430120827"/>
    <x v="39"/>
    <x v="5"/>
    <s v="Ganache- UF"/>
    <n v="6799.92"/>
    <n v="7068"/>
    <n v="1.0394239932234497"/>
    <n v="492"/>
    <d v="2026-05-22T00:00:00"/>
    <n v="7212"/>
    <n v="7704"/>
    <n v="-7972.08"/>
    <n v="33.988635160413651"/>
    <n v="31.818021388486923"/>
  </r>
  <r>
    <s v="430121910"/>
    <s v="4301"/>
    <x v="11"/>
    <x v="15"/>
    <s v="430121910"/>
    <x v="15"/>
    <x v="1"/>
    <s v="T&amp;I EX HP 2 KG"/>
    <n v="0"/>
    <n v="0"/>
    <n v="0"/>
    <n v="0"/>
    <m/>
    <n v="51420"/>
    <n v="51420"/>
    <n v="-51420"/>
    <n v="0"/>
    <n v="0"/>
  </r>
  <r>
    <s v="430123081"/>
    <s v="4301"/>
    <x v="11"/>
    <x v="16"/>
    <s v="430123081"/>
    <x v="16"/>
    <x v="1"/>
    <s v="T&amp;I EX HP"/>
    <n v="540"/>
    <n v="0"/>
    <n v="0"/>
    <n v="0"/>
    <m/>
    <n v="516"/>
    <n v="516"/>
    <n v="24"/>
    <n v="28.666666666666668"/>
    <n v="28.666666666666668"/>
  </r>
  <r>
    <s v="430123401"/>
    <s v="4301"/>
    <x v="11"/>
    <x v="40"/>
    <s v="430123401"/>
    <x v="40"/>
    <x v="1"/>
    <s v="T&amp;I EX UF"/>
    <n v="4206"/>
    <n v="0"/>
    <n v="0"/>
    <n v="0"/>
    <m/>
    <n v="2100"/>
    <n v="2100"/>
    <n v="2106"/>
    <n v="14.978601997146933"/>
    <n v="14.978601997146933"/>
  </r>
  <r>
    <s v="430123890"/>
    <s v="4301"/>
    <x v="11"/>
    <x v="48"/>
    <s v="430123890"/>
    <x v="48"/>
    <x v="1"/>
    <s v="T&amp;I EX HP"/>
    <n v="0"/>
    <n v="0"/>
    <n v="0"/>
    <n v="0"/>
    <m/>
    <n v="1356"/>
    <n v="1356"/>
    <n v="-1356"/>
    <n v="0"/>
    <n v="0"/>
  </r>
  <r>
    <s v="430124768"/>
    <s v="4301"/>
    <x v="11"/>
    <x v="41"/>
    <s v="430124768"/>
    <x v="41"/>
    <x v="1"/>
    <s v="T&amp;I EX UF"/>
    <n v="2404.92"/>
    <n v="2148"/>
    <n v="0.89316900354273732"/>
    <n v="0"/>
    <m/>
    <n v="1404"/>
    <n v="1404"/>
    <n v="-1147.08"/>
    <n v="17.514096102988873"/>
    <n v="17.514096102988873"/>
  </r>
  <r>
    <s v="430125570"/>
    <s v="4301"/>
    <x v="11"/>
    <x v="19"/>
    <s v="430125570"/>
    <x v="19"/>
    <x v="1"/>
    <s v="T&amp;I EX HP"/>
    <n v="300"/>
    <n v="0"/>
    <n v="0"/>
    <n v="24"/>
    <d v="2026-05-21T00:00:00"/>
    <n v="8472"/>
    <n v="8496"/>
    <n v="-8196"/>
    <n v="849.6"/>
    <n v="847.2"/>
  </r>
  <r>
    <s v="430125598"/>
    <s v="4301"/>
    <x v="11"/>
    <x v="42"/>
    <s v="430125598"/>
    <x v="42"/>
    <x v="1"/>
    <s v="T&amp;I EX HP"/>
    <n v="1845.6"/>
    <n v="660"/>
    <n v="0.35760728218465543"/>
    <n v="0"/>
    <m/>
    <n v="0"/>
    <n v="0"/>
    <n v="1185.5999999999999"/>
    <n v="0"/>
    <n v="0"/>
  </r>
  <r>
    <s v="430125616"/>
    <s v="4301"/>
    <x v="11"/>
    <x v="52"/>
    <s v="430125616"/>
    <x v="52"/>
    <x v="1"/>
    <s v="T&amp;I EX HP"/>
    <n v="0"/>
    <n v="0"/>
    <n v="0"/>
    <n v="0"/>
    <m/>
    <n v="16180"/>
    <n v="16180"/>
    <n v="-16180"/>
    <n v="0"/>
    <n v="0"/>
  </r>
  <r>
    <s v="430206151"/>
    <s v="4302"/>
    <x v="12"/>
    <x v="20"/>
    <s v="430206151"/>
    <x v="20"/>
    <x v="2"/>
    <s v="OS - Dry"/>
    <n v="15229.68"/>
    <n v="6060"/>
    <n v="0.39790724427565122"/>
    <n v="0"/>
    <m/>
    <n v="72"/>
    <n v="72"/>
    <n v="9097.68"/>
    <n v="0.14182832469231132"/>
    <n v="0.14182832469231132"/>
  </r>
  <r>
    <s v="430213490"/>
    <s v="4302"/>
    <x v="12"/>
    <x v="21"/>
    <s v="430213490"/>
    <x v="21"/>
    <x v="3"/>
    <s v="UF-Dry"/>
    <n v="1930"/>
    <n v="1330"/>
    <n v="0.68911917098445596"/>
    <n v="0"/>
    <m/>
    <n v="2640"/>
    <n v="2640"/>
    <n v="-2040"/>
    <n v="41.036269430051817"/>
    <n v="41.036269430051817"/>
  </r>
  <r>
    <s v="430215300"/>
    <s v="4302"/>
    <x v="12"/>
    <x v="22"/>
    <s v="430215300"/>
    <x v="22"/>
    <x v="3"/>
    <s v="UF-Dry"/>
    <n v="482.94"/>
    <n v="261"/>
    <n v="0.54043980618710397"/>
    <n v="0"/>
    <m/>
    <n v="612"/>
    <n v="612"/>
    <n v="-390.06"/>
    <n v="38.017144986954904"/>
    <n v="38.017144986954904"/>
  </r>
  <r>
    <s v="430219690"/>
    <s v="4302"/>
    <x v="12"/>
    <x v="0"/>
    <s v="430219690"/>
    <x v="0"/>
    <x v="0"/>
    <s v="OS - Dry"/>
    <n v="771.96"/>
    <n v="36"/>
    <n v="4.6634540649774597E-2"/>
    <n v="0"/>
    <m/>
    <n v="840"/>
    <n v="840"/>
    <n v="-104.03999999999996"/>
    <n v="32.644178454842219"/>
    <n v="32.644178454842219"/>
  </r>
  <r>
    <s v="430220160"/>
    <s v="4302"/>
    <x v="12"/>
    <x v="49"/>
    <s v="430220160"/>
    <x v="49"/>
    <x v="0"/>
    <s v="OS - Dry"/>
    <n v="192.96"/>
    <n v="0"/>
    <n v="0"/>
    <n v="0"/>
    <m/>
    <n v="0"/>
    <n v="0"/>
    <n v="192.96"/>
    <n v="0"/>
    <n v="0"/>
  </r>
  <r>
    <s v="430220309"/>
    <s v="4302"/>
    <x v="12"/>
    <x v="50"/>
    <s v="430220309"/>
    <x v="50"/>
    <x v="0"/>
    <s v="OS - Dry"/>
    <n v="192.96"/>
    <n v="0"/>
    <n v="0"/>
    <n v="0"/>
    <m/>
    <n v="0"/>
    <n v="0"/>
    <n v="192.96"/>
    <n v="0"/>
    <n v="0"/>
  </r>
  <r>
    <s v="430220661"/>
    <s v="4302"/>
    <x v="12"/>
    <x v="23"/>
    <s v="430220661"/>
    <x v="23"/>
    <x v="4"/>
    <s v="OS-Chill"/>
    <n v="1929.96"/>
    <n v="36"/>
    <n v="1.8653236336504384E-2"/>
    <n v="0"/>
    <m/>
    <n v="1740"/>
    <n v="1740"/>
    <n v="153.96000000000004"/>
    <n v="27.047192687931354"/>
    <n v="27.047192687931354"/>
  </r>
  <r>
    <s v="430223638"/>
    <s v="4302"/>
    <x v="12"/>
    <x v="24"/>
    <s v="430223638"/>
    <x v="24"/>
    <x v="2"/>
    <s v="OS - Dry"/>
    <n v="4397.5200000000004"/>
    <n v="780"/>
    <n v="0.17737270097691424"/>
    <n v="0"/>
    <m/>
    <n v="1452"/>
    <n v="1452"/>
    <n v="2165.5200000000004"/>
    <n v="9.905583146864597"/>
    <n v="9.905583146864597"/>
  </r>
  <r>
    <s v="430225885"/>
    <s v="4302"/>
    <x v="12"/>
    <x v="25"/>
    <s v="430225885"/>
    <x v="25"/>
    <x v="1"/>
    <s v="T&amp;I EX UF"/>
    <n v="771.96"/>
    <n v="156"/>
    <n v="0.20208300948235658"/>
    <n v="0"/>
    <m/>
    <n v="708"/>
    <n v="708"/>
    <n v="-92.039999999999964"/>
    <n v="27.51437898336701"/>
    <n v="27.51437898336701"/>
  </r>
  <r>
    <s v="430226234"/>
    <s v="4302"/>
    <x v="12"/>
    <x v="27"/>
    <s v="430226234"/>
    <x v="27"/>
    <x v="1"/>
    <s v="T&amp;I EX UF"/>
    <n v="0"/>
    <n v="0"/>
    <n v="0"/>
    <n v="0"/>
    <m/>
    <n v="336"/>
    <n v="336"/>
    <n v="-336"/>
    <n v="0"/>
    <n v="0"/>
  </r>
  <r>
    <s v="430226745"/>
    <s v="4302"/>
    <x v="12"/>
    <x v="45"/>
    <s v="430226745"/>
    <x v="45"/>
    <x v="0"/>
    <s v="PF MFG"/>
    <n v="192.96"/>
    <n v="0"/>
    <n v="0"/>
    <n v="0"/>
    <m/>
    <n v="0"/>
    <n v="0"/>
    <n v="192.96"/>
    <n v="0"/>
    <n v="0"/>
  </r>
  <r>
    <s v="430204145"/>
    <s v="4302"/>
    <x v="12"/>
    <x v="29"/>
    <s v="430204145"/>
    <x v="29"/>
    <x v="3"/>
    <s v="UF-Dry"/>
    <n v="289.98"/>
    <n v="126"/>
    <n v="0.4345127250155183"/>
    <n v="0"/>
    <m/>
    <n v="522"/>
    <n v="522"/>
    <n v="-358.02"/>
    <n v="54.003724394785849"/>
    <n v="54.003724394785849"/>
  </r>
  <r>
    <s v="430214248"/>
    <s v="4302"/>
    <x v="12"/>
    <x v="30"/>
    <s v="430214248"/>
    <x v="30"/>
    <x v="3"/>
    <s v="UF-Dry"/>
    <n v="1930"/>
    <n v="640"/>
    <n v="0.33160621761658032"/>
    <n v="0"/>
    <m/>
    <n v="2320"/>
    <n v="2320"/>
    <n v="-1030"/>
    <n v="36.062176165803109"/>
    <n v="36.062176165803109"/>
  </r>
  <r>
    <s v="430215305"/>
    <s v="4302"/>
    <x v="12"/>
    <x v="31"/>
    <s v="430215305"/>
    <x v="31"/>
    <x v="3"/>
    <s v="UF-Dry"/>
    <n v="482.94"/>
    <n v="180"/>
    <n v="0.37271710771524413"/>
    <n v="0"/>
    <m/>
    <n v="306"/>
    <n v="306"/>
    <n v="-3.0600000000000023"/>
    <n v="19.008572493477452"/>
    <n v="19.008572493477452"/>
  </r>
  <r>
    <s v="430215312"/>
    <s v="4302"/>
    <x v="12"/>
    <x v="47"/>
    <s v="430215312"/>
    <x v="47"/>
    <x v="3"/>
    <s v="UF-Dry"/>
    <n v="96.93"/>
    <n v="27"/>
    <n v="0.27855153203342614"/>
    <n v="0"/>
    <m/>
    <n v="162"/>
    <n v="162"/>
    <n v="-92.07"/>
    <n v="50.139275766016709"/>
    <n v="50.139275766016709"/>
  </r>
  <r>
    <s v="430216407"/>
    <s v="4302"/>
    <x v="12"/>
    <x v="32"/>
    <s v="430216407"/>
    <x v="32"/>
    <x v="3"/>
    <s v="UF-Dry"/>
    <n v="643.32000000000005"/>
    <n v="243"/>
    <n v="0.37772803581421371"/>
    <n v="0"/>
    <m/>
    <n v="405"/>
    <n v="405"/>
    <n v="-4.67999999999995"/>
    <n v="18.886401790710686"/>
    <n v="18.886401790710686"/>
  </r>
  <r>
    <s v="430200189"/>
    <s v="4302"/>
    <x v="12"/>
    <x v="1"/>
    <s v="430200189"/>
    <x v="1"/>
    <x v="1"/>
    <s v="T&amp;I Comm-UF"/>
    <n v="25739.040000000001"/>
    <n v="18168"/>
    <n v="0.70585383137832647"/>
    <n v="0"/>
    <m/>
    <n v="17772"/>
    <n v="17772"/>
    <n v="-10200.959999999999"/>
    <n v="20.714059265613635"/>
    <n v="20.714059265613635"/>
  </r>
  <r>
    <s v="430201167"/>
    <s v="4302"/>
    <x v="12"/>
    <x v="33"/>
    <s v="430201167"/>
    <x v="33"/>
    <x v="1"/>
    <s v="T&amp;I EX UF"/>
    <n v="2251.6799999999998"/>
    <n v="1680"/>
    <n v="0.74610957151993185"/>
    <n v="0"/>
    <m/>
    <n v="2040"/>
    <n v="2040"/>
    <n v="-1468.3200000000002"/>
    <n v="27.179705819654657"/>
    <n v="27.179705819654657"/>
  </r>
  <r>
    <s v="430201296"/>
    <s v="4302"/>
    <x v="12"/>
    <x v="2"/>
    <s v="430201296"/>
    <x v="2"/>
    <x v="1"/>
    <s v="T&amp;I EX HP 2 KG"/>
    <n v="2896.08"/>
    <n v="1644"/>
    <n v="0.56766387668848928"/>
    <n v="0"/>
    <m/>
    <n v="2604"/>
    <n v="2604"/>
    <n v="-1351.92"/>
    <n v="26.974392972569817"/>
    <n v="26.974392972569817"/>
  </r>
  <r>
    <s v="430202122"/>
    <s v="4302"/>
    <x v="12"/>
    <x v="3"/>
    <s v="430202122"/>
    <x v="3"/>
    <x v="1"/>
    <s v="T&amp;I EX HP 2 KG"/>
    <n v="5791.08"/>
    <n v="5196"/>
    <n v="0.89724196522928368"/>
    <n v="0"/>
    <m/>
    <n v="3684"/>
    <n v="3684"/>
    <n v="-3088.92"/>
    <n v="19.084523094137882"/>
    <n v="19.084523094137882"/>
  </r>
  <r>
    <s v="430206982"/>
    <s v="4302"/>
    <x v="12"/>
    <x v="34"/>
    <s v="430206982"/>
    <x v="34"/>
    <x v="1"/>
    <s v="T&amp;I Comm-UF"/>
    <n v="4182.72"/>
    <n v="456"/>
    <n v="0.10901996786779894"/>
    <n v="0"/>
    <m/>
    <n v="7908"/>
    <n v="7908"/>
    <n v="-4181.28"/>
    <n v="56.719072756483818"/>
    <n v="56.719072756483818"/>
  </r>
  <r>
    <s v="430207310"/>
    <s v="4302"/>
    <x v="12"/>
    <x v="5"/>
    <s v="430207310"/>
    <x v="5"/>
    <x v="1"/>
    <s v="T&amp;I Comm -HP"/>
    <n v="30565.200000000001"/>
    <n v="14004"/>
    <n v="0.45816811275568292"/>
    <n v="0"/>
    <m/>
    <n v="27576"/>
    <n v="27576"/>
    <n v="-11014.8"/>
    <n v="27.066075144281733"/>
    <n v="27.066075144281733"/>
  </r>
  <r>
    <s v="430208529"/>
    <s v="4302"/>
    <x v="12"/>
    <x v="6"/>
    <s v="430208529"/>
    <x v="6"/>
    <x v="1"/>
    <s v="T&amp;I EX HP 2 KG"/>
    <n v="7722.24"/>
    <n v="4848"/>
    <n v="0.62779711586275488"/>
    <n v="0"/>
    <m/>
    <n v="6600"/>
    <n v="6600"/>
    <n v="-3725.76"/>
    <n v="25.64022874191944"/>
    <n v="25.64022874191944"/>
  </r>
  <r>
    <s v="430213179"/>
    <s v="4302"/>
    <x v="12"/>
    <x v="7"/>
    <s v="430213179"/>
    <x v="7"/>
    <x v="1"/>
    <s v="T&amp;I EX HP 2 KG"/>
    <n v="57913.8"/>
    <n v="32760"/>
    <n v="0.56566828631517874"/>
    <n v="0"/>
    <m/>
    <n v="46488"/>
    <n v="46488"/>
    <n v="-21334.199999999997"/>
    <n v="24.081307045989039"/>
    <n v="24.081307045989039"/>
  </r>
  <r>
    <s v="430213678"/>
    <s v="4302"/>
    <x v="12"/>
    <x v="8"/>
    <s v="430213678"/>
    <x v="8"/>
    <x v="1"/>
    <s v="T&amp;I EX HP"/>
    <n v="9000"/>
    <n v="7104"/>
    <n v="0.78933333333333333"/>
    <n v="0"/>
    <m/>
    <n v="6372"/>
    <n v="6372"/>
    <n v="-4476"/>
    <n v="21.24"/>
    <n v="21.24"/>
  </r>
  <r>
    <s v="430214654"/>
    <s v="4302"/>
    <x v="12"/>
    <x v="9"/>
    <s v="430214654"/>
    <x v="9"/>
    <x v="1"/>
    <s v="T&amp;I Comm-UF"/>
    <n v="5147.76"/>
    <n v="3180"/>
    <n v="0.61774441698913696"/>
    <n v="0"/>
    <m/>
    <n v="1020"/>
    <n v="1020"/>
    <n v="947.76000000000022"/>
    <n v="5.9443330691407521"/>
    <n v="5.9443330691407521"/>
  </r>
  <r>
    <s v="430215536"/>
    <s v="4302"/>
    <x v="12"/>
    <x v="36"/>
    <s v="430215536"/>
    <x v="36"/>
    <x v="5"/>
    <s v="Ganache- UF"/>
    <n v="9652.2000000000007"/>
    <n v="5448"/>
    <n v="0.56443090694349474"/>
    <n v="0"/>
    <m/>
    <n v="12612"/>
    <n v="12612"/>
    <n v="-8407.7999999999993"/>
    <n v="39.199353515260768"/>
    <n v="39.199353515260768"/>
  </r>
  <r>
    <s v="430215906"/>
    <s v="4302"/>
    <x v="12"/>
    <x v="11"/>
    <s v="430215906"/>
    <x v="11"/>
    <x v="1"/>
    <s v="T&amp;I EX HP"/>
    <n v="0"/>
    <n v="0"/>
    <n v="0"/>
    <n v="0"/>
    <m/>
    <n v="252"/>
    <n v="252"/>
    <n v="-252"/>
    <n v="0"/>
    <n v="0"/>
  </r>
  <r>
    <s v="430216336"/>
    <s v="4302"/>
    <x v="12"/>
    <x v="12"/>
    <s v="430216336"/>
    <x v="12"/>
    <x v="1"/>
    <s v="T&amp;I Comm-UF"/>
    <n v="66172.44"/>
    <n v="42360"/>
    <n v="0.64014565580474281"/>
    <n v="0"/>
    <m/>
    <n v="42708"/>
    <n v="42708"/>
    <n v="-18895.559999999998"/>
    <n v="19.362139283363284"/>
    <n v="19.362139283363284"/>
  </r>
  <r>
    <s v="430216984"/>
    <s v="4302"/>
    <x v="12"/>
    <x v="13"/>
    <s v="430216984"/>
    <x v="13"/>
    <x v="1"/>
    <s v="T&amp;I EX HP"/>
    <n v="257.27999999999997"/>
    <n v="48"/>
    <n v="0.18656716417910449"/>
    <n v="0"/>
    <m/>
    <n v="444"/>
    <n v="444"/>
    <n v="-234.72000000000003"/>
    <n v="51.772388059701498"/>
    <n v="51.772388059701498"/>
  </r>
  <r>
    <s v="430216998"/>
    <s v="4302"/>
    <x v="12"/>
    <x v="37"/>
    <s v="430216998"/>
    <x v="37"/>
    <x v="1"/>
    <s v="T&amp;I EX UF"/>
    <n v="2574.36"/>
    <n v="840"/>
    <n v="0.32629469071924672"/>
    <n v="0"/>
    <m/>
    <n v="4248"/>
    <n v="4248"/>
    <n v="-2513.64"/>
    <n v="49.503565934834292"/>
    <n v="49.503565934834292"/>
  </r>
  <r>
    <s v="430218098"/>
    <s v="4302"/>
    <x v="12"/>
    <x v="38"/>
    <s v="430218098"/>
    <x v="38"/>
    <x v="1"/>
    <s v="T&amp;I EX HP"/>
    <n v="2251.6799999999998"/>
    <n v="432"/>
    <n v="0.19185674696226818"/>
    <n v="0"/>
    <m/>
    <n v="2148"/>
    <n v="2148"/>
    <n v="-328.32000000000016"/>
    <n v="28.618631421871669"/>
    <n v="28.618631421871669"/>
  </r>
  <r>
    <s v="430220308"/>
    <s v="4302"/>
    <x v="12"/>
    <x v="14"/>
    <s v="430220308"/>
    <x v="14"/>
    <x v="1"/>
    <s v="T&amp;I EX HP 2 KG"/>
    <n v="4826.04"/>
    <n v="1572"/>
    <n v="0.32573289902280128"/>
    <n v="0"/>
    <m/>
    <n v="5388"/>
    <n v="5388"/>
    <n v="-2133.96"/>
    <n v="33.493298853718578"/>
    <n v="33.493298853718578"/>
  </r>
  <r>
    <s v="430220827"/>
    <s v="4302"/>
    <x v="12"/>
    <x v="39"/>
    <s v="430220827"/>
    <x v="39"/>
    <x v="5"/>
    <s v="Ganache- UF"/>
    <n v="3539.4"/>
    <n v="2244"/>
    <n v="0.63400576368876083"/>
    <n v="0"/>
    <m/>
    <n v="2916"/>
    <n v="2916"/>
    <n v="-1620.6"/>
    <n v="24.716053568401424"/>
    <n v="24.716053568401424"/>
  </r>
  <r>
    <s v="430221910"/>
    <s v="4302"/>
    <x v="12"/>
    <x v="15"/>
    <s v="430221910"/>
    <x v="15"/>
    <x v="1"/>
    <s v="T&amp;I EX HP 2 KG"/>
    <n v="7722.24"/>
    <n v="3960"/>
    <n v="0.51280457483838893"/>
    <n v="0"/>
    <m/>
    <n v="6048"/>
    <n v="6048"/>
    <n v="-2285.7600000000002"/>
    <n v="23.495773247140725"/>
    <n v="23.495773247140725"/>
  </r>
  <r>
    <s v="430223081"/>
    <s v="4302"/>
    <x v="12"/>
    <x v="16"/>
    <s v="430223081"/>
    <x v="16"/>
    <x v="1"/>
    <s v="T&amp;I EX HP"/>
    <n v="2574.36"/>
    <n v="876"/>
    <n v="0.3402787488929287"/>
    <n v="0"/>
    <m/>
    <n v="1536"/>
    <n v="1536"/>
    <n v="162.36000000000013"/>
    <n v="17.899594462312965"/>
    <n v="17.899594462312965"/>
  </r>
  <r>
    <s v="430223401"/>
    <s v="4302"/>
    <x v="12"/>
    <x v="40"/>
    <s v="430223401"/>
    <x v="40"/>
    <x v="1"/>
    <s v="T&amp;I EX UF"/>
    <n v="964.92"/>
    <n v="0"/>
    <n v="0"/>
    <n v="0"/>
    <m/>
    <n v="540"/>
    <n v="540"/>
    <n v="424.91999999999996"/>
    <n v="16.78895659743813"/>
    <n v="16.78895659743813"/>
  </r>
  <r>
    <s v="430224768"/>
    <s v="4302"/>
    <x v="12"/>
    <x v="41"/>
    <s v="430224768"/>
    <x v="41"/>
    <x v="1"/>
    <s v="T&amp;I EX UF"/>
    <n v="4826.04"/>
    <n v="1608"/>
    <n v="0.33319243106149143"/>
    <n v="0"/>
    <m/>
    <n v="6636"/>
    <n v="6636"/>
    <n v="-3417.96"/>
    <n v="41.25121217395629"/>
    <n v="41.25121217395629"/>
  </r>
  <r>
    <s v="430225570"/>
    <s v="4302"/>
    <x v="12"/>
    <x v="19"/>
    <s v="430225570"/>
    <x v="19"/>
    <x v="1"/>
    <s v="T&amp;I EX HP"/>
    <n v="3217.68"/>
    <n v="840"/>
    <n v="0.26105765644812412"/>
    <n v="0"/>
    <m/>
    <n v="3240"/>
    <n v="3240"/>
    <n v="-862.32000000000016"/>
    <n v="30.208100246140077"/>
    <n v="30.208100246140077"/>
  </r>
  <r>
    <s v="430225598"/>
    <s v="4302"/>
    <x v="12"/>
    <x v="42"/>
    <s v="430225598"/>
    <x v="42"/>
    <x v="1"/>
    <s v="T&amp;I EX HP"/>
    <n v="1286.6400000000001"/>
    <n v="432"/>
    <n v="0.33575825405707888"/>
    <n v="0"/>
    <m/>
    <n v="804"/>
    <n v="804"/>
    <n v="50.6400000000001"/>
    <n v="18.746502518186904"/>
    <n v="18.746502518186904"/>
  </r>
  <r>
    <s v="430406151"/>
    <s v="4304"/>
    <x v="13"/>
    <x v="20"/>
    <s v="430406151"/>
    <x v="20"/>
    <x v="2"/>
    <s v="OS - Dry"/>
    <n v="16999.919999999998"/>
    <n v="11580"/>
    <n v="0.68117967613965247"/>
    <n v="11076"/>
    <d v="2026-05-22T00:00:00"/>
    <n v="3864"/>
    <n v="14940"/>
    <n v="-9520.0800000000017"/>
    <n v="26.364829952140951"/>
    <n v="6.8188556181440854"/>
  </r>
  <r>
    <s v="430413490"/>
    <s v="4304"/>
    <x v="13"/>
    <x v="21"/>
    <s v="430413490"/>
    <x v="21"/>
    <x v="3"/>
    <s v="UF-Dry"/>
    <n v="2890"/>
    <n v="2000"/>
    <n v="0.69204152249134943"/>
    <n v="0"/>
    <m/>
    <n v="3350"/>
    <n v="3350"/>
    <n v="-2460"/>
    <n v="34.775086505190316"/>
    <n v="34.775086505190316"/>
  </r>
  <r>
    <s v="430415300"/>
    <s v="4304"/>
    <x v="13"/>
    <x v="22"/>
    <s v="430415300"/>
    <x v="22"/>
    <x v="3"/>
    <s v="UF-Dry"/>
    <n v="306"/>
    <n v="72"/>
    <n v="0.23529411764705882"/>
    <n v="0"/>
    <m/>
    <n v="468"/>
    <n v="468"/>
    <n v="-234"/>
    <n v="45.882352941176471"/>
    <n v="45.882352941176471"/>
  </r>
  <r>
    <s v="430419690"/>
    <s v="4304"/>
    <x v="13"/>
    <x v="0"/>
    <s v="430419690"/>
    <x v="0"/>
    <x v="0"/>
    <s v="OS - Dry"/>
    <n v="312"/>
    <n v="1716"/>
    <n v="5.5"/>
    <n v="0"/>
    <m/>
    <n v="576"/>
    <n v="576"/>
    <n v="-1980"/>
    <n v="55.38461538461538"/>
    <n v="55.38461538461538"/>
  </r>
  <r>
    <s v="430420661"/>
    <s v="4304"/>
    <x v="13"/>
    <x v="23"/>
    <s v="430420661"/>
    <x v="23"/>
    <x v="4"/>
    <s v="OS-Chill"/>
    <n v="3499.92"/>
    <n v="2556"/>
    <n v="0.73030240691215798"/>
    <n v="400"/>
    <m/>
    <n v="300"/>
    <n v="700"/>
    <n v="243.92000000000007"/>
    <n v="6.0001371459919079"/>
    <n v="2.5714873482822465"/>
  </r>
  <r>
    <s v="430423638"/>
    <s v="4304"/>
    <x v="13"/>
    <x v="24"/>
    <s v="430423638"/>
    <x v="24"/>
    <x v="2"/>
    <s v="OS - Dry"/>
    <n v="11499.84"/>
    <n v="5952"/>
    <n v="0.5175724183988647"/>
    <n v="0"/>
    <m/>
    <n v="6048"/>
    <n v="6048"/>
    <n v="-500.15999999999985"/>
    <n v="15.777610818933132"/>
    <n v="15.777610818933132"/>
  </r>
  <r>
    <s v="430425885"/>
    <s v="4304"/>
    <x v="13"/>
    <x v="25"/>
    <s v="430425885"/>
    <x v="25"/>
    <x v="1"/>
    <s v="T&amp;I EX UF"/>
    <n v="3096"/>
    <n v="1740"/>
    <n v="0.56201550387596899"/>
    <n v="0"/>
    <m/>
    <n v="2820"/>
    <n v="2820"/>
    <n v="-1464"/>
    <n v="27.325581395348838"/>
    <n v="27.325581395348838"/>
  </r>
  <r>
    <s v="430426026"/>
    <s v="4304"/>
    <x v="13"/>
    <x v="43"/>
    <s v="430426026"/>
    <x v="43"/>
    <x v="4"/>
    <s v="OS-Chill"/>
    <n v="0"/>
    <n v="0"/>
    <n v="0"/>
    <n v="0"/>
    <m/>
    <n v="348"/>
    <n v="348"/>
    <n v="-348"/>
    <n v="0"/>
    <n v="0"/>
  </r>
  <r>
    <s v="430426193"/>
    <s v="4304"/>
    <x v="13"/>
    <x v="44"/>
    <s v="430426193"/>
    <x v="44"/>
    <x v="2"/>
    <s v="OS - Dry"/>
    <n v="2772"/>
    <n v="6888"/>
    <n v="2.4848484848484849"/>
    <n v="0"/>
    <m/>
    <n v="0"/>
    <n v="0"/>
    <n v="-4116"/>
    <n v="0"/>
    <n v="0"/>
  </r>
  <r>
    <s v="430426234"/>
    <s v="4304"/>
    <x v="13"/>
    <x v="27"/>
    <s v="430426234"/>
    <x v="27"/>
    <x v="1"/>
    <s v="T&amp;I EX UF"/>
    <n v="24"/>
    <n v="0"/>
    <n v="0"/>
    <n v="0"/>
    <m/>
    <n v="1056"/>
    <n v="1056"/>
    <n v="-1032"/>
    <n v="1320"/>
    <n v="1320"/>
  </r>
  <r>
    <s v="430427021"/>
    <s v="4304"/>
    <x v="13"/>
    <x v="46"/>
    <s v="430427021"/>
    <x v="46"/>
    <x v="6"/>
    <e v="#N/A"/>
    <n v="0"/>
    <n v="0"/>
    <n v="0"/>
    <n v="0"/>
    <m/>
    <n v="60"/>
    <n v="60"/>
    <n v="-60"/>
    <n v="0"/>
    <n v="0"/>
  </r>
  <r>
    <s v="430404145"/>
    <s v="4304"/>
    <x v="13"/>
    <x v="29"/>
    <s v="430404145"/>
    <x v="29"/>
    <x v="3"/>
    <s v="UF-Dry"/>
    <n v="252"/>
    <n v="261"/>
    <n v="1.0357142857142858"/>
    <n v="0"/>
    <m/>
    <n v="378"/>
    <n v="378"/>
    <n v="-387"/>
    <n v="45"/>
    <n v="45"/>
  </r>
  <r>
    <s v="430414248"/>
    <s v="4304"/>
    <x v="13"/>
    <x v="30"/>
    <s v="430414248"/>
    <x v="30"/>
    <x v="3"/>
    <s v="UF-Dry"/>
    <n v="1470"/>
    <n v="1180"/>
    <n v="0.80272108843537415"/>
    <n v="0"/>
    <m/>
    <n v="1800"/>
    <n v="1800"/>
    <n v="-1510"/>
    <n v="36.734693877551024"/>
    <n v="36.734693877551024"/>
  </r>
  <r>
    <s v="430415305"/>
    <s v="4304"/>
    <x v="13"/>
    <x v="31"/>
    <s v="430415305"/>
    <x v="31"/>
    <x v="3"/>
    <s v="UF-Dry"/>
    <n v="315"/>
    <n v="144"/>
    <n v="0.45714285714285713"/>
    <n v="0"/>
    <m/>
    <n v="450"/>
    <n v="450"/>
    <n v="-279"/>
    <n v="42.857142857142854"/>
    <n v="42.857142857142854"/>
  </r>
  <r>
    <s v="430416407"/>
    <s v="4304"/>
    <x v="13"/>
    <x v="32"/>
    <s v="430416407"/>
    <x v="32"/>
    <x v="3"/>
    <s v="UF-Dry"/>
    <n v="387"/>
    <n v="387"/>
    <n v="1"/>
    <n v="0"/>
    <m/>
    <n v="423"/>
    <n v="423"/>
    <n v="-423"/>
    <n v="32.790697674418603"/>
    <n v="32.790697674418603"/>
  </r>
  <r>
    <s v="430400189"/>
    <s v="4304"/>
    <x v="13"/>
    <x v="1"/>
    <s v="430400189"/>
    <x v="1"/>
    <x v="1"/>
    <s v="T&amp;I Comm-UF"/>
    <n v="33999.96"/>
    <n v="23628"/>
    <n v="0.69494199404940482"/>
    <n v="0"/>
    <m/>
    <n v="11628"/>
    <n v="11628"/>
    <n v="-1256.0400000000009"/>
    <n v="10.260012070602437"/>
    <n v="10.260012070602437"/>
  </r>
  <r>
    <s v="430401167"/>
    <s v="4304"/>
    <x v="13"/>
    <x v="33"/>
    <s v="430401167"/>
    <x v="33"/>
    <x v="1"/>
    <s v="T&amp;I EX UF"/>
    <n v="5151.96"/>
    <n v="2916"/>
    <n v="0.56599818321570816"/>
    <n v="0"/>
    <m/>
    <n v="3852"/>
    <n v="3852"/>
    <n v="-1616.04"/>
    <n v="22.430298371881769"/>
    <n v="22.430298371881769"/>
  </r>
  <r>
    <s v="430401296"/>
    <s v="4304"/>
    <x v="13"/>
    <x v="2"/>
    <s v="430401296"/>
    <x v="2"/>
    <x v="1"/>
    <s v="T&amp;I EX HP 2 KG"/>
    <n v="4872"/>
    <n v="2076"/>
    <n v="0.42610837438423643"/>
    <n v="0"/>
    <m/>
    <n v="3612"/>
    <n v="3612"/>
    <n v="-816"/>
    <n v="22.241379310344826"/>
    <n v="22.241379310344826"/>
  </r>
  <r>
    <s v="430402122"/>
    <s v="4304"/>
    <x v="13"/>
    <x v="3"/>
    <s v="430402122"/>
    <x v="3"/>
    <x v="1"/>
    <s v="T&amp;I EX HP 2 KG"/>
    <n v="87999.96"/>
    <n v="48504"/>
    <n v="0.55118206871912212"/>
    <n v="9996"/>
    <d v="2026-05-22T00:00:00"/>
    <n v="40596"/>
    <n v="50592"/>
    <n v="-11096.039999999994"/>
    <n v="17.247280566945712"/>
    <n v="13.839551745250791"/>
  </r>
  <r>
    <s v="430406982"/>
    <s v="4304"/>
    <x v="13"/>
    <x v="34"/>
    <s v="430406982"/>
    <x v="34"/>
    <x v="1"/>
    <s v="T&amp;I Comm-UF"/>
    <n v="2799.96"/>
    <n v="1968"/>
    <n v="0.70286718381691171"/>
    <n v="0"/>
    <m/>
    <n v="2280"/>
    <n v="2280"/>
    <n v="-1448.04"/>
    <n v="24.428920413148756"/>
    <n v="24.428920413148756"/>
  </r>
  <r>
    <s v="430407310"/>
    <s v="4304"/>
    <x v="13"/>
    <x v="5"/>
    <s v="430407310"/>
    <x v="5"/>
    <x v="1"/>
    <s v="T&amp;I Comm -HP"/>
    <n v="78000"/>
    <n v="64068"/>
    <n v="0.82138461538461538"/>
    <n v="9996"/>
    <d v="2026-05-22T00:00:00"/>
    <n v="37872"/>
    <n v="47868"/>
    <n v="-33936"/>
    <n v="18.41076923076923"/>
    <n v="14.566153846153846"/>
  </r>
  <r>
    <s v="430408529"/>
    <s v="4304"/>
    <x v="13"/>
    <x v="6"/>
    <s v="430408529"/>
    <x v="6"/>
    <x v="1"/>
    <s v="T&amp;I EX HP 2 KG"/>
    <n v="21799.919999999998"/>
    <n v="11268"/>
    <n v="0.51688263076194774"/>
    <n v="2208"/>
    <d v="2026-05-22T00:00:00"/>
    <n v="12540"/>
    <n v="14748"/>
    <n v="-4216.0800000000017"/>
    <n v="20.295487322889258"/>
    <n v="17.256944062180047"/>
  </r>
  <r>
    <s v="430413179"/>
    <s v="4304"/>
    <x v="13"/>
    <x v="7"/>
    <s v="430413179"/>
    <x v="7"/>
    <x v="1"/>
    <s v="T&amp;I EX HP 2 KG"/>
    <n v="99999.96"/>
    <n v="65148"/>
    <n v="0.65148026059210418"/>
    <n v="0"/>
    <m/>
    <n v="40008"/>
    <n v="40008"/>
    <n v="-5156.0399999999936"/>
    <n v="12.002404800961919"/>
    <n v="12.002404800961919"/>
  </r>
  <r>
    <s v="430413678"/>
    <s v="4304"/>
    <x v="13"/>
    <x v="8"/>
    <s v="430413678"/>
    <x v="8"/>
    <x v="1"/>
    <s v="T&amp;I EX HP"/>
    <n v="7587.96"/>
    <n v="3120"/>
    <n v="0.41117770784242402"/>
    <n v="0"/>
    <m/>
    <n v="5700"/>
    <n v="5700"/>
    <n v="-1232.04"/>
    <n v="22.53570129520978"/>
    <n v="22.53570129520978"/>
  </r>
  <r>
    <s v="430414654"/>
    <s v="4304"/>
    <x v="13"/>
    <x v="9"/>
    <s v="430414654"/>
    <x v="9"/>
    <x v="1"/>
    <s v="T&amp;I Comm-UF"/>
    <n v="12199.92"/>
    <n v="6912"/>
    <n v="0.56656109220388329"/>
    <n v="0"/>
    <m/>
    <n v="4704"/>
    <n v="4704"/>
    <n v="583.92000000000007"/>
    <n v="11.567288965829285"/>
    <n v="11.567288965829285"/>
  </r>
  <r>
    <s v="430414788"/>
    <s v="4304"/>
    <x v="13"/>
    <x v="35"/>
    <s v="430414788"/>
    <x v="35"/>
    <x v="1"/>
    <s v="T&amp;I EX HP"/>
    <n v="480"/>
    <n v="0"/>
    <n v="0"/>
    <n v="0"/>
    <m/>
    <n v="804"/>
    <n v="804"/>
    <n v="-324"/>
    <n v="50.25"/>
    <n v="50.25"/>
  </r>
  <r>
    <s v="430415536"/>
    <s v="4304"/>
    <x v="13"/>
    <x v="36"/>
    <s v="430415536"/>
    <x v="36"/>
    <x v="5"/>
    <s v="Ganache- UF"/>
    <n v="25500"/>
    <n v="13212"/>
    <n v="0.51811764705882357"/>
    <n v="0"/>
    <m/>
    <n v="25080"/>
    <n v="25080"/>
    <n v="-12792"/>
    <n v="29.505882352941178"/>
    <n v="29.505882352941178"/>
  </r>
  <r>
    <s v="430415906"/>
    <s v="4304"/>
    <x v="13"/>
    <x v="11"/>
    <s v="430415906"/>
    <x v="11"/>
    <x v="1"/>
    <s v="T&amp;I EX HP"/>
    <n v="4500"/>
    <n v="2100"/>
    <n v="0.46666666666666667"/>
    <n v="0"/>
    <m/>
    <n v="3696"/>
    <n v="3696"/>
    <n v="-1296"/>
    <n v="24.64"/>
    <n v="24.64"/>
  </r>
  <r>
    <s v="430416336"/>
    <s v="4304"/>
    <x v="13"/>
    <x v="12"/>
    <s v="430416336"/>
    <x v="12"/>
    <x v="1"/>
    <s v="T&amp;I Comm-UF"/>
    <n v="87000"/>
    <n v="54420"/>
    <n v="0.62551724137931031"/>
    <n v="0"/>
    <m/>
    <n v="35700"/>
    <n v="35700"/>
    <n v="-3120"/>
    <n v="12.310344827586206"/>
    <n v="12.310344827586206"/>
  </r>
  <r>
    <s v="430416984"/>
    <s v="4304"/>
    <x v="13"/>
    <x v="13"/>
    <s v="430416984"/>
    <x v="13"/>
    <x v="1"/>
    <s v="T&amp;I EX HP"/>
    <n v="1483.92"/>
    <n v="672"/>
    <n v="0.45285460132621702"/>
    <n v="0"/>
    <m/>
    <n v="1920"/>
    <n v="1920"/>
    <n v="-1108.08"/>
    <n v="38.816108685104311"/>
    <n v="38.816108685104311"/>
  </r>
  <r>
    <s v="430416998"/>
    <s v="4304"/>
    <x v="13"/>
    <x v="37"/>
    <s v="430416998"/>
    <x v="37"/>
    <x v="1"/>
    <s v="T&amp;I EX UF"/>
    <n v="3999.96"/>
    <n v="3180"/>
    <n v="0.79500795007950076"/>
    <n v="0"/>
    <m/>
    <n v="4752"/>
    <n v="4752"/>
    <n v="-3932.04"/>
    <n v="35.640356403564034"/>
    <n v="35.640356403564034"/>
  </r>
  <r>
    <s v="430418098"/>
    <s v="4304"/>
    <x v="13"/>
    <x v="38"/>
    <s v="430418098"/>
    <x v="38"/>
    <x v="1"/>
    <s v="T&amp;I EX HP"/>
    <n v="4999.92"/>
    <n v="156"/>
    <n v="3.1200499207987328E-2"/>
    <n v="1800"/>
    <d v="2026-05-22T00:00:00"/>
    <n v="3084"/>
    <n v="4884"/>
    <n v="-40.079999999999927"/>
    <n v="29.304468871501943"/>
    <n v="18.504296068737098"/>
  </r>
  <r>
    <s v="430420308"/>
    <s v="4304"/>
    <x v="13"/>
    <x v="14"/>
    <s v="430420308"/>
    <x v="14"/>
    <x v="1"/>
    <s v="T&amp;I EX HP 2 KG"/>
    <n v="1599.96"/>
    <n v="1320"/>
    <n v="0.82502062551563782"/>
    <n v="0"/>
    <m/>
    <n v="1320"/>
    <n v="1320"/>
    <n v="-1040.04"/>
    <n v="24.750618765469138"/>
    <n v="24.750618765469138"/>
  </r>
  <r>
    <s v="430420827"/>
    <s v="4304"/>
    <x v="13"/>
    <x v="39"/>
    <s v="430420827"/>
    <x v="39"/>
    <x v="5"/>
    <s v="Ganache- UF"/>
    <n v="11199.96"/>
    <n v="8676"/>
    <n v="0.77464562373437051"/>
    <n v="0"/>
    <m/>
    <n v="11088"/>
    <n v="11088"/>
    <n v="-8564.0400000000009"/>
    <n v="29.700106071807401"/>
    <n v="29.700106071807401"/>
  </r>
  <r>
    <s v="430421910"/>
    <s v="4304"/>
    <x v="13"/>
    <x v="15"/>
    <s v="430421910"/>
    <x v="15"/>
    <x v="1"/>
    <s v="T&amp;I EX HP 2 KG"/>
    <n v="9999.9599999999991"/>
    <n v="4920"/>
    <n v="0.49200196800787205"/>
    <n v="0"/>
    <m/>
    <n v="8592"/>
    <n v="8592"/>
    <n v="-3512.0400000000009"/>
    <n v="25.776103104412417"/>
    <n v="25.776103104412417"/>
  </r>
  <r>
    <s v="430423081"/>
    <s v="4304"/>
    <x v="13"/>
    <x v="16"/>
    <s v="430423081"/>
    <x v="16"/>
    <x v="1"/>
    <s v="T&amp;I EX HP"/>
    <n v="2899.92"/>
    <n v="1032"/>
    <n v="0.35587188612099641"/>
    <n v="0"/>
    <m/>
    <n v="1644"/>
    <n v="1644"/>
    <n v="223.92000000000007"/>
    <n v="17.007365720433668"/>
    <n v="17.007365720433668"/>
  </r>
  <r>
    <s v="430423401"/>
    <s v="4304"/>
    <x v="13"/>
    <x v="40"/>
    <s v="430423401"/>
    <x v="40"/>
    <x v="1"/>
    <s v="T&amp;I EX UF"/>
    <n v="204"/>
    <n v="240"/>
    <n v="1.1764705882352942"/>
    <n v="0"/>
    <m/>
    <n v="156"/>
    <n v="156"/>
    <n v="-192"/>
    <n v="22.941176470588236"/>
    <n v="22.941176470588236"/>
  </r>
  <r>
    <s v="430423890"/>
    <s v="4304"/>
    <x v="13"/>
    <x v="48"/>
    <s v="430423890"/>
    <x v="48"/>
    <x v="1"/>
    <s v="T&amp;I EX HP"/>
    <n v="0"/>
    <n v="0"/>
    <n v="0"/>
    <n v="0"/>
    <m/>
    <n v="120"/>
    <n v="120"/>
    <n v="-120"/>
    <n v="0"/>
    <n v="0"/>
  </r>
  <r>
    <s v="430424768"/>
    <s v="4304"/>
    <x v="13"/>
    <x v="41"/>
    <s v="430424768"/>
    <x v="41"/>
    <x v="1"/>
    <s v="T&amp;I EX UF"/>
    <n v="19499.88"/>
    <n v="11400"/>
    <n v="0.58461898227066011"/>
    <n v="0"/>
    <m/>
    <n v="14136"/>
    <n v="14136"/>
    <n v="-6036.119999999999"/>
    <n v="21.747826140468558"/>
    <n v="21.747826140468558"/>
  </r>
  <r>
    <s v="430425570"/>
    <s v="4304"/>
    <x v="13"/>
    <x v="19"/>
    <s v="430425570"/>
    <x v="19"/>
    <x v="1"/>
    <s v="T&amp;I EX HP"/>
    <n v="2304"/>
    <n v="2016"/>
    <n v="0.875"/>
    <n v="0"/>
    <m/>
    <n v="1332"/>
    <n v="1332"/>
    <n v="-1044"/>
    <n v="17.34375"/>
    <n v="17.34375"/>
  </r>
  <r>
    <s v="430425598"/>
    <s v="4304"/>
    <x v="13"/>
    <x v="42"/>
    <s v="430425598"/>
    <x v="42"/>
    <x v="1"/>
    <s v="T&amp;I EX HP"/>
    <n v="571.91999999999996"/>
    <n v="312"/>
    <n v="0.54553084347461189"/>
    <n v="0"/>
    <m/>
    <n v="216"/>
    <n v="216"/>
    <n v="43.919999999999959"/>
    <n v="11.330255979857323"/>
    <n v="11.330255979857323"/>
  </r>
  <r>
    <s v="440006151"/>
    <s v="4400"/>
    <x v="14"/>
    <x v="20"/>
    <s v="440006151"/>
    <x v="20"/>
    <x v="2"/>
    <s v="OS - Dry"/>
    <n v="9416.64"/>
    <n v="2448"/>
    <n v="0.25996533795493937"/>
    <n v="0"/>
    <m/>
    <n v="17304"/>
    <n v="17304"/>
    <n v="-10335.36"/>
    <n v="55.127943725150374"/>
    <n v="55.127943725150374"/>
  </r>
  <r>
    <s v="440013490"/>
    <s v="4400"/>
    <x v="14"/>
    <x v="21"/>
    <s v="440013490"/>
    <x v="21"/>
    <x v="3"/>
    <s v="UF-Dry"/>
    <n v="4564.8"/>
    <n v="2250"/>
    <n v="0.49290220820189273"/>
    <n v="0"/>
    <m/>
    <n v="2380"/>
    <n v="2380"/>
    <n v="-65.199999999999818"/>
    <n v="15.641430073606729"/>
    <n v="15.641430073606729"/>
  </r>
  <r>
    <s v="440015300"/>
    <s v="4400"/>
    <x v="14"/>
    <x v="22"/>
    <s v="440015300"/>
    <x v="22"/>
    <x v="3"/>
    <s v="UF-Dry"/>
    <n v="13.77"/>
    <n v="18"/>
    <n v="1.3071895424836601"/>
    <n v="0"/>
    <m/>
    <n v="0"/>
    <n v="0"/>
    <n v="-4.2300000000000004"/>
    <n v="0"/>
    <n v="0"/>
  </r>
  <r>
    <s v="440019690"/>
    <s v="4400"/>
    <x v="14"/>
    <x v="0"/>
    <s v="440019690"/>
    <x v="0"/>
    <x v="0"/>
    <s v="OS - Dry"/>
    <n v="122.64"/>
    <n v="12"/>
    <n v="9.7847358121330719E-2"/>
    <n v="0"/>
    <m/>
    <n v="216"/>
    <n v="216"/>
    <n v="-105.36"/>
    <n v="52.837573385518589"/>
    <n v="52.837573385518589"/>
  </r>
  <r>
    <s v="440020661"/>
    <s v="4400"/>
    <x v="14"/>
    <x v="23"/>
    <s v="440020661"/>
    <x v="23"/>
    <x v="4"/>
    <s v="OS-Chill"/>
    <n v="560.16"/>
    <n v="504"/>
    <n v="0.89974293059125965"/>
    <n v="0"/>
    <m/>
    <n v="1296"/>
    <n v="1296"/>
    <n v="-1239.8400000000001"/>
    <n v="69.408740359897166"/>
    <n v="69.408740359897166"/>
  </r>
  <r>
    <s v="440023638"/>
    <s v="4400"/>
    <x v="14"/>
    <x v="24"/>
    <s v="440023638"/>
    <x v="24"/>
    <x v="2"/>
    <s v="OS - Dry"/>
    <n v="3477"/>
    <n v="1896"/>
    <n v="0.54529767040552202"/>
    <n v="0"/>
    <m/>
    <n v="2496"/>
    <n v="2496"/>
    <n v="-915"/>
    <n v="21.535806729939601"/>
    <n v="21.535806729939601"/>
  </r>
  <r>
    <s v="440025885"/>
    <s v="4400"/>
    <x v="14"/>
    <x v="25"/>
    <s v="440025885"/>
    <x v="25"/>
    <x v="1"/>
    <s v="T&amp;I EX UF"/>
    <n v="2751.48"/>
    <n v="732"/>
    <n v="0.26603864102228619"/>
    <n v="0"/>
    <m/>
    <n v="1980"/>
    <n v="1980"/>
    <n v="39.480000000000018"/>
    <n v="21.588381525578964"/>
    <n v="21.588381525578964"/>
  </r>
  <r>
    <s v="440004145"/>
    <s v="4400"/>
    <x v="14"/>
    <x v="29"/>
    <s v="440004145"/>
    <x v="29"/>
    <x v="3"/>
    <s v="UF-Dry"/>
    <n v="32.58"/>
    <n v="0"/>
    <n v="0"/>
    <n v="0"/>
    <m/>
    <n v="45"/>
    <n v="45"/>
    <n v="-12.420000000000002"/>
    <n v="41.436464088397798"/>
    <n v="41.436464088397798"/>
  </r>
  <r>
    <s v="440014248"/>
    <s v="4400"/>
    <x v="14"/>
    <x v="30"/>
    <s v="440014248"/>
    <x v="30"/>
    <x v="3"/>
    <s v="UF-Dry"/>
    <n v="302.8"/>
    <n v="180"/>
    <n v="0.59445178335535009"/>
    <n v="0"/>
    <m/>
    <n v="120"/>
    <n v="120"/>
    <n v="2.8000000000000114"/>
    <n v="11.889035667107001"/>
    <n v="11.889035667107001"/>
  </r>
  <r>
    <s v="440015305"/>
    <s v="4400"/>
    <x v="14"/>
    <x v="31"/>
    <s v="440015305"/>
    <x v="31"/>
    <x v="3"/>
    <s v="UF-Dry"/>
    <n v="55.35"/>
    <n v="36"/>
    <n v="0.65040650406504064"/>
    <n v="0"/>
    <m/>
    <n v="0"/>
    <n v="0"/>
    <n v="19.350000000000001"/>
    <n v="0"/>
    <n v="0"/>
  </r>
  <r>
    <s v="440015312"/>
    <s v="4400"/>
    <x v="14"/>
    <x v="47"/>
    <s v="440015312"/>
    <x v="47"/>
    <x v="3"/>
    <s v="UF-Dry"/>
    <n v="13.77"/>
    <n v="9"/>
    <n v="0.65359477124183007"/>
    <n v="0"/>
    <m/>
    <n v="18"/>
    <n v="18"/>
    <n v="-13.23"/>
    <n v="39.215686274509807"/>
    <n v="39.215686274509807"/>
  </r>
  <r>
    <s v="440016407"/>
    <s v="4400"/>
    <x v="14"/>
    <x v="32"/>
    <s v="440016407"/>
    <x v="32"/>
    <x v="3"/>
    <s v="UF-Dry"/>
    <n v="138.51"/>
    <n v="27"/>
    <n v="0.19493177387914232"/>
    <n v="0"/>
    <m/>
    <n v="117"/>
    <n v="117"/>
    <n v="-5.4900000000000091"/>
    <n v="25.341130604288498"/>
    <n v="25.341130604288498"/>
  </r>
  <r>
    <s v="440000189"/>
    <s v="4400"/>
    <x v="14"/>
    <x v="1"/>
    <s v="440000189"/>
    <x v="1"/>
    <x v="1"/>
    <s v="T&amp;I Comm-UF"/>
    <n v="47499.96"/>
    <n v="23484"/>
    <n v="0.49440041633719273"/>
    <n v="13788"/>
    <d v="2026-05-19T00:00:00"/>
    <n v="25944"/>
    <n v="39732"/>
    <n v="-15716.04"/>
    <n v="25.093915868560732"/>
    <n v="16.385698009008852"/>
  </r>
  <r>
    <s v="440001167"/>
    <s v="4400"/>
    <x v="14"/>
    <x v="33"/>
    <s v="440001167"/>
    <x v="33"/>
    <x v="1"/>
    <s v="T&amp;I EX UF"/>
    <n v="9108.84"/>
    <n v="2748"/>
    <n v="0.3016849565916187"/>
    <n v="0"/>
    <m/>
    <n v="6420"/>
    <n v="6420"/>
    <n v="-59.159999999999854"/>
    <n v="21.144294992556681"/>
    <n v="21.144294992556681"/>
  </r>
  <r>
    <s v="440001296"/>
    <s v="4400"/>
    <x v="14"/>
    <x v="2"/>
    <s v="440001296"/>
    <x v="2"/>
    <x v="1"/>
    <s v="T&amp;I EX HP 2 KG"/>
    <n v="1107.48"/>
    <n v="696"/>
    <n v="0.62845378697583698"/>
    <n v="504"/>
    <d v="2026-05-22T00:00:00"/>
    <n v="612"/>
    <n v="1116"/>
    <n v="-704.52"/>
    <n v="30.230794235561813"/>
    <n v="16.578177484017768"/>
  </r>
  <r>
    <s v="440002122"/>
    <s v="4400"/>
    <x v="14"/>
    <x v="3"/>
    <s v="440002122"/>
    <x v="3"/>
    <x v="1"/>
    <s v="T&amp;I EX HP 2 KG"/>
    <n v="10531.2"/>
    <n v="4380"/>
    <n v="0.41590701914311756"/>
    <n v="2904"/>
    <d v="2026-05-22T00:00:00"/>
    <n v="8640"/>
    <n v="11544"/>
    <n v="-5392.7999999999993"/>
    <n v="32.885141294439379"/>
    <n v="24.61257976298997"/>
  </r>
  <r>
    <s v="440005159"/>
    <s v="4400"/>
    <x v="14"/>
    <x v="4"/>
    <s v="440005159"/>
    <x v="4"/>
    <x v="1"/>
    <s v="T&amp;I EX HP"/>
    <n v="258.24"/>
    <n v="72"/>
    <n v="0.27881040892193309"/>
    <n v="0"/>
    <m/>
    <n v="252"/>
    <n v="252"/>
    <n v="-65.759999999999991"/>
    <n v="29.275092936802974"/>
    <n v="29.275092936802974"/>
  </r>
  <r>
    <s v="440006982"/>
    <s v="4400"/>
    <x v="14"/>
    <x v="34"/>
    <s v="440006982"/>
    <x v="34"/>
    <x v="1"/>
    <s v="T&amp;I Comm-UF"/>
    <n v="4603.4399999999996"/>
    <n v="2076"/>
    <n v="0.45096710286220743"/>
    <n v="0"/>
    <m/>
    <n v="2580"/>
    <n v="2580"/>
    <n v="-52.5600000000004"/>
    <n v="16.813513372608313"/>
    <n v="16.813513372608313"/>
  </r>
  <r>
    <s v="440007310"/>
    <s v="4400"/>
    <x v="14"/>
    <x v="5"/>
    <s v="440007310"/>
    <x v="5"/>
    <x v="1"/>
    <s v="T&amp;I Comm -HP"/>
    <n v="20871.36"/>
    <n v="7608"/>
    <n v="0.36451865139597994"/>
    <n v="0"/>
    <m/>
    <n v="28296"/>
    <n v="28296"/>
    <n v="-15032.64"/>
    <n v="40.672002207810131"/>
    <n v="40.672002207810131"/>
  </r>
  <r>
    <s v="440008529"/>
    <s v="4400"/>
    <x v="14"/>
    <x v="6"/>
    <s v="440008529"/>
    <x v="6"/>
    <x v="1"/>
    <s v="T&amp;I EX HP 2 KG"/>
    <n v="13233.24"/>
    <n v="5304"/>
    <n v="0.4008088722036327"/>
    <n v="10992"/>
    <d v="2026-05-22T00:00:00"/>
    <n v="3960"/>
    <n v="14952"/>
    <n v="-7022.76"/>
    <n v="33.896460730705407"/>
    <n v="8.9773932914388315"/>
  </r>
  <r>
    <s v="440013179"/>
    <s v="4400"/>
    <x v="14"/>
    <x v="7"/>
    <s v="440013179"/>
    <x v="7"/>
    <x v="1"/>
    <s v="T&amp;I EX HP 2 KG"/>
    <n v="59037.120000000003"/>
    <n v="24876"/>
    <n v="0.42136201765939801"/>
    <n v="4104"/>
    <d v="2026-05-18T00:00:00"/>
    <n v="40740"/>
    <n v="44844"/>
    <n v="-10682.879999999997"/>
    <n v="22.787696960827358"/>
    <n v="20.702229377042784"/>
  </r>
  <r>
    <s v="440013678"/>
    <s v="4400"/>
    <x v="14"/>
    <x v="8"/>
    <s v="440013678"/>
    <x v="8"/>
    <x v="1"/>
    <s v="T&amp;I EX HP"/>
    <n v="271.08"/>
    <n v="276"/>
    <n v="1.0181496237273131"/>
    <n v="1392"/>
    <d v="2026-05-18T00:00:00"/>
    <n v="96"/>
    <n v="1488"/>
    <n v="-1492.92"/>
    <n v="164.6746347941567"/>
    <n v="10.624169986719789"/>
  </r>
  <r>
    <s v="440014654"/>
    <s v="4400"/>
    <x v="14"/>
    <x v="9"/>
    <s v="440014654"/>
    <x v="9"/>
    <x v="1"/>
    <s v="T&amp;I Comm-UF"/>
    <n v="1378.68"/>
    <n v="912"/>
    <n v="0.66150230655409514"/>
    <n v="0"/>
    <m/>
    <n v="348"/>
    <n v="348"/>
    <n v="118.68000000000006"/>
    <n v="7.5724606145008266"/>
    <n v="7.5724606145008266"/>
  </r>
  <r>
    <s v="440014788"/>
    <s v="4400"/>
    <x v="14"/>
    <x v="35"/>
    <s v="440014788"/>
    <x v="35"/>
    <x v="1"/>
    <s v="T&amp;I EX HP"/>
    <n v="12137.52"/>
    <n v="4080"/>
    <n v="0.33614774682142645"/>
    <n v="0"/>
    <m/>
    <n v="9468"/>
    <n v="9468"/>
    <n v="-1410.4799999999996"/>
    <n v="23.401815197832835"/>
    <n v="23.401815197832835"/>
  </r>
  <r>
    <s v="440015536"/>
    <s v="4400"/>
    <x v="14"/>
    <x v="36"/>
    <s v="440015536"/>
    <x v="36"/>
    <x v="5"/>
    <s v="Ganache- UF"/>
    <n v="8506.08"/>
    <n v="3840"/>
    <n v="0.45144179222391512"/>
    <n v="0"/>
    <m/>
    <n v="8628"/>
    <n v="8628"/>
    <n v="-3961.92"/>
    <n v="30.429998307093278"/>
    <n v="30.429998307093278"/>
  </r>
  <r>
    <s v="440015906"/>
    <s v="4400"/>
    <x v="14"/>
    <x v="11"/>
    <s v="440015906"/>
    <x v="11"/>
    <x v="1"/>
    <s v="T&amp;I EX HP"/>
    <n v="405.72"/>
    <n v="300"/>
    <n v="0.73942620526471459"/>
    <n v="408"/>
    <d v="2026-05-18T00:00:00"/>
    <n v="108"/>
    <n v="516"/>
    <n v="-410.28"/>
    <n v="38.154392191659269"/>
    <n v="7.9858030168589167"/>
  </r>
  <r>
    <s v="440016336"/>
    <s v="4400"/>
    <x v="14"/>
    <x v="12"/>
    <s v="440016336"/>
    <x v="12"/>
    <x v="1"/>
    <s v="T&amp;I Comm-UF"/>
    <n v="37882.68"/>
    <n v="15888"/>
    <n v="0.41940010580032883"/>
    <n v="0"/>
    <m/>
    <n v="27012"/>
    <n v="27012"/>
    <n v="-5017.32"/>
    <n v="21.391306000525834"/>
    <n v="21.391306000525834"/>
  </r>
  <r>
    <s v="440016984"/>
    <s v="4400"/>
    <x v="14"/>
    <x v="13"/>
    <s v="440016984"/>
    <x v="13"/>
    <x v="1"/>
    <s v="T&amp;I EX HP"/>
    <n v="1495.44"/>
    <n v="756"/>
    <n v="0.50553683196918631"/>
    <n v="0"/>
    <m/>
    <n v="1356"/>
    <n v="1356"/>
    <n v="-616.55999999999995"/>
    <n v="27.20269619643717"/>
    <n v="27.20269619643717"/>
  </r>
  <r>
    <s v="440016998"/>
    <s v="4400"/>
    <x v="14"/>
    <x v="37"/>
    <s v="440016998"/>
    <x v="37"/>
    <x v="1"/>
    <s v="T&amp;I EX UF"/>
    <n v="104.88"/>
    <n v="60"/>
    <n v="0.57208237986270027"/>
    <n v="0"/>
    <m/>
    <n v="48"/>
    <n v="48"/>
    <n v="-3.1200000000000045"/>
    <n v="13.729977116704806"/>
    <n v="13.729977116704806"/>
  </r>
  <r>
    <s v="440018098"/>
    <s v="4400"/>
    <x v="14"/>
    <x v="38"/>
    <s v="440018098"/>
    <x v="38"/>
    <x v="1"/>
    <s v="T&amp;I EX HP"/>
    <n v="0"/>
    <n v="0"/>
    <n v="0"/>
    <n v="0"/>
    <m/>
    <n v="120"/>
    <n v="120"/>
    <n v="-120"/>
    <n v="0"/>
    <n v="0"/>
  </r>
  <r>
    <s v="440020308"/>
    <s v="4400"/>
    <x v="14"/>
    <x v="14"/>
    <s v="440020308"/>
    <x v="14"/>
    <x v="1"/>
    <s v="T&amp;I EX HP 2 KG"/>
    <n v="10173.84"/>
    <n v="1272"/>
    <n v="0.12502653865207236"/>
    <n v="4992"/>
    <d v="2026-05-18T00:00:00"/>
    <n v="6840"/>
    <n v="11832"/>
    <n v="-2930.16"/>
    <n v="34.889481257814161"/>
    <n v="20.169375575004128"/>
  </r>
  <r>
    <s v="440020827"/>
    <s v="4400"/>
    <x v="14"/>
    <x v="39"/>
    <s v="440020827"/>
    <x v="39"/>
    <x v="5"/>
    <s v="Ganache- UF"/>
    <n v="1520.28"/>
    <n v="720"/>
    <n v="0.47359696897939851"/>
    <n v="0"/>
    <m/>
    <n v="1128"/>
    <n v="1128"/>
    <n v="-327.72"/>
    <n v="22.25905754203173"/>
    <n v="22.25905754203173"/>
  </r>
  <r>
    <s v="440021910"/>
    <s v="4400"/>
    <x v="14"/>
    <x v="15"/>
    <s v="440021910"/>
    <x v="15"/>
    <x v="1"/>
    <s v="T&amp;I EX HP 2 KG"/>
    <n v="92.04"/>
    <n v="180"/>
    <n v="1.9556714471968708"/>
    <n v="0"/>
    <m/>
    <n v="696"/>
    <n v="696"/>
    <n v="-783.96"/>
    <n v="226.85788787483702"/>
    <n v="226.85788787483702"/>
  </r>
  <r>
    <s v="440023081"/>
    <s v="4400"/>
    <x v="14"/>
    <x v="16"/>
    <s v="440023081"/>
    <x v="16"/>
    <x v="1"/>
    <s v="T&amp;I EX HP"/>
    <n v="215.76"/>
    <n v="84"/>
    <n v="0.38932146829810904"/>
    <n v="0"/>
    <m/>
    <n v="324"/>
    <n v="324"/>
    <n v="-192.24"/>
    <n v="45.050055617352619"/>
    <n v="45.050055617352619"/>
  </r>
  <r>
    <s v="440023401"/>
    <s v="4400"/>
    <x v="14"/>
    <x v="40"/>
    <s v="440023401"/>
    <x v="40"/>
    <x v="1"/>
    <s v="T&amp;I EX UF"/>
    <n v="5957.4"/>
    <n v="2328"/>
    <n v="0.39077449894249172"/>
    <n v="0"/>
    <m/>
    <n v="3648"/>
    <n v="3648"/>
    <n v="-18.600000000000364"/>
    <n v="18.370430053378993"/>
    <n v="18.370430053378993"/>
  </r>
  <r>
    <s v="440024768"/>
    <s v="4400"/>
    <x v="14"/>
    <x v="41"/>
    <s v="440024768"/>
    <x v="41"/>
    <x v="1"/>
    <s v="T&amp;I EX UF"/>
    <n v="3348.36"/>
    <n v="504"/>
    <n v="0.15052144930652617"/>
    <n v="0"/>
    <m/>
    <n v="3984"/>
    <n v="3984"/>
    <n v="-1139.6399999999999"/>
    <n v="35.695086549833348"/>
    <n v="35.695086549833348"/>
  </r>
  <r>
    <s v="440025570"/>
    <s v="4400"/>
    <x v="14"/>
    <x v="19"/>
    <s v="440025570"/>
    <x v="19"/>
    <x v="1"/>
    <s v="T&amp;I EX HP"/>
    <n v="2178.48"/>
    <n v="1296"/>
    <n v="0.59491021262531674"/>
    <n v="504"/>
    <d v="2026-05-18T00:00:00"/>
    <n v="1716"/>
    <n v="2220"/>
    <n v="-1337.52"/>
    <n v="30.571774815467666"/>
    <n v="23.631155668172305"/>
  </r>
  <r>
    <s v="440025598"/>
    <s v="4400"/>
    <x v="14"/>
    <x v="42"/>
    <s v="440025598"/>
    <x v="42"/>
    <x v="1"/>
    <s v="T&amp;I EX HP"/>
    <n v="1846.92"/>
    <n v="648"/>
    <n v="0.35085439542589825"/>
    <n v="0"/>
    <m/>
    <n v="480"/>
    <n v="480"/>
    <n v="718.92000000000007"/>
    <n v="7.7967643427977391"/>
    <n v="7.7967643427977391"/>
  </r>
  <r>
    <s v="440025616"/>
    <s v="4400"/>
    <x v="14"/>
    <x v="52"/>
    <s v="440025616"/>
    <x v="52"/>
    <x v="1"/>
    <s v="T&amp;I EX HP"/>
    <n v="35359.699999999997"/>
    <n v="4200"/>
    <n v="0.11877928828581691"/>
    <n v="15000"/>
    <d v="2026-05-22T00:00:00"/>
    <n v="19680"/>
    <n v="34680"/>
    <n v="-3520.3000000000029"/>
    <n v="29.423326555372363"/>
    <n v="16.696974239034834"/>
  </r>
  <r>
    <s v="440106151"/>
    <s v="4401"/>
    <x v="15"/>
    <x v="20"/>
    <s v="440106151"/>
    <x v="20"/>
    <x v="2"/>
    <s v="OS - Dry"/>
    <n v="49792.56"/>
    <n v="31656"/>
    <n v="0.63575763126057394"/>
    <n v="11076"/>
    <d v="2026-05-22T00:00:00"/>
    <n v="6360"/>
    <n v="17436"/>
    <n v="700.55999999999767"/>
    <n v="10.505183906993334"/>
    <n v="3.8318977774992891"/>
  </r>
  <r>
    <s v="440113490"/>
    <s v="4401"/>
    <x v="15"/>
    <x v="21"/>
    <s v="440113490"/>
    <x v="21"/>
    <x v="3"/>
    <s v="UF-Dry"/>
    <n v="8175.4"/>
    <n v="5990"/>
    <n v="0.7326858624654452"/>
    <n v="0"/>
    <m/>
    <n v="6980"/>
    <n v="6980"/>
    <n v="-4794.6000000000004"/>
    <n v="25.613425642782005"/>
    <n v="25.613425642782005"/>
  </r>
  <r>
    <s v="440115300"/>
    <s v="4401"/>
    <x v="15"/>
    <x v="22"/>
    <s v="440115300"/>
    <x v="22"/>
    <x v="3"/>
    <s v="UF-Dry"/>
    <n v="221.58"/>
    <n v="189"/>
    <n v="0.85296506904955316"/>
    <n v="0"/>
    <m/>
    <n v="270"/>
    <n v="270"/>
    <n v="-237.42"/>
    <n v="36.555645816409424"/>
    <n v="36.555645816409424"/>
  </r>
  <r>
    <s v="440119690"/>
    <s v="4401"/>
    <x v="15"/>
    <x v="0"/>
    <s v="440119690"/>
    <x v="0"/>
    <x v="0"/>
    <s v="OS - Dry"/>
    <n v="209.76"/>
    <n v="252"/>
    <n v="1.2013729977116705"/>
    <n v="0"/>
    <m/>
    <n v="816"/>
    <n v="816"/>
    <n v="-858.24"/>
    <n v="116.70480549199085"/>
    <n v="116.70480549199085"/>
  </r>
  <r>
    <s v="440120661"/>
    <s v="4401"/>
    <x v="15"/>
    <x v="23"/>
    <s v="440120661"/>
    <x v="23"/>
    <x v="4"/>
    <s v="OS-Chill"/>
    <n v="8843.4"/>
    <n v="5712"/>
    <n v="0.64590542099192616"/>
    <n v="0"/>
    <m/>
    <n v="5436"/>
    <n v="5436"/>
    <n v="-2304.6000000000004"/>
    <n v="18.440871158151843"/>
    <n v="18.440871158151843"/>
  </r>
  <r>
    <s v="440123638"/>
    <s v="4401"/>
    <x v="15"/>
    <x v="24"/>
    <s v="440123638"/>
    <x v="24"/>
    <x v="2"/>
    <s v="OS - Dry"/>
    <n v="7398.48"/>
    <n v="3864"/>
    <n v="0.52226943912803714"/>
    <n v="0"/>
    <m/>
    <n v="14508"/>
    <n v="14508"/>
    <n v="-10973.52"/>
    <n v="58.828299866999714"/>
    <n v="58.828299866999714"/>
  </r>
  <r>
    <s v="440125885"/>
    <s v="4401"/>
    <x v="15"/>
    <x v="25"/>
    <s v="440125885"/>
    <x v="25"/>
    <x v="1"/>
    <s v="T&amp;I EX UF"/>
    <n v="2799.96"/>
    <n v="2352"/>
    <n v="0.84001200017143096"/>
    <n v="0"/>
    <m/>
    <n v="480"/>
    <n v="480"/>
    <n v="-32.039999999999964"/>
    <n v="5.1429306132944754"/>
    <n v="5.1429306132944754"/>
  </r>
  <r>
    <s v="440126192"/>
    <s v="4401"/>
    <x v="15"/>
    <x v="26"/>
    <s v="440126192"/>
    <x v="26"/>
    <x v="2"/>
    <s v="OS - Dry"/>
    <n v="1979.52"/>
    <n v="0"/>
    <n v="0"/>
    <n v="0"/>
    <m/>
    <n v="0"/>
    <n v="0"/>
    <n v="1979.52"/>
    <n v="0"/>
    <n v="0"/>
  </r>
  <r>
    <s v="440126193"/>
    <s v="4401"/>
    <x v="15"/>
    <x v="44"/>
    <s v="440126193"/>
    <x v="44"/>
    <x v="2"/>
    <s v="OS - Dry"/>
    <n v="0"/>
    <n v="2292"/>
    <n v="0"/>
    <n v="0"/>
    <m/>
    <n v="0"/>
    <n v="0"/>
    <n v="-2292"/>
    <n v="0"/>
    <n v="0"/>
  </r>
  <r>
    <s v="440126234"/>
    <s v="4401"/>
    <x v="15"/>
    <x v="27"/>
    <s v="440126234"/>
    <x v="27"/>
    <x v="1"/>
    <s v="T&amp;I EX UF"/>
    <n v="0"/>
    <n v="0"/>
    <n v="0"/>
    <n v="0"/>
    <m/>
    <n v="924"/>
    <n v="924"/>
    <n v="-924"/>
    <n v="0"/>
    <n v="0"/>
  </r>
  <r>
    <s v="440126744"/>
    <s v="4401"/>
    <x v="15"/>
    <x v="28"/>
    <s v="440126744"/>
    <x v="28"/>
    <x v="0"/>
    <s v="PF MFG"/>
    <n v="0"/>
    <n v="0"/>
    <n v="0"/>
    <n v="0"/>
    <m/>
    <n v="96"/>
    <n v="96"/>
    <n v="-96"/>
    <n v="0"/>
    <n v="0"/>
  </r>
  <r>
    <s v="440126745"/>
    <s v="4401"/>
    <x v="15"/>
    <x v="45"/>
    <s v="440126745"/>
    <x v="45"/>
    <x v="0"/>
    <s v="PF MFG"/>
    <n v="0"/>
    <n v="0"/>
    <n v="0"/>
    <n v="0"/>
    <m/>
    <n v="492"/>
    <n v="492"/>
    <n v="-492"/>
    <n v="0"/>
    <n v="0"/>
  </r>
  <r>
    <s v="440127021"/>
    <s v="4401"/>
    <x v="15"/>
    <x v="46"/>
    <s v="440127021"/>
    <x v="46"/>
    <x v="6"/>
    <e v="#N/A"/>
    <n v="0"/>
    <n v="0"/>
    <n v="0"/>
    <n v="0"/>
    <m/>
    <n v="96"/>
    <n v="96"/>
    <n v="-96"/>
    <n v="0"/>
    <n v="0"/>
  </r>
  <r>
    <s v="440104145"/>
    <s v="4401"/>
    <x v="15"/>
    <x v="29"/>
    <s v="440104145"/>
    <x v="29"/>
    <x v="3"/>
    <s v="UF-Dry"/>
    <n v="299.79000000000002"/>
    <n v="297"/>
    <n v="0.99069348543980784"/>
    <n v="0"/>
    <m/>
    <n v="297"/>
    <n v="297"/>
    <n v="-294.20999999999998"/>
    <n v="29.720804563194235"/>
    <n v="29.720804563194235"/>
  </r>
  <r>
    <s v="440114248"/>
    <s v="4401"/>
    <x v="15"/>
    <x v="30"/>
    <s v="440114248"/>
    <x v="30"/>
    <x v="3"/>
    <s v="UF-Dry"/>
    <n v="1226.2"/>
    <n v="770"/>
    <n v="0.62795628771815359"/>
    <n v="1200"/>
    <d v="2026-05-23T00:00:00"/>
    <n v="510"/>
    <n v="1710"/>
    <n v="-1253.8"/>
    <n v="41.836568259663999"/>
    <n v="12.477572989724351"/>
  </r>
  <r>
    <s v="440115305"/>
    <s v="4401"/>
    <x v="15"/>
    <x v="31"/>
    <s v="440115305"/>
    <x v="31"/>
    <x v="3"/>
    <s v="UF-Dry"/>
    <n v="78.03"/>
    <n v="72"/>
    <n v="0.92272202998846597"/>
    <n v="0"/>
    <m/>
    <n v="108"/>
    <n v="108"/>
    <n v="-101.97"/>
    <n v="41.522491349480973"/>
    <n v="41.522491349480973"/>
  </r>
  <r>
    <s v="440115312"/>
    <s v="4401"/>
    <x v="15"/>
    <x v="47"/>
    <s v="440115312"/>
    <x v="47"/>
    <x v="3"/>
    <s v="UF-Dry"/>
    <n v="91.89"/>
    <n v="99"/>
    <n v="1.0773751224289911"/>
    <n v="0"/>
    <m/>
    <n v="72"/>
    <n v="72"/>
    <n v="-79.11"/>
    <n v="23.506366307541626"/>
    <n v="23.506366307541626"/>
  </r>
  <r>
    <s v="440116407"/>
    <s v="4401"/>
    <x v="15"/>
    <x v="32"/>
    <s v="440116407"/>
    <x v="32"/>
    <x v="3"/>
    <s v="UF-Dry"/>
    <n v="415.62"/>
    <n v="324"/>
    <n v="0.77955825032481596"/>
    <n v="405"/>
    <d v="2026-05-23T00:00:00"/>
    <n v="207"/>
    <n v="612"/>
    <n v="-520.38"/>
    <n v="44.174967518406234"/>
    <n v="14.941533131225638"/>
  </r>
  <r>
    <s v="440100189"/>
    <s v="4401"/>
    <x v="15"/>
    <x v="1"/>
    <s v="440100189"/>
    <x v="1"/>
    <x v="1"/>
    <s v="T&amp;I Comm-UF"/>
    <n v="146227.20000000001"/>
    <n v="82404"/>
    <n v="0.56353400735294112"/>
    <n v="34752"/>
    <d v="2026-05-23T00:00:00"/>
    <n v="15408"/>
    <n v="50160"/>
    <n v="13663.200000000012"/>
    <n v="10.290835084033612"/>
    <n v="3.1611081932773106"/>
  </r>
  <r>
    <s v="440101167"/>
    <s v="4401"/>
    <x v="15"/>
    <x v="33"/>
    <s v="440101167"/>
    <x v="33"/>
    <x v="1"/>
    <s v="T&amp;I EX UF"/>
    <n v="20976.84"/>
    <n v="11880"/>
    <n v="0.56633887658961024"/>
    <n v="0"/>
    <m/>
    <n v="12624"/>
    <n v="12624"/>
    <n v="-3527.16"/>
    <n v="18.054196914311213"/>
    <n v="18.054196914311213"/>
  </r>
  <r>
    <s v="440101296"/>
    <s v="4401"/>
    <x v="15"/>
    <x v="2"/>
    <s v="440101296"/>
    <x v="2"/>
    <x v="1"/>
    <s v="T&amp;I EX HP 2 KG"/>
    <n v="7576.68"/>
    <n v="2544"/>
    <n v="0.33576711699583456"/>
    <n v="1008"/>
    <d v="2026-05-19T00:00:00"/>
    <n v="5076"/>
    <n v="6084"/>
    <n v="-1051.3199999999997"/>
    <n v="24.089706837295491"/>
    <n v="20.098512805080851"/>
  </r>
  <r>
    <s v="440102122"/>
    <s v="4401"/>
    <x v="15"/>
    <x v="3"/>
    <s v="440102122"/>
    <x v="3"/>
    <x v="1"/>
    <s v="T&amp;I EX HP 2 KG"/>
    <n v="64853.04"/>
    <n v="40656"/>
    <n v="0.6268942828277595"/>
    <n v="32028"/>
    <d v="2026-05-23T00:00:00"/>
    <n v="24348"/>
    <n v="56376"/>
    <n v="-32178.959999999999"/>
    <n v="26.078654138649476"/>
    <n v="11.263003245491653"/>
  </r>
  <r>
    <s v="440105159"/>
    <s v="4401"/>
    <x v="15"/>
    <x v="4"/>
    <s v="440105159"/>
    <x v="4"/>
    <x v="1"/>
    <s v="T&amp;I EX HP"/>
    <n v="898.56"/>
    <n v="348"/>
    <n v="0.3872863247863248"/>
    <n v="72"/>
    <d v="2026-05-23T00:00:00"/>
    <n v="396"/>
    <n v="468"/>
    <n v="82.559999999999945"/>
    <n v="15.625000000000002"/>
    <n v="13.221153846153847"/>
  </r>
  <r>
    <s v="440106982"/>
    <s v="4401"/>
    <x v="15"/>
    <x v="34"/>
    <s v="440106982"/>
    <x v="34"/>
    <x v="1"/>
    <s v="T&amp;I Comm-UF"/>
    <n v="12305.4"/>
    <n v="7152"/>
    <n v="0.58120825003656928"/>
    <n v="0"/>
    <m/>
    <n v="6948"/>
    <n v="6948"/>
    <n v="-1794.6000000000004"/>
    <n v="16.938904871032229"/>
    <n v="16.938904871032229"/>
  </r>
  <r>
    <s v="440107310"/>
    <s v="4401"/>
    <x v="15"/>
    <x v="5"/>
    <s v="440107310"/>
    <x v="5"/>
    <x v="1"/>
    <s v="T&amp;I Comm -HP"/>
    <n v="85860"/>
    <n v="44916"/>
    <n v="0.52313067784765899"/>
    <n v="16668"/>
    <d v="2026-05-23T00:00:00"/>
    <n v="57228"/>
    <n v="73896"/>
    <n v="-32952"/>
    <n v="25.819706498951781"/>
    <n v="19.9958071278826"/>
  </r>
  <r>
    <s v="440108529"/>
    <s v="4401"/>
    <x v="15"/>
    <x v="6"/>
    <s v="440108529"/>
    <x v="6"/>
    <x v="1"/>
    <s v="T&amp;I EX HP 2 KG"/>
    <n v="20045.88"/>
    <n v="12768"/>
    <n v="0.63693886224999852"/>
    <n v="11004"/>
    <d v="2026-05-23T00:00:00"/>
    <n v="11616"/>
    <n v="22620"/>
    <n v="-15342.119999999999"/>
    <n v="33.852342725787047"/>
    <n v="17.384120826823267"/>
  </r>
  <r>
    <s v="440113179"/>
    <s v="4401"/>
    <x v="15"/>
    <x v="7"/>
    <s v="440113179"/>
    <x v="7"/>
    <x v="1"/>
    <s v="T&amp;I EX HP 2 KG"/>
    <n v="94490.64"/>
    <n v="59580"/>
    <n v="0.63053864382757907"/>
    <n v="31092"/>
    <d v="2026-05-23T00:00:00"/>
    <n v="43188"/>
    <n v="74280"/>
    <n v="-39369.360000000001"/>
    <n v="23.583288249502807"/>
    <n v="13.711834315017867"/>
  </r>
  <r>
    <s v="440113678"/>
    <s v="4401"/>
    <x v="15"/>
    <x v="8"/>
    <s v="440113678"/>
    <x v="8"/>
    <x v="1"/>
    <s v="T&amp;I EX HP"/>
    <n v="3686.76"/>
    <n v="1380"/>
    <n v="0.37431240438759233"/>
    <n v="1104"/>
    <d v="2026-05-23T00:00:00"/>
    <n v="2772"/>
    <n v="3876"/>
    <n v="-1569.2399999999998"/>
    <n v="31.539888682745822"/>
    <n v="22.556390977443606"/>
  </r>
  <r>
    <s v="440114654"/>
    <s v="4401"/>
    <x v="15"/>
    <x v="9"/>
    <s v="440114654"/>
    <x v="9"/>
    <x v="1"/>
    <s v="T&amp;I Comm-UF"/>
    <n v="7152.12"/>
    <n v="5112"/>
    <n v="0.71475310816932602"/>
    <n v="600"/>
    <d v="2026-05-23T00:00:00"/>
    <n v="2076"/>
    <n v="2676"/>
    <n v="-635.88000000000011"/>
    <n v="11.224643881814064"/>
    <n v="8.7079075854431967"/>
  </r>
  <r>
    <s v="440114788"/>
    <s v="4401"/>
    <x v="15"/>
    <x v="35"/>
    <s v="440114788"/>
    <x v="35"/>
    <x v="1"/>
    <s v="T&amp;I EX HP"/>
    <n v="14711.52"/>
    <n v="8436"/>
    <n v="0.57342817057652773"/>
    <n v="1200"/>
    <d v="2026-05-23T00:00:00"/>
    <n v="9228"/>
    <n v="10428"/>
    <n v="-4152.4799999999996"/>
    <n v="21.264967861920454"/>
    <n v="18.817905967568272"/>
  </r>
  <r>
    <s v="440115536"/>
    <s v="4401"/>
    <x v="15"/>
    <x v="36"/>
    <s v="440115536"/>
    <x v="36"/>
    <x v="5"/>
    <s v="Ganache- UF"/>
    <n v="31130.400000000001"/>
    <n v="18084"/>
    <n v="0.58091126358800393"/>
    <n v="0"/>
    <m/>
    <n v="24432"/>
    <n v="24432"/>
    <n v="-11385.599999999999"/>
    <n v="23.544830776347236"/>
    <n v="23.544830776347236"/>
  </r>
  <r>
    <s v="440115906"/>
    <s v="4401"/>
    <x v="15"/>
    <x v="11"/>
    <s v="440115906"/>
    <x v="11"/>
    <x v="1"/>
    <s v="T&amp;I EX HP"/>
    <n v="4264.8"/>
    <n v="6840"/>
    <n v="1.6038266741699492"/>
    <n v="0"/>
    <m/>
    <n v="12972"/>
    <n v="12972"/>
    <n v="-15547.2"/>
    <n v="91.24929656724818"/>
    <n v="91.24929656724818"/>
  </r>
  <r>
    <s v="440116336"/>
    <s v="4401"/>
    <x v="15"/>
    <x v="12"/>
    <s v="440116336"/>
    <x v="12"/>
    <x v="1"/>
    <s v="T&amp;I Comm-UF"/>
    <n v="80240.28"/>
    <n v="50940"/>
    <n v="0.63484324830371974"/>
    <n v="28800"/>
    <d v="2026-05-23T00:00:00"/>
    <n v="36708"/>
    <n v="65508"/>
    <n v="-36207.72"/>
    <n v="24.491938462826901"/>
    <n v="13.724279127640132"/>
  </r>
  <r>
    <s v="440116984"/>
    <s v="4401"/>
    <x v="15"/>
    <x v="13"/>
    <s v="440116984"/>
    <x v="13"/>
    <x v="1"/>
    <s v="T&amp;I EX HP"/>
    <n v="578.88"/>
    <n v="540"/>
    <n v="0.93283582089552242"/>
    <n v="0"/>
    <m/>
    <n v="600"/>
    <n v="600"/>
    <n v="-561.12"/>
    <n v="31.094527363184081"/>
    <n v="31.094527363184081"/>
  </r>
  <r>
    <s v="440116998"/>
    <s v="4401"/>
    <x v="15"/>
    <x v="37"/>
    <s v="440116998"/>
    <x v="37"/>
    <x v="1"/>
    <s v="T&amp;I EX UF"/>
    <n v="1200.48"/>
    <n v="744"/>
    <n v="0.6197520991603358"/>
    <n v="0"/>
    <m/>
    <n v="1668"/>
    <n v="1668"/>
    <n v="-1211.52"/>
    <n v="41.683326669332267"/>
    <n v="41.683326669332267"/>
  </r>
  <r>
    <s v="440118098"/>
    <s v="4401"/>
    <x v="15"/>
    <x v="38"/>
    <s v="440118098"/>
    <x v="38"/>
    <x v="1"/>
    <s v="T&amp;I EX HP"/>
    <n v="2922.6"/>
    <n v="2568"/>
    <n v="0.87866967768425375"/>
    <n v="3600"/>
    <d v="2026-05-22T00:00:00"/>
    <n v="0"/>
    <n v="3600"/>
    <n v="-3245.4"/>
    <n v="36.953397659618147"/>
    <n v="0"/>
  </r>
  <r>
    <s v="440120308"/>
    <s v="4401"/>
    <x v="15"/>
    <x v="14"/>
    <s v="440120308"/>
    <x v="14"/>
    <x v="1"/>
    <s v="T&amp;I EX HP 2 KG"/>
    <n v="9355.32"/>
    <n v="6636"/>
    <n v="0.70932902348610205"/>
    <n v="11556"/>
    <d v="2026-05-22T00:00:00"/>
    <n v="0"/>
    <n v="11556"/>
    <n v="-8836.68"/>
    <n v="37.056990033478279"/>
    <n v="0"/>
  </r>
  <r>
    <s v="440120827"/>
    <s v="4401"/>
    <x v="15"/>
    <x v="39"/>
    <s v="440120827"/>
    <x v="39"/>
    <x v="5"/>
    <s v="Ganache- UF"/>
    <n v="8601.1200000000008"/>
    <n v="6300"/>
    <n v="0.73246274903733466"/>
    <n v="2400"/>
    <d v="2026-05-23T00:00:00"/>
    <n v="768"/>
    <n v="3168"/>
    <n v="-866.8799999999992"/>
    <n v="11.049723756906078"/>
    <n v="2.6787209107651098"/>
  </r>
  <r>
    <s v="440121910"/>
    <s v="4401"/>
    <x v="15"/>
    <x v="15"/>
    <s v="440121910"/>
    <x v="15"/>
    <x v="1"/>
    <s v="T&amp;I EX HP 2 KG"/>
    <n v="104.76"/>
    <n v="0"/>
    <n v="0"/>
    <n v="0"/>
    <m/>
    <n v="108"/>
    <n v="108"/>
    <n v="-3.2399999999999949"/>
    <n v="30.927835051546392"/>
    <n v="30.927835051546392"/>
  </r>
  <r>
    <s v="440123081"/>
    <s v="4401"/>
    <x v="15"/>
    <x v="16"/>
    <s v="440123081"/>
    <x v="16"/>
    <x v="1"/>
    <s v="T&amp;I EX HP"/>
    <n v="3353.16"/>
    <n v="528"/>
    <n v="0.15746340765129013"/>
    <n v="204"/>
    <d v="2026-05-20T00:00:00"/>
    <n v="2640"/>
    <n v="2844"/>
    <n v="-18.840000000000146"/>
    <n v="25.444655190924383"/>
    <n v="23.619511147693522"/>
  </r>
  <r>
    <s v="440123401"/>
    <s v="4401"/>
    <x v="15"/>
    <x v="40"/>
    <s v="440123401"/>
    <x v="40"/>
    <x v="1"/>
    <s v="T&amp;I EX UF"/>
    <n v="16713.96"/>
    <n v="8316"/>
    <n v="0.49754815734870733"/>
    <n v="3600"/>
    <d v="2026-05-23T00:00:00"/>
    <n v="6168"/>
    <n v="9768"/>
    <n v="-1370.0400000000009"/>
    <n v="17.532649354192547"/>
    <n v="11.070984973040501"/>
  </r>
  <r>
    <s v="440123890"/>
    <s v="4401"/>
    <x v="15"/>
    <x v="48"/>
    <s v="440123890"/>
    <x v="48"/>
    <x v="1"/>
    <s v="T&amp;I EX HP"/>
    <n v="0"/>
    <n v="0"/>
    <n v="0"/>
    <n v="0"/>
    <m/>
    <n v="1020"/>
    <n v="1020"/>
    <n v="-1020"/>
    <n v="0"/>
    <n v="0"/>
  </r>
  <r>
    <s v="440124768"/>
    <s v="4401"/>
    <x v="15"/>
    <x v="41"/>
    <s v="440124768"/>
    <x v="41"/>
    <x v="1"/>
    <s v="T&amp;I EX UF"/>
    <n v="7213.32"/>
    <n v="9024"/>
    <n v="1.2510189482790173"/>
    <n v="0"/>
    <m/>
    <n v="23400"/>
    <n v="23400"/>
    <n v="-25210.68"/>
    <n v="97.319958077556521"/>
    <n v="97.319958077556521"/>
  </r>
  <r>
    <s v="440125570"/>
    <s v="4401"/>
    <x v="15"/>
    <x v="19"/>
    <s v="440125570"/>
    <x v="19"/>
    <x v="1"/>
    <s v="T&amp;I EX HP"/>
    <n v="5834.52"/>
    <n v="3972"/>
    <n v="0.68077579646654729"/>
    <n v="2604"/>
    <d v="2026-05-22T00:00:00"/>
    <n v="3828"/>
    <n v="6432"/>
    <n v="-4569.4799999999996"/>
    <n v="33.07212932683408"/>
    <n v="19.682853088171775"/>
  </r>
  <r>
    <s v="440125598"/>
    <s v="4401"/>
    <x v="15"/>
    <x v="42"/>
    <s v="440125598"/>
    <x v="42"/>
    <x v="1"/>
    <s v="T&amp;I EX HP"/>
    <n v="5959.92"/>
    <n v="2280"/>
    <n v="0.38255547054322875"/>
    <n v="0"/>
    <m/>
    <n v="0"/>
    <n v="0"/>
    <n v="3679.92"/>
    <n v="0"/>
    <n v="0"/>
  </r>
  <r>
    <s v="440306151"/>
    <s v="4403"/>
    <x v="16"/>
    <x v="20"/>
    <s v="440306151"/>
    <x v="20"/>
    <x v="2"/>
    <s v="OS - Dry"/>
    <n v="43755"/>
    <n v="19776"/>
    <n v="0.45197120329105245"/>
    <n v="0"/>
    <m/>
    <n v="17760"/>
    <n v="17760"/>
    <n v="6219"/>
    <n v="12.176894069249229"/>
    <n v="12.176894069249229"/>
  </r>
  <r>
    <s v="440313490"/>
    <s v="4403"/>
    <x v="16"/>
    <x v="21"/>
    <s v="440313490"/>
    <x v="21"/>
    <x v="3"/>
    <s v="UF-Dry"/>
    <n v="8406"/>
    <n v="6110"/>
    <n v="0.72686176540566261"/>
    <n v="1200"/>
    <d v="2026-05-22T00:00:00"/>
    <n v="7190"/>
    <n v="8390"/>
    <n v="-6094"/>
    <n v="29.942897930049966"/>
    <n v="25.660242683797289"/>
  </r>
  <r>
    <s v="440315300"/>
    <s v="4403"/>
    <x v="16"/>
    <x v="22"/>
    <s v="440315300"/>
    <x v="22"/>
    <x v="3"/>
    <s v="UF-Dry"/>
    <n v="36.450000000000003"/>
    <n v="18"/>
    <n v="0.49382716049382713"/>
    <n v="0"/>
    <m/>
    <n v="72"/>
    <n v="72"/>
    <n v="-53.55"/>
    <n v="59.259259259259252"/>
    <n v="59.259259259259252"/>
  </r>
  <r>
    <s v="440319690"/>
    <s v="4403"/>
    <x v="16"/>
    <x v="0"/>
    <s v="440319690"/>
    <x v="0"/>
    <x v="0"/>
    <s v="OS - Dry"/>
    <n v="166.2"/>
    <n v="12"/>
    <n v="7.2202166064981949E-2"/>
    <n v="0"/>
    <m/>
    <n v="84"/>
    <n v="84"/>
    <n v="70.199999999999989"/>
    <n v="15.16245487364621"/>
    <n v="15.16245487364621"/>
  </r>
  <r>
    <s v="440320661"/>
    <s v="4403"/>
    <x v="16"/>
    <x v="23"/>
    <s v="440320661"/>
    <x v="23"/>
    <x v="4"/>
    <s v="OS-Chill"/>
    <n v="5362.56"/>
    <n v="2532"/>
    <n v="0.47216254923021839"/>
    <n v="0"/>
    <m/>
    <n v="5460"/>
    <n v="5460"/>
    <n v="-2629.4399999999996"/>
    <n v="30.545112781954884"/>
    <n v="30.545112781954884"/>
  </r>
  <r>
    <s v="440323638"/>
    <s v="4403"/>
    <x v="16"/>
    <x v="24"/>
    <s v="440323638"/>
    <x v="24"/>
    <x v="2"/>
    <s v="OS - Dry"/>
    <n v="8247.7199999999993"/>
    <n v="4020"/>
    <n v="0.48740742896218597"/>
    <n v="0"/>
    <m/>
    <n v="12408"/>
    <n v="12408"/>
    <n v="-8180.2800000000007"/>
    <n v="45.132472974349277"/>
    <n v="45.132472974349277"/>
  </r>
  <r>
    <s v="440325885"/>
    <s v="4403"/>
    <x v="16"/>
    <x v="25"/>
    <s v="440325885"/>
    <x v="25"/>
    <x v="1"/>
    <s v="T&amp;I EX UF"/>
    <n v="1600.32"/>
    <n v="1080"/>
    <n v="0.67486502699460116"/>
    <n v="0"/>
    <m/>
    <n v="528"/>
    <n v="528"/>
    <n v="-7.6800000000000637"/>
    <n v="9.8980203959208151"/>
    <n v="9.8980203959208151"/>
  </r>
  <r>
    <s v="440326234"/>
    <s v="4403"/>
    <x v="16"/>
    <x v="27"/>
    <s v="440326234"/>
    <x v="27"/>
    <x v="1"/>
    <s v="T&amp;I EX UF"/>
    <n v="0"/>
    <n v="0"/>
    <n v="0"/>
    <n v="0"/>
    <m/>
    <n v="876"/>
    <n v="876"/>
    <n v="-876"/>
    <n v="0"/>
    <n v="0"/>
  </r>
  <r>
    <s v="440327021"/>
    <s v="4403"/>
    <x v="16"/>
    <x v="46"/>
    <s v="440327021"/>
    <x v="46"/>
    <x v="6"/>
    <e v="#N/A"/>
    <n v="0"/>
    <n v="0"/>
    <n v="0"/>
    <n v="0"/>
    <m/>
    <n v="96"/>
    <n v="96"/>
    <n v="-96"/>
    <n v="0"/>
    <n v="0"/>
  </r>
  <r>
    <s v="440304145"/>
    <s v="4403"/>
    <x v="16"/>
    <x v="29"/>
    <s v="440304145"/>
    <x v="29"/>
    <x v="3"/>
    <s v="UF-Dry"/>
    <n v="96.93"/>
    <n v="27"/>
    <n v="0.27855153203342614"/>
    <n v="117"/>
    <d v="2026-05-22T00:00:00"/>
    <n v="54"/>
    <n v="171"/>
    <n v="-101.07"/>
    <n v="52.924791086350972"/>
    <n v="16.713091922005571"/>
  </r>
  <r>
    <s v="440314248"/>
    <s v="4403"/>
    <x v="16"/>
    <x v="30"/>
    <s v="440314248"/>
    <x v="30"/>
    <x v="3"/>
    <s v="UF-Dry"/>
    <n v="968.9"/>
    <n v="660"/>
    <n v="0.68118484879760555"/>
    <n v="1200"/>
    <d v="2026-05-22T00:00:00"/>
    <n v="0"/>
    <n v="1200"/>
    <n v="-891.1"/>
    <n v="37.155537207142117"/>
    <n v="0"/>
  </r>
  <r>
    <s v="440316407"/>
    <s v="4403"/>
    <x v="16"/>
    <x v="32"/>
    <s v="440316407"/>
    <x v="32"/>
    <x v="3"/>
    <s v="UF-Dry"/>
    <n v="239.4"/>
    <n v="162"/>
    <n v="0.67669172932330823"/>
    <n v="0"/>
    <m/>
    <n v="288"/>
    <n v="288"/>
    <n v="-210.6"/>
    <n v="36.090225563909776"/>
    <n v="36.090225563909776"/>
  </r>
  <r>
    <s v="440300189"/>
    <s v="4403"/>
    <x v="16"/>
    <x v="1"/>
    <s v="440300189"/>
    <x v="1"/>
    <x v="1"/>
    <s v="T&amp;I Comm-UF"/>
    <n v="146828.04"/>
    <n v="93072"/>
    <n v="0.63388437249451801"/>
    <n v="30396"/>
    <d v="2026-05-22T00:00:00"/>
    <n v="11904"/>
    <n v="42300"/>
    <n v="11456.040000000008"/>
    <n v="8.6427633304919134"/>
    <n v="2.4322329713043911"/>
  </r>
  <r>
    <s v="440301167"/>
    <s v="4403"/>
    <x v="16"/>
    <x v="33"/>
    <s v="440301167"/>
    <x v="33"/>
    <x v="1"/>
    <s v="T&amp;I EX UF"/>
    <n v="29326.44"/>
    <n v="20808"/>
    <n v="0.70953037600199687"/>
    <n v="0"/>
    <m/>
    <n v="15432"/>
    <n v="15432"/>
    <n v="-6913.5600000000013"/>
    <n v="15.786437085442351"/>
    <n v="15.786437085442351"/>
  </r>
  <r>
    <s v="440301296"/>
    <s v="4403"/>
    <x v="16"/>
    <x v="2"/>
    <s v="440301296"/>
    <x v="2"/>
    <x v="1"/>
    <s v="T&amp;I EX HP 2 KG"/>
    <n v="1649.88"/>
    <n v="1236"/>
    <n v="0.74914539239217393"/>
    <n v="0"/>
    <m/>
    <n v="1332"/>
    <n v="1332"/>
    <n v="-918.11999999999989"/>
    <n v="24.219943268601352"/>
    <n v="24.219943268601352"/>
  </r>
  <r>
    <s v="440302122"/>
    <s v="4403"/>
    <x v="16"/>
    <x v="3"/>
    <s v="440302122"/>
    <x v="3"/>
    <x v="1"/>
    <s v="T&amp;I EX HP 2 KG"/>
    <n v="20126.04"/>
    <n v="8124"/>
    <n v="0.40365615888669604"/>
    <n v="0"/>
    <m/>
    <n v="14412"/>
    <n v="14412"/>
    <n v="-2409.9599999999991"/>
    <n v="21.482616550498754"/>
    <n v="21.482616550498754"/>
  </r>
  <r>
    <s v="440305159"/>
    <s v="4403"/>
    <x v="16"/>
    <x v="4"/>
    <s v="440305159"/>
    <x v="4"/>
    <x v="1"/>
    <s v="T&amp;I EX HP"/>
    <n v="43.44"/>
    <n v="0"/>
    <n v="0"/>
    <n v="0"/>
    <m/>
    <n v="72"/>
    <n v="72"/>
    <n v="-28.560000000000002"/>
    <n v="49.723756906077348"/>
    <n v="49.723756906077348"/>
  </r>
  <r>
    <s v="440306982"/>
    <s v="4403"/>
    <x v="16"/>
    <x v="34"/>
    <s v="440306982"/>
    <x v="34"/>
    <x v="1"/>
    <s v="T&amp;I Comm-UF"/>
    <n v="3396.72"/>
    <n v="2484"/>
    <n v="0.7312937186462235"/>
    <n v="0"/>
    <m/>
    <n v="4596"/>
    <n v="4596"/>
    <n v="-3683.28"/>
    <n v="40.592100614710667"/>
    <n v="40.592100614710667"/>
  </r>
  <r>
    <s v="440307310"/>
    <s v="4403"/>
    <x v="16"/>
    <x v="5"/>
    <s v="440307310"/>
    <x v="5"/>
    <x v="1"/>
    <s v="T&amp;I Comm -HP"/>
    <n v="31845"/>
    <n v="13716"/>
    <n v="0.43071125765426282"/>
    <n v="6768"/>
    <d v="2026-05-22T00:00:00"/>
    <n v="33156"/>
    <n v="39924"/>
    <n v="-21795"/>
    <n v="37.610927932171457"/>
    <n v="31.235044747998117"/>
  </r>
  <r>
    <s v="440308529"/>
    <s v="4403"/>
    <x v="16"/>
    <x v="6"/>
    <s v="440308529"/>
    <x v="6"/>
    <x v="1"/>
    <s v="T&amp;I EX HP 2 KG"/>
    <n v="15171.24"/>
    <n v="8940"/>
    <n v="0.58927286101861154"/>
    <n v="3996"/>
    <d v="2026-05-20T00:00:00"/>
    <n v="7608"/>
    <n v="11604"/>
    <n v="-5372.76"/>
    <n v="22.946047916979762"/>
    <n v="15.04425478734764"/>
  </r>
  <r>
    <s v="440313179"/>
    <s v="4403"/>
    <x v="16"/>
    <x v="7"/>
    <s v="440313179"/>
    <x v="7"/>
    <x v="1"/>
    <s v="T&amp;I EX HP 2 KG"/>
    <n v="75153.36"/>
    <n v="51984"/>
    <n v="0.69170560038832596"/>
    <n v="9516"/>
    <d v="2026-05-22T00:00:00"/>
    <n v="16080"/>
    <n v="25596"/>
    <n v="-2426.6399999999994"/>
    <n v="10.217507241193207"/>
    <n v="6.4188746850440221"/>
  </r>
  <r>
    <s v="440313678"/>
    <s v="4403"/>
    <x v="16"/>
    <x v="8"/>
    <s v="440313678"/>
    <x v="8"/>
    <x v="1"/>
    <s v="T&amp;I EX HP"/>
    <n v="9404.76"/>
    <n v="6924"/>
    <n v="0.73622293391856886"/>
    <n v="1008"/>
    <d v="2026-05-20T00:00:00"/>
    <n v="5868"/>
    <n v="6876"/>
    <n v="-4395.24"/>
    <n v="21.93357406249601"/>
    <n v="18.718181006213875"/>
  </r>
  <r>
    <s v="440314654"/>
    <s v="4403"/>
    <x v="16"/>
    <x v="9"/>
    <s v="440314654"/>
    <x v="9"/>
    <x v="1"/>
    <s v="T&amp;I Comm-UF"/>
    <n v="6505.68"/>
    <n v="3996"/>
    <n v="0.61423248607370784"/>
    <n v="0"/>
    <m/>
    <n v="2568"/>
    <n v="2568"/>
    <n v="-58.319999999999709"/>
    <n v="11.841959641421035"/>
    <n v="11.841959641421035"/>
  </r>
  <r>
    <s v="440314788"/>
    <s v="4403"/>
    <x v="16"/>
    <x v="35"/>
    <s v="440314788"/>
    <x v="35"/>
    <x v="1"/>
    <s v="T&amp;I EX HP"/>
    <n v="720.48"/>
    <n v="84"/>
    <n v="0.11658894070619587"/>
    <n v="0"/>
    <m/>
    <n v="1356"/>
    <n v="1356"/>
    <n v="-719.52"/>
    <n v="56.462358427714854"/>
    <n v="56.462358427714854"/>
  </r>
  <r>
    <s v="440315536"/>
    <s v="4403"/>
    <x v="16"/>
    <x v="36"/>
    <s v="440315536"/>
    <x v="36"/>
    <x v="5"/>
    <s v="Ganache- UF"/>
    <n v="13850.28"/>
    <n v="8532"/>
    <n v="0.61601642710472271"/>
    <n v="2400"/>
    <d v="2026-05-22T00:00:00"/>
    <n v="7560"/>
    <n v="9960"/>
    <n v="-4641.7199999999993"/>
    <n v="21.573571075819405"/>
    <n v="16.375120214176174"/>
  </r>
  <r>
    <s v="440315906"/>
    <s v="4403"/>
    <x v="16"/>
    <x v="11"/>
    <s v="440315906"/>
    <x v="11"/>
    <x v="1"/>
    <s v="T&amp;I EX HP"/>
    <n v="245.28"/>
    <n v="0"/>
    <n v="0"/>
    <n v="0"/>
    <m/>
    <n v="360"/>
    <n v="360"/>
    <n v="-114.72"/>
    <n v="44.031311154598825"/>
    <n v="44.031311154598825"/>
  </r>
  <r>
    <s v="440316336"/>
    <s v="4403"/>
    <x v="16"/>
    <x v="12"/>
    <s v="440316336"/>
    <x v="12"/>
    <x v="1"/>
    <s v="T&amp;I Comm-UF"/>
    <n v="18945.240000000002"/>
    <n v="13896"/>
    <n v="0.73348239452231789"/>
    <n v="19200"/>
    <d v="2026-05-21T00:00:00"/>
    <n v="19392"/>
    <n v="38592"/>
    <n v="-33542.759999999995"/>
    <n v="61.110864787144422"/>
    <n v="30.707449470157147"/>
  </r>
  <r>
    <s v="440316984"/>
    <s v="4403"/>
    <x v="16"/>
    <x v="13"/>
    <s v="440316984"/>
    <x v="13"/>
    <x v="1"/>
    <s v="T&amp;I EX HP"/>
    <n v="135.47999999999999"/>
    <n v="84"/>
    <n v="0.62001771479185119"/>
    <n v="0"/>
    <m/>
    <n v="432"/>
    <n v="432"/>
    <n v="-380.52"/>
    <n v="95.659875996457046"/>
    <n v="95.659875996457046"/>
  </r>
  <r>
    <s v="440316998"/>
    <s v="4403"/>
    <x v="16"/>
    <x v="37"/>
    <s v="440316998"/>
    <x v="37"/>
    <x v="1"/>
    <s v="T&amp;I EX UF"/>
    <n v="24.72"/>
    <n v="0"/>
    <n v="0"/>
    <n v="0"/>
    <m/>
    <n v="108"/>
    <n v="108"/>
    <n v="-83.28"/>
    <n v="131.06796116504856"/>
    <n v="131.06796116504856"/>
  </r>
  <r>
    <s v="440318098"/>
    <s v="4403"/>
    <x v="16"/>
    <x v="38"/>
    <s v="440318098"/>
    <x v="38"/>
    <x v="1"/>
    <s v="T&amp;I EX HP"/>
    <n v="49.44"/>
    <n v="0"/>
    <n v="0"/>
    <n v="0"/>
    <m/>
    <n v="48"/>
    <n v="48"/>
    <n v="1.4399999999999977"/>
    <n v="29.126213592233011"/>
    <n v="29.126213592233011"/>
  </r>
  <r>
    <s v="440320308"/>
    <s v="4403"/>
    <x v="16"/>
    <x v="14"/>
    <s v="440320308"/>
    <x v="14"/>
    <x v="1"/>
    <s v="T&amp;I EX HP 2 KG"/>
    <n v="15178.2"/>
    <n v="7812"/>
    <n v="0.51468553583428867"/>
    <n v="2400"/>
    <d v="2026-05-20T00:00:00"/>
    <n v="10632"/>
    <n v="13032"/>
    <n v="-5665.7999999999993"/>
    <n v="25.757995019172235"/>
    <n v="21.014349527611969"/>
  </r>
  <r>
    <s v="440320827"/>
    <s v="4403"/>
    <x v="16"/>
    <x v="39"/>
    <s v="440320827"/>
    <x v="39"/>
    <x v="5"/>
    <s v="Ganache- UF"/>
    <n v="2199.96"/>
    <n v="2160"/>
    <n v="0.98183603338242509"/>
    <n v="0"/>
    <m/>
    <n v="1188"/>
    <n v="1188"/>
    <n v="-1148.04"/>
    <n v="16.200294550810014"/>
    <n v="16.200294550810014"/>
  </r>
  <r>
    <s v="440321910"/>
    <s v="4403"/>
    <x v="16"/>
    <x v="15"/>
    <s v="440321910"/>
    <x v="15"/>
    <x v="1"/>
    <s v="T&amp;I EX HP 2 KG"/>
    <n v="36.6"/>
    <n v="0"/>
    <n v="0"/>
    <n v="0"/>
    <m/>
    <n v="96"/>
    <n v="96"/>
    <n v="-59.4"/>
    <n v="78.688524590163937"/>
    <n v="78.688524590163937"/>
  </r>
  <r>
    <s v="440323081"/>
    <s v="4403"/>
    <x v="16"/>
    <x v="16"/>
    <s v="440323081"/>
    <x v="16"/>
    <x v="1"/>
    <s v="T&amp;I EX HP"/>
    <n v="744.24"/>
    <n v="528"/>
    <n v="0.70944856497903896"/>
    <n v="240"/>
    <d v="2026-05-20T00:00:00"/>
    <n v="276"/>
    <n v="516"/>
    <n v="-299.76"/>
    <n v="20.799742018703643"/>
    <n v="11.125443405353112"/>
  </r>
  <r>
    <s v="440323401"/>
    <s v="4403"/>
    <x v="16"/>
    <x v="40"/>
    <s v="440323401"/>
    <x v="40"/>
    <x v="1"/>
    <s v="T&amp;I EX UF"/>
    <n v="13826.52"/>
    <n v="6252"/>
    <n v="0.45217451679815313"/>
    <n v="0"/>
    <m/>
    <n v="4500"/>
    <n v="4500"/>
    <n v="3074.5200000000004"/>
    <n v="9.7638451323977389"/>
    <n v="9.7638451323977389"/>
  </r>
  <r>
    <s v="440323890"/>
    <s v="4403"/>
    <x v="16"/>
    <x v="48"/>
    <s v="440323890"/>
    <x v="48"/>
    <x v="1"/>
    <s v="T&amp;I EX HP"/>
    <n v="0"/>
    <n v="1128"/>
    <n v="0"/>
    <n v="0"/>
    <m/>
    <n v="0"/>
    <n v="0"/>
    <n v="-1128"/>
    <n v="0"/>
    <n v="0"/>
  </r>
  <r>
    <s v="440324768"/>
    <s v="4403"/>
    <x v="16"/>
    <x v="41"/>
    <s v="440324768"/>
    <x v="41"/>
    <x v="1"/>
    <s v="T&amp;I EX UF"/>
    <n v="1926"/>
    <n v="2472"/>
    <n v="1.2834890965732086"/>
    <n v="600"/>
    <d v="2026-05-22T00:00:00"/>
    <n v="1884"/>
    <n v="2484"/>
    <n v="-3030"/>
    <n v="38.691588785046726"/>
    <n v="29.345794392523363"/>
  </r>
  <r>
    <s v="440325570"/>
    <s v="4403"/>
    <x v="16"/>
    <x v="19"/>
    <s v="440325570"/>
    <x v="19"/>
    <x v="1"/>
    <s v="T&amp;I EX HP"/>
    <n v="3625.44"/>
    <n v="2712"/>
    <n v="0.7480471335893023"/>
    <n v="0"/>
    <m/>
    <n v="3288"/>
    <n v="3288"/>
    <n v="-2374.56"/>
    <n v="27.207732027009136"/>
    <n v="27.207732027009136"/>
  </r>
  <r>
    <s v="440325598"/>
    <s v="4403"/>
    <x v="16"/>
    <x v="42"/>
    <s v="440325598"/>
    <x v="42"/>
    <x v="1"/>
    <s v="T&amp;I EX HP"/>
    <n v="924.72"/>
    <n v="408"/>
    <n v="0.44121463794445887"/>
    <n v="0"/>
    <m/>
    <n v="84"/>
    <n v="84"/>
    <n v="432.72"/>
    <n v="2.7251492343628341"/>
    <n v="2.7251492343628341"/>
  </r>
  <r>
    <s v="440406151"/>
    <s v="4404"/>
    <x v="17"/>
    <x v="20"/>
    <s v="440406151"/>
    <x v="20"/>
    <x v="2"/>
    <s v="OS - Dry"/>
    <n v="7999.92"/>
    <n v="4404"/>
    <n v="0.55050550505505058"/>
    <n v="300"/>
    <d v="2026-05-23T00:00:00"/>
    <n v="3300"/>
    <n v="3600"/>
    <n v="-4.0799999999999272"/>
    <n v="13.500135001350014"/>
    <n v="12.375123751237513"/>
  </r>
  <r>
    <s v="440413490"/>
    <s v="4404"/>
    <x v="17"/>
    <x v="21"/>
    <s v="440413490"/>
    <x v="21"/>
    <x v="3"/>
    <s v="UF-Dry"/>
    <n v="4108.5"/>
    <n v="2770"/>
    <n v="0.67421199951320432"/>
    <n v="0"/>
    <m/>
    <n v="3230"/>
    <n v="3230"/>
    <n v="-1891.5"/>
    <n v="23.58525009127419"/>
    <n v="23.58525009127419"/>
  </r>
  <r>
    <s v="440415300"/>
    <s v="4404"/>
    <x v="17"/>
    <x v="22"/>
    <s v="440415300"/>
    <x v="22"/>
    <x v="3"/>
    <s v="UF-Dry"/>
    <n v="4.8600000000000003"/>
    <n v="0"/>
    <n v="0"/>
    <n v="18"/>
    <d v="2026-05-23T00:00:00"/>
    <n v="0"/>
    <n v="18"/>
    <n v="-13.14"/>
    <n v="111.11111111111111"/>
    <n v="0"/>
  </r>
  <r>
    <s v="440419690"/>
    <s v="4404"/>
    <x v="17"/>
    <x v="0"/>
    <s v="440419690"/>
    <x v="0"/>
    <x v="0"/>
    <s v="OS - Dry"/>
    <n v="321.60000000000002"/>
    <n v="72"/>
    <n v="0.22388059701492535"/>
    <n v="0"/>
    <m/>
    <n v="36"/>
    <n v="36"/>
    <n v="213.60000000000002"/>
    <n v="3.3582089552238803"/>
    <n v="3.3582089552238803"/>
  </r>
  <r>
    <s v="440420661"/>
    <s v="4404"/>
    <x v="17"/>
    <x v="23"/>
    <s v="440420661"/>
    <x v="23"/>
    <x v="4"/>
    <s v="OS-Chill"/>
    <n v="8199.9599999999991"/>
    <n v="2916"/>
    <n v="0.35561149078776"/>
    <n v="384"/>
    <m/>
    <n v="600"/>
    <n v="984"/>
    <n v="4299.9599999999991"/>
    <n v="3.6000175610612737"/>
    <n v="2.1951326591837033"/>
  </r>
  <r>
    <s v="440423638"/>
    <s v="4404"/>
    <x v="17"/>
    <x v="24"/>
    <s v="440423638"/>
    <x v="24"/>
    <x v="2"/>
    <s v="OS - Dry"/>
    <n v="4480.68"/>
    <n v="768"/>
    <n v="0.17140255496933501"/>
    <n v="0"/>
    <m/>
    <n v="0"/>
    <n v="0"/>
    <n v="3712.6800000000003"/>
    <n v="0"/>
    <n v="0"/>
  </r>
  <r>
    <s v="440425885"/>
    <s v="4404"/>
    <x v="17"/>
    <x v="25"/>
    <s v="440425885"/>
    <x v="25"/>
    <x v="1"/>
    <s v="T&amp;I EX UF"/>
    <n v="2153.64"/>
    <n v="1572"/>
    <n v="0.72992700729927007"/>
    <n v="0"/>
    <m/>
    <n v="1248"/>
    <n v="1248"/>
    <n v="-666.36000000000013"/>
    <n v="17.384521089875747"/>
    <n v="17.384521089875747"/>
  </r>
  <r>
    <s v="440426193"/>
    <s v="4404"/>
    <x v="17"/>
    <x v="44"/>
    <s v="440426193"/>
    <x v="44"/>
    <x v="2"/>
    <s v="OS - Dry"/>
    <n v="0"/>
    <n v="180"/>
    <n v="0"/>
    <n v="0"/>
    <m/>
    <n v="0"/>
    <n v="0"/>
    <n v="-180"/>
    <n v="0"/>
    <n v="0"/>
  </r>
  <r>
    <s v="440426234"/>
    <s v="4404"/>
    <x v="17"/>
    <x v="27"/>
    <s v="440426234"/>
    <x v="27"/>
    <x v="1"/>
    <s v="T&amp;I EX UF"/>
    <n v="0"/>
    <n v="0"/>
    <n v="0"/>
    <n v="0"/>
    <m/>
    <n v="828"/>
    <n v="828"/>
    <n v="-828"/>
    <n v="0"/>
    <n v="0"/>
  </r>
  <r>
    <s v="440426744"/>
    <s v="4404"/>
    <x v="17"/>
    <x v="28"/>
    <s v="440426744"/>
    <x v="28"/>
    <x v="0"/>
    <s v="PF MFG"/>
    <n v="0"/>
    <n v="0"/>
    <n v="0"/>
    <n v="0"/>
    <m/>
    <n v="48"/>
    <n v="48"/>
    <n v="-48"/>
    <n v="0"/>
    <n v="0"/>
  </r>
  <r>
    <s v="440426745"/>
    <s v="4404"/>
    <x v="17"/>
    <x v="45"/>
    <s v="440426745"/>
    <x v="45"/>
    <x v="0"/>
    <s v="PF MFG"/>
    <n v="0"/>
    <n v="0"/>
    <n v="0"/>
    <n v="0"/>
    <m/>
    <n v="192"/>
    <n v="192"/>
    <n v="-192"/>
    <n v="0"/>
    <n v="0"/>
  </r>
  <r>
    <s v="440427021"/>
    <s v="4404"/>
    <x v="17"/>
    <x v="46"/>
    <s v="440427021"/>
    <x v="46"/>
    <x v="6"/>
    <e v="#N/A"/>
    <n v="0"/>
    <n v="0"/>
    <n v="0"/>
    <n v="0"/>
    <m/>
    <n v="96"/>
    <n v="96"/>
    <n v="-96"/>
    <n v="0"/>
    <n v="0"/>
  </r>
  <r>
    <s v="440404145"/>
    <s v="4404"/>
    <x v="17"/>
    <x v="29"/>
    <s v="440404145"/>
    <x v="29"/>
    <x v="3"/>
    <s v="UF-Dry"/>
    <n v="152.37"/>
    <n v="72"/>
    <n v="0.47253396337861781"/>
    <n v="243"/>
    <d v="2026-05-23T00:00:00"/>
    <n v="0"/>
    <n v="243"/>
    <n v="-162.63"/>
    <n v="47.844063792085059"/>
    <n v="0"/>
  </r>
  <r>
    <s v="440414248"/>
    <s v="4404"/>
    <x v="17"/>
    <x v="30"/>
    <s v="440414248"/>
    <x v="30"/>
    <x v="3"/>
    <s v="UF-Dry"/>
    <n v="92"/>
    <n v="0"/>
    <n v="0"/>
    <n v="180"/>
    <d v="2026-05-23T00:00:00"/>
    <n v="0"/>
    <n v="180"/>
    <n v="-88"/>
    <n v="58.695652173913039"/>
    <n v="0"/>
  </r>
  <r>
    <s v="440416407"/>
    <s v="4404"/>
    <x v="17"/>
    <x v="32"/>
    <s v="440416407"/>
    <x v="32"/>
    <x v="3"/>
    <s v="UF-Dry"/>
    <n v="221.67"/>
    <n v="0"/>
    <n v="0"/>
    <n v="477"/>
    <d v="2026-05-23T00:00:00"/>
    <n v="0"/>
    <n v="477"/>
    <n v="-255.33"/>
    <n v="64.555420219244823"/>
    <n v="0"/>
  </r>
  <r>
    <s v="440400189"/>
    <s v="4404"/>
    <x v="17"/>
    <x v="1"/>
    <s v="440400189"/>
    <x v="1"/>
    <x v="1"/>
    <s v="T&amp;I Comm-UF"/>
    <n v="39999.96"/>
    <n v="20208"/>
    <n v="0.50520050520050519"/>
    <n v="0"/>
    <m/>
    <n v="5700"/>
    <n v="5700"/>
    <n v="14091.96"/>
    <n v="4.2750042750042754"/>
    <n v="4.2750042750042754"/>
  </r>
  <r>
    <s v="440401167"/>
    <s v="4404"/>
    <x v="17"/>
    <x v="33"/>
    <s v="440401167"/>
    <x v="33"/>
    <x v="1"/>
    <s v="T&amp;I EX UF"/>
    <n v="12000"/>
    <n v="6612"/>
    <n v="0.55100000000000005"/>
    <n v="0"/>
    <m/>
    <n v="7452"/>
    <n v="7452"/>
    <n v="-2064"/>
    <n v="18.63"/>
    <n v="18.63"/>
  </r>
  <r>
    <s v="440401296"/>
    <s v="4404"/>
    <x v="17"/>
    <x v="2"/>
    <s v="440401296"/>
    <x v="2"/>
    <x v="1"/>
    <s v="T&amp;I EX HP 2 KG"/>
    <n v="5499.96"/>
    <n v="3504"/>
    <n v="0.63709554251303646"/>
    <n v="2100"/>
    <d v="2026-05-21T00:00:00"/>
    <n v="2772"/>
    <n v="4872"/>
    <n v="-2876.04"/>
    <n v="26.574738725372548"/>
    <n v="15.120109964436105"/>
  </r>
  <r>
    <s v="440402122"/>
    <s v="4404"/>
    <x v="17"/>
    <x v="3"/>
    <s v="440402122"/>
    <x v="3"/>
    <x v="1"/>
    <s v="T&amp;I EX HP 2 KG"/>
    <n v="6192"/>
    <n v="3972"/>
    <n v="0.64147286821705429"/>
    <n v="504"/>
    <d v="2026-05-21T00:00:00"/>
    <n v="6084"/>
    <n v="6588"/>
    <n v="-4368"/>
    <n v="31.918604651162791"/>
    <n v="29.47674418604651"/>
  </r>
  <r>
    <s v="440405159"/>
    <s v="4404"/>
    <x v="17"/>
    <x v="4"/>
    <s v="440405159"/>
    <x v="4"/>
    <x v="1"/>
    <s v="T&amp;I EX HP"/>
    <n v="9000"/>
    <n v="5652"/>
    <n v="0.628"/>
    <n v="6132"/>
    <d v="2026-05-23T00:00:00"/>
    <n v="0"/>
    <n v="6132"/>
    <n v="-2784"/>
    <n v="20.440000000000001"/>
    <n v="0"/>
  </r>
  <r>
    <s v="440406982"/>
    <s v="4404"/>
    <x v="17"/>
    <x v="34"/>
    <s v="440406982"/>
    <x v="34"/>
    <x v="1"/>
    <s v="T&amp;I Comm-UF"/>
    <n v="24499.919999999998"/>
    <n v="16368"/>
    <n v="0.66808381415122997"/>
    <n v="0"/>
    <m/>
    <n v="15936"/>
    <n v="15936"/>
    <n v="-7804.0800000000017"/>
    <n v="19.513533105414222"/>
    <n v="19.513533105414222"/>
  </r>
  <r>
    <s v="440407310"/>
    <s v="4404"/>
    <x v="17"/>
    <x v="5"/>
    <s v="440407310"/>
    <x v="5"/>
    <x v="1"/>
    <s v="T&amp;I Comm -HP"/>
    <n v="15989.76"/>
    <n v="10452"/>
    <n v="0.65366834774255522"/>
    <n v="4800"/>
    <d v="2026-05-23T00:00:00"/>
    <n v="19812"/>
    <n v="24612"/>
    <n v="-19074.239999999998"/>
    <n v="46.177053314121039"/>
    <n v="37.171289625360231"/>
  </r>
  <r>
    <s v="440408529"/>
    <s v="4404"/>
    <x v="17"/>
    <x v="6"/>
    <s v="440408529"/>
    <x v="6"/>
    <x v="1"/>
    <s v="T&amp;I EX HP 2 KG"/>
    <n v="7500"/>
    <n v="4116"/>
    <n v="0.54879999999999995"/>
    <n v="504"/>
    <d v="2026-05-21T00:00:00"/>
    <n v="3528"/>
    <n v="4032"/>
    <n v="-648"/>
    <n v="16.128"/>
    <n v="14.112"/>
  </r>
  <r>
    <s v="440413179"/>
    <s v="4404"/>
    <x v="17"/>
    <x v="7"/>
    <s v="440413179"/>
    <x v="7"/>
    <x v="1"/>
    <s v="T&amp;I EX HP 2 KG"/>
    <n v="219999.96"/>
    <n v="149916"/>
    <n v="0.68143648753390684"/>
    <n v="80616"/>
    <d v="2026-05-23T00:00:00"/>
    <n v="91956"/>
    <n v="172572"/>
    <n v="-102488.04000000001"/>
    <n v="23.532549733190862"/>
    <n v="12.539456825355787"/>
  </r>
  <r>
    <s v="440413678"/>
    <s v="4404"/>
    <x v="17"/>
    <x v="8"/>
    <s v="440413678"/>
    <x v="8"/>
    <x v="1"/>
    <s v="T&amp;I EX HP"/>
    <n v="1815.24"/>
    <n v="888"/>
    <n v="0.48919151186619952"/>
    <n v="108"/>
    <d v="2026-05-19T00:00:00"/>
    <n v="1656"/>
    <n v="1764"/>
    <n v="-836.76"/>
    <n v="29.153169828782971"/>
    <n v="27.368281880081973"/>
  </r>
  <r>
    <s v="440414654"/>
    <s v="4404"/>
    <x v="17"/>
    <x v="9"/>
    <s v="440414654"/>
    <x v="9"/>
    <x v="1"/>
    <s v="T&amp;I Comm-UF"/>
    <n v="2147.7600000000002"/>
    <n v="2436"/>
    <n v="1.1342049390993405"/>
    <n v="0"/>
    <m/>
    <n v="2616"/>
    <n v="2616"/>
    <n v="-2904.24"/>
    <n v="36.540395574924567"/>
    <n v="36.540395574924567"/>
  </r>
  <r>
    <s v="440414788"/>
    <s v="4404"/>
    <x v="17"/>
    <x v="35"/>
    <s v="440414788"/>
    <x v="35"/>
    <x v="1"/>
    <s v="T&amp;I EX HP"/>
    <n v="54999.96"/>
    <n v="33696"/>
    <n v="0.61265499102181165"/>
    <n v="1200"/>
    <d v="2026-05-23T00:00:00"/>
    <n v="47196"/>
    <n v="48396"/>
    <n v="-27092.04"/>
    <n v="26.39783738024537"/>
    <n v="25.743291449666511"/>
  </r>
  <r>
    <s v="440415459"/>
    <s v="4404"/>
    <x v="17"/>
    <x v="10"/>
    <s v="440415459"/>
    <x v="10"/>
    <x v="1"/>
    <s v="T&amp;I EX HP"/>
    <n v="10725.2"/>
    <n v="10000"/>
    <n v="0.93238354529519252"/>
    <n v="0"/>
    <m/>
    <n v="13980"/>
    <n v="13980"/>
    <n v="-13254.8"/>
    <n v="39.104165889680374"/>
    <n v="39.104165889680374"/>
  </r>
  <r>
    <s v="440415536"/>
    <s v="4404"/>
    <x v="17"/>
    <x v="36"/>
    <s v="440415536"/>
    <x v="36"/>
    <x v="5"/>
    <s v="Ganache- UF"/>
    <n v="1800"/>
    <n v="1104"/>
    <n v="0.61333333333333329"/>
    <n v="0"/>
    <m/>
    <n v="1920"/>
    <n v="1920"/>
    <n v="-1224"/>
    <n v="32"/>
    <n v="32"/>
  </r>
  <r>
    <s v="440415906"/>
    <s v="4404"/>
    <x v="17"/>
    <x v="11"/>
    <s v="440415906"/>
    <x v="11"/>
    <x v="1"/>
    <s v="T&amp;I EX HP"/>
    <n v="61.32"/>
    <n v="0"/>
    <n v="0"/>
    <n v="0"/>
    <m/>
    <n v="120"/>
    <n v="120"/>
    <n v="-58.68"/>
    <n v="58.708414872798436"/>
    <n v="58.708414872798436"/>
  </r>
  <r>
    <s v="440416336"/>
    <s v="4404"/>
    <x v="17"/>
    <x v="12"/>
    <s v="440416336"/>
    <x v="12"/>
    <x v="1"/>
    <s v="T&amp;I Comm-UF"/>
    <n v="27999.96"/>
    <n v="21240"/>
    <n v="0.75857251224644606"/>
    <n v="5460"/>
    <d v="2026-05-23T00:00:00"/>
    <n v="22200"/>
    <n v="27660"/>
    <n v="-20900.04"/>
    <n v="29.635756622509462"/>
    <n v="23.785748265354666"/>
  </r>
  <r>
    <s v="440416984"/>
    <s v="4404"/>
    <x v="17"/>
    <x v="13"/>
    <s v="440416984"/>
    <x v="13"/>
    <x v="1"/>
    <s v="T&amp;I EX HP"/>
    <n v="49.44"/>
    <n v="264"/>
    <n v="5.3398058252427187"/>
    <n v="0"/>
    <m/>
    <n v="312"/>
    <n v="312"/>
    <n v="-526.55999999999995"/>
    <n v="189.32038834951459"/>
    <n v="189.32038834951459"/>
  </r>
  <r>
    <s v="440416998"/>
    <s v="4404"/>
    <x v="17"/>
    <x v="37"/>
    <s v="440416998"/>
    <x v="37"/>
    <x v="1"/>
    <s v="T&amp;I EX UF"/>
    <n v="1072.8"/>
    <n v="0"/>
    <n v="0"/>
    <n v="1200"/>
    <d v="2026-05-23T00:00:00"/>
    <n v="1092"/>
    <n v="2292"/>
    <n v="-1219.2"/>
    <n v="64.093959731543634"/>
    <n v="30.536912751677853"/>
  </r>
  <r>
    <s v="440418098"/>
    <s v="4404"/>
    <x v="17"/>
    <x v="38"/>
    <s v="440418098"/>
    <x v="38"/>
    <x v="1"/>
    <s v="T&amp;I EX HP"/>
    <n v="536.4"/>
    <n v="0"/>
    <n v="0"/>
    <n v="0"/>
    <m/>
    <n v="792"/>
    <n v="792"/>
    <n v="-255.60000000000002"/>
    <n v="44.29530201342282"/>
    <n v="44.29530201342282"/>
  </r>
  <r>
    <s v="440420308"/>
    <s v="4404"/>
    <x v="17"/>
    <x v="14"/>
    <s v="440420308"/>
    <x v="14"/>
    <x v="1"/>
    <s v="T&amp;I EX HP 2 KG"/>
    <n v="5976.24"/>
    <n v="10932"/>
    <n v="1.8292438054696598"/>
    <n v="1008"/>
    <d v="2026-05-21T00:00:00"/>
    <n v="4968"/>
    <n v="5976"/>
    <n v="-10931.76"/>
    <n v="29.998795229107266"/>
    <n v="24.938757479619294"/>
  </r>
  <r>
    <s v="440420827"/>
    <s v="4404"/>
    <x v="17"/>
    <x v="39"/>
    <s v="440420827"/>
    <x v="39"/>
    <x v="5"/>
    <s v="Ganache- UF"/>
    <n v="2100"/>
    <n v="1320"/>
    <n v="0.62857142857142856"/>
    <n v="1200"/>
    <d v="2026-05-23T00:00:00"/>
    <n v="2148"/>
    <n v="3348"/>
    <n v="-2568"/>
    <n v="47.828571428571429"/>
    <n v="30.685714285714287"/>
  </r>
  <r>
    <s v="440421910"/>
    <s v="4404"/>
    <x v="17"/>
    <x v="15"/>
    <s v="440421910"/>
    <x v="15"/>
    <x v="1"/>
    <s v="T&amp;I EX HP 2 KG"/>
    <n v="1076.76"/>
    <n v="300"/>
    <n v="0.27861361863367884"/>
    <n v="408"/>
    <d v="2026-05-21T00:00:00"/>
    <n v="948"/>
    <n v="1356"/>
    <n v="-579.24"/>
    <n v="37.780006686726843"/>
    <n v="26.412571046472749"/>
  </r>
  <r>
    <s v="440423081"/>
    <s v="4404"/>
    <x v="17"/>
    <x v="16"/>
    <s v="440423081"/>
    <x v="16"/>
    <x v="1"/>
    <s v="T&amp;I EX HP"/>
    <n v="2144.7600000000002"/>
    <n v="552"/>
    <n v="0.25737145414871593"/>
    <n v="504"/>
    <d v="2026-05-21T00:00:00"/>
    <n v="720"/>
    <n v="1224"/>
    <n v="368.76000000000022"/>
    <n v="17.120796732501539"/>
    <n v="10.071056901471493"/>
  </r>
  <r>
    <s v="440423401"/>
    <s v="4404"/>
    <x v="17"/>
    <x v="40"/>
    <s v="440423401"/>
    <x v="40"/>
    <x v="1"/>
    <s v="T&amp;I EX UF"/>
    <n v="14499.96"/>
    <n v="10848"/>
    <n v="0.74813999486895144"/>
    <n v="6000"/>
    <d v="2026-05-23T00:00:00"/>
    <n v="2388"/>
    <n v="8388"/>
    <n v="-4736.0400000000009"/>
    <n v="17.354530633187952"/>
    <n v="4.9407032846987162"/>
  </r>
  <r>
    <s v="440424768"/>
    <s v="4404"/>
    <x v="17"/>
    <x v="41"/>
    <s v="440424768"/>
    <x v="41"/>
    <x v="1"/>
    <s v="T&amp;I EX UF"/>
    <n v="3000"/>
    <n v="1224"/>
    <n v="0.40799999999999997"/>
    <n v="2400"/>
    <d v="2026-05-23T00:00:00"/>
    <n v="708"/>
    <n v="3108"/>
    <n v="-1332"/>
    <n v="31.08"/>
    <n v="7.08"/>
  </r>
  <r>
    <s v="440425570"/>
    <s v="4404"/>
    <x v="17"/>
    <x v="19"/>
    <s v="440425570"/>
    <x v="19"/>
    <x v="1"/>
    <s v="T&amp;I EX HP"/>
    <n v="1072.8"/>
    <n v="168"/>
    <n v="0.15659955257270694"/>
    <n v="0"/>
    <m/>
    <n v="1332"/>
    <n v="1332"/>
    <n v="-427.20000000000005"/>
    <n v="37.24832214765101"/>
    <n v="37.24832214765101"/>
  </r>
  <r>
    <s v="440425598"/>
    <s v="4404"/>
    <x v="17"/>
    <x v="42"/>
    <s v="440425598"/>
    <x v="42"/>
    <x v="1"/>
    <s v="T&amp;I EX HP"/>
    <n v="3999.96"/>
    <n v="1932"/>
    <n v="0.48300483004830047"/>
    <n v="0"/>
    <m/>
    <n v="768"/>
    <n v="768"/>
    <n v="1299.96"/>
    <n v="5.7600576005760065"/>
    <n v="5.76005760057600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BD865-11BD-409C-80A7-AFFFEF996DD3}" name="PivotTable4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B3:F12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5"/>
        <item x="0"/>
        <item x="3"/>
        <item x="1"/>
        <item x="4"/>
        <item x="6"/>
        <item t="default"/>
      </items>
    </pivotField>
    <pivotField compact="0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 RF May- 26" fld="8" baseField="0" baseItem="0" numFmtId="1"/>
    <dataField name="Sum of Sales Qty" fld="9" baseField="5" baseItem="0" numFmtId="168"/>
    <dataField name="Sum of Ready Stock" fld="13" baseField="0" baseItem="0"/>
    <dataField name="Sum of Ready + transist" fld="14" baseField="0" baseItem="0"/>
  </dataFields>
  <formats count="48">
    <format dxfId="2730">
      <pivotArea field="6" grandRow="1" outline="0" axis="axisRow" fieldPosition="0">
        <references count="1">
          <reference field="4294967294" count="1" selected="0">
            <x v="1"/>
          </reference>
        </references>
      </pivotArea>
    </format>
    <format dxfId="2729">
      <pivotArea outline="0" fieldPosition="0">
        <references count="1">
          <reference field="6" count="0" selected="0"/>
        </references>
      </pivotArea>
    </format>
    <format dxfId="2728">
      <pivotArea type="all" dataOnly="0" outline="0" fieldPosition="0"/>
    </format>
    <format dxfId="2727">
      <pivotArea outline="0" collapsedLevelsAreSubtotals="1" fieldPosition="0"/>
    </format>
    <format dxfId="2726">
      <pivotArea type="origin" dataOnly="0" labelOnly="1" outline="0" fieldPosition="0"/>
    </format>
    <format dxfId="2725">
      <pivotArea field="-2" type="button" dataOnly="0" labelOnly="1" outline="0" axis="axisCol" fieldPosition="0"/>
    </format>
    <format dxfId="2724">
      <pivotArea type="topRight" dataOnly="0" labelOnly="1" outline="0" fieldPosition="0"/>
    </format>
    <format dxfId="2723">
      <pivotArea field="6" type="button" dataOnly="0" labelOnly="1" outline="0" axis="axisRow" fieldPosition="0"/>
    </format>
    <format dxfId="2722">
      <pivotArea dataOnly="0" labelOnly="1" outline="0" fieldPosition="0">
        <references count="1">
          <reference field="6" count="0"/>
        </references>
      </pivotArea>
    </format>
    <format dxfId="2721">
      <pivotArea dataOnly="0" labelOnly="1" grandRow="1" outline="0" fieldPosition="0"/>
    </format>
    <format dxfId="27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19">
      <pivotArea outline="0" collapsedLevelsAreSubtotals="1" fieldPosition="0"/>
    </format>
    <format dxfId="2718">
      <pivotArea field="-2" type="button" dataOnly="0" labelOnly="1" outline="0" axis="axisCol" fieldPosition="0"/>
    </format>
    <format dxfId="2717">
      <pivotArea type="topRight" dataOnly="0" labelOnly="1" outline="0" fieldPosition="0"/>
    </format>
    <format dxfId="27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15">
      <pivotArea outline="0" fieldPosition="0">
        <references count="1">
          <reference field="4294967294" count="1" selected="0">
            <x v="3"/>
          </reference>
        </references>
      </pivotArea>
    </format>
    <format dxfId="2714">
      <pivotArea field="6" grandRow="1" outline="0" axis="axisRow" fieldPosition="0">
        <references count="1">
          <reference field="4294967294" count="1" selected="0">
            <x v="2"/>
          </reference>
        </references>
      </pivotArea>
    </format>
    <format dxfId="2713">
      <pivotArea field="6" grandRow="1" outline="0" axis="axisRow" fieldPosition="0">
        <references count="1">
          <reference field="4294967294" count="1" selected="0">
            <x v="3"/>
          </reference>
        </references>
      </pivotArea>
    </format>
    <format dxfId="2712">
      <pivotArea type="all" dataOnly="0" outline="0" fieldPosition="0"/>
    </format>
    <format dxfId="2711">
      <pivotArea outline="0" collapsedLevelsAreSubtotals="1" fieldPosition="0"/>
    </format>
    <format dxfId="2710">
      <pivotArea type="origin" dataOnly="0" labelOnly="1" outline="0" fieldPosition="0"/>
    </format>
    <format dxfId="2709">
      <pivotArea field="-2" type="button" dataOnly="0" labelOnly="1" outline="0" axis="axisCol" fieldPosition="0"/>
    </format>
    <format dxfId="2708">
      <pivotArea type="topRight" dataOnly="0" labelOnly="1" outline="0" fieldPosition="0"/>
    </format>
    <format dxfId="2707">
      <pivotArea field="6" type="button" dataOnly="0" labelOnly="1" outline="0" axis="axisRow" fieldPosition="0"/>
    </format>
    <format dxfId="2706">
      <pivotArea dataOnly="0" labelOnly="1" outline="0" fieldPosition="0">
        <references count="1">
          <reference field="6" count="0"/>
        </references>
      </pivotArea>
    </format>
    <format dxfId="2705">
      <pivotArea dataOnly="0" labelOnly="1" grandRow="1" outline="0" fieldPosition="0"/>
    </format>
    <format dxfId="270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703">
      <pivotArea outline="0" fieldPosition="0">
        <references count="2">
          <reference field="4294967294" count="1" selected="0">
            <x v="1"/>
          </reference>
          <reference field="6" count="0" selected="0"/>
        </references>
      </pivotArea>
    </format>
    <format dxfId="2702">
      <pivotArea field="6" grandRow="1" outline="0" axis="axisRow" fieldPosition="0">
        <references count="1">
          <reference field="4294967294" count="1" selected="0">
            <x v="3"/>
          </reference>
        </references>
      </pivotArea>
    </format>
    <format dxfId="2701">
      <pivotArea outline="0" fieldPosition="0">
        <references count="1">
          <reference field="4294967294" count="1">
            <x v="1"/>
          </reference>
        </references>
      </pivotArea>
    </format>
    <format dxfId="2700">
      <pivotArea field="6" grandRow="1" outline="0" axis="axisRow" fieldPosition="0">
        <references count="1">
          <reference field="4294967294" count="1" selected="0">
            <x v="3"/>
          </reference>
        </references>
      </pivotArea>
    </format>
    <format dxfId="2699">
      <pivotArea field="6" type="button" dataOnly="0" labelOnly="1" outline="0" axis="axisRow" fieldPosition="0"/>
    </format>
    <format dxfId="269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697">
      <pivotArea field="6" type="button" dataOnly="0" labelOnly="1" outline="0" axis="axisRow" fieldPosition="0"/>
    </format>
    <format dxfId="269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695">
      <pivotArea outline="0" collapsedLevelsAreSubtotals="1" fieldPosition="0"/>
    </format>
    <format dxfId="2694">
      <pivotArea field="6" type="button" dataOnly="0" labelOnly="1" outline="0" axis="axisRow" fieldPosition="0"/>
    </format>
    <format dxfId="2693">
      <pivotArea dataOnly="0" labelOnly="1" outline="0" fieldPosition="0">
        <references count="1">
          <reference field="6" count="0"/>
        </references>
      </pivotArea>
    </format>
    <format dxfId="2692">
      <pivotArea dataOnly="0" labelOnly="1" grandRow="1" outline="0" fieldPosition="0"/>
    </format>
    <format dxfId="269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690">
      <pivotArea grandRow="1" outline="0" collapsedLevelsAreSubtotals="1" fieldPosition="0"/>
    </format>
    <format dxfId="2689">
      <pivotArea dataOnly="0" labelOnly="1" grandRow="1" outline="0" fieldPosition="0"/>
    </format>
    <format dxfId="2688">
      <pivotArea field="6" type="button" dataOnly="0" labelOnly="1" outline="0" axis="axisRow" fieldPosition="0"/>
    </format>
    <format dxfId="268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686">
      <pivotArea grandRow="1" outline="0" collapsedLevelsAreSubtotals="1" fieldPosition="0"/>
    </format>
    <format dxfId="2685">
      <pivotArea dataOnly="0" labelOnly="1" grandRow="1" outline="0" fieldPosition="0"/>
    </format>
    <format dxfId="2684">
      <pivotArea grandRow="1" outline="0" collapsedLevelsAreSubtotals="1" fieldPosition="0"/>
    </format>
    <format dxfId="268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7EDF6-8177-41E5-AF5C-C753670874D4}" name="PivotTable3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E58" firstHeaderRow="1" firstDataRow="2" firstDataCol="2" rowPageCount="1" colPageCount="1"/>
  <pivotFields count="18">
    <pivotField compact="0" outline="0" showAll="0"/>
    <pivotField compact="0" outline="0" showAll="0"/>
    <pivotField compact="0" outline="0" showAll="0"/>
    <pivotField axis="axisRow" compact="0" outline="0" showAll="0" defaultSubtotal="0">
      <items count="53">
        <item x="1"/>
        <item x="33"/>
        <item x="2"/>
        <item n="02122" x="3"/>
        <item x="29"/>
        <item x="4"/>
        <item x="20"/>
        <item x="34"/>
        <item x="5"/>
        <item x="6"/>
        <item x="7"/>
        <item x="21"/>
        <item x="8"/>
        <item x="30"/>
        <item x="9"/>
        <item x="35"/>
        <item x="22"/>
        <item x="31"/>
        <item x="47"/>
        <item x="10"/>
        <item x="36"/>
        <item x="11"/>
        <item x="12"/>
        <item x="32"/>
        <item x="13"/>
        <item x="37"/>
        <item x="38"/>
        <item x="14"/>
        <item x="39"/>
        <item x="23"/>
        <item x="15"/>
        <item x="16"/>
        <item x="40"/>
        <item x="24"/>
        <item x="41"/>
        <item x="52"/>
        <item x="42"/>
        <item x="19"/>
        <item x="25"/>
        <item x="48"/>
        <item x="27"/>
        <item x="43"/>
        <item x="0"/>
        <item x="26"/>
        <item x="44"/>
        <item x="49"/>
        <item x="50"/>
        <item x="28"/>
        <item x="45"/>
        <item x="51"/>
        <item x="18"/>
        <item x="46"/>
        <item x="17"/>
      </items>
    </pivotField>
    <pivotField compact="0" outline="0" showAll="0"/>
    <pivotField axis="axisRow" compact="0" outline="0" showAll="0" sortType="descending">
      <items count="54">
        <item x="2"/>
        <item x="8"/>
        <item x="13"/>
        <item x="11"/>
        <item x="7"/>
        <item x="35"/>
        <item x="9"/>
        <item x="34"/>
        <item x="5"/>
        <item x="10"/>
        <item x="3"/>
        <item x="20"/>
        <item x="37"/>
        <item x="0"/>
        <item x="47"/>
        <item x="29"/>
        <item x="30"/>
        <item x="21"/>
        <item x="22"/>
        <item x="31"/>
        <item x="32"/>
        <item x="36"/>
        <item x="33"/>
        <item x="6"/>
        <item x="4"/>
        <item x="12"/>
        <item x="39"/>
        <item x="23"/>
        <item x="15"/>
        <item x="16"/>
        <item x="40"/>
        <item x="24"/>
        <item x="14"/>
        <item x="1"/>
        <item x="41"/>
        <item x="48"/>
        <item x="52"/>
        <item x="19"/>
        <item x="42"/>
        <item x="25"/>
        <item x="27"/>
        <item x="38"/>
        <item x="26"/>
        <item x="43"/>
        <item x="44"/>
        <item x="49"/>
        <item x="50"/>
        <item x="28"/>
        <item x="45"/>
        <item x="51"/>
        <item x="18"/>
        <item x="4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>
      <items count="8">
        <item x="2"/>
        <item x="5"/>
        <item x="0"/>
        <item x="3"/>
        <item x="1"/>
        <item x="4"/>
        <item x="6"/>
        <item t="default"/>
      </items>
    </pivotField>
    <pivotField compact="0" outline="0" showAll="0"/>
    <pivotField dataField="1" compact="0" numFmtId="1" outline="0" showAll="0"/>
    <pivotField dataField="1" compact="0" numFmtId="1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dataField="1" compact="0" numFmtId="3" outline="0" showAll="0"/>
    <pivotField compact="0" numFmtId="1" outline="0" showAll="0"/>
    <pivotField compact="0" outline="0" showAll="0"/>
    <pivotField compact="0" outline="0" showAll="0"/>
  </pivotFields>
  <rowFields count="2">
    <field x="3"/>
    <field x="5"/>
  </rowFields>
  <rowItems count="54">
    <i>
      <x/>
      <x v="33"/>
    </i>
    <i>
      <x v="1"/>
      <x v="22"/>
    </i>
    <i>
      <x v="2"/>
      <x/>
    </i>
    <i>
      <x v="3"/>
      <x v="10"/>
    </i>
    <i>
      <x v="4"/>
      <x v="15"/>
    </i>
    <i>
      <x v="5"/>
      <x v="24"/>
    </i>
    <i>
      <x v="6"/>
      <x v="11"/>
    </i>
    <i>
      <x v="7"/>
      <x v="7"/>
    </i>
    <i>
      <x v="8"/>
      <x v="8"/>
    </i>
    <i>
      <x v="9"/>
      <x v="23"/>
    </i>
    <i>
      <x v="10"/>
      <x v="4"/>
    </i>
    <i>
      <x v="11"/>
      <x v="17"/>
    </i>
    <i>
      <x v="12"/>
      <x v="1"/>
    </i>
    <i>
      <x v="13"/>
      <x v="16"/>
    </i>
    <i>
      <x v="14"/>
      <x v="6"/>
    </i>
    <i>
      <x v="15"/>
      <x v="5"/>
    </i>
    <i>
      <x v="16"/>
      <x v="18"/>
    </i>
    <i>
      <x v="17"/>
      <x v="19"/>
    </i>
    <i>
      <x v="18"/>
      <x v="14"/>
    </i>
    <i>
      <x v="19"/>
      <x v="9"/>
    </i>
    <i>
      <x v="20"/>
      <x v="21"/>
    </i>
    <i>
      <x v="21"/>
      <x v="3"/>
    </i>
    <i>
      <x v="22"/>
      <x v="25"/>
    </i>
    <i>
      <x v="23"/>
      <x v="20"/>
    </i>
    <i>
      <x v="24"/>
      <x v="2"/>
    </i>
    <i>
      <x v="25"/>
      <x v="12"/>
    </i>
    <i>
      <x v="26"/>
      <x v="41"/>
    </i>
    <i>
      <x v="27"/>
      <x v="32"/>
    </i>
    <i>
      <x v="28"/>
      <x v="26"/>
    </i>
    <i>
      <x v="29"/>
      <x v="27"/>
    </i>
    <i>
      <x v="30"/>
      <x v="28"/>
    </i>
    <i>
      <x v="31"/>
      <x v="29"/>
    </i>
    <i>
      <x v="32"/>
      <x v="30"/>
    </i>
    <i>
      <x v="33"/>
      <x v="31"/>
    </i>
    <i>
      <x v="34"/>
      <x v="34"/>
    </i>
    <i>
      <x v="35"/>
      <x v="36"/>
    </i>
    <i>
      <x v="36"/>
      <x v="38"/>
    </i>
    <i>
      <x v="37"/>
      <x v="37"/>
    </i>
    <i>
      <x v="38"/>
      <x v="39"/>
    </i>
    <i>
      <x v="39"/>
      <x v="35"/>
    </i>
    <i>
      <x v="40"/>
      <x v="40"/>
    </i>
    <i>
      <x v="41"/>
      <x v="43"/>
    </i>
    <i>
      <x v="42"/>
      <x v="13"/>
    </i>
    <i>
      <x v="43"/>
      <x v="42"/>
    </i>
    <i>
      <x v="44"/>
      <x v="44"/>
    </i>
    <i>
      <x v="45"/>
      <x v="45"/>
    </i>
    <i>
      <x v="46"/>
      <x v="46"/>
    </i>
    <i>
      <x v="47"/>
      <x v="47"/>
    </i>
    <i>
      <x v="48"/>
      <x v="48"/>
    </i>
    <i>
      <x v="49"/>
      <x v="49"/>
    </i>
    <i>
      <x v="50"/>
      <x v="50"/>
    </i>
    <i>
      <x v="51"/>
      <x v="51"/>
    </i>
    <i>
      <x v="52"/>
      <x v="5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um of  RF May- 26" fld="8" baseField="0" baseItem="0" numFmtId="1"/>
    <dataField name="Sum of Sales Qty" fld="9" baseField="0" baseItem="0"/>
    <dataField name="Sum of Ready + transist" fld="14" baseField="0" baseItem="0"/>
  </dataFields>
  <formats count="131">
    <format dxfId="2682">
      <pivotArea type="all" dataOnly="0" outline="0" fieldPosition="0"/>
    </format>
    <format dxfId="2681">
      <pivotArea outline="0" collapsedLevelsAreSubtotals="1" fieldPosition="0"/>
    </format>
    <format dxfId="2680">
      <pivotArea type="origin" dataOnly="0" labelOnly="1" outline="0" fieldPosition="0"/>
    </format>
    <format dxfId="2679">
      <pivotArea field="-2" type="button" dataOnly="0" labelOnly="1" outline="0" axis="axisCol" fieldPosition="0"/>
    </format>
    <format dxfId="2678">
      <pivotArea type="topRight" dataOnly="0" labelOnly="1" outline="0" fieldPosition="0"/>
    </format>
    <format dxfId="2677">
      <pivotArea field="3" type="button" dataOnly="0" labelOnly="1" outline="0" axis="axisRow" fieldPosition="0"/>
    </format>
    <format dxfId="2676">
      <pivotArea field="5" type="button" dataOnly="0" labelOnly="1" outline="0" axis="axisRow" fieldPosition="1"/>
    </format>
    <format dxfId="2675">
      <pivotArea dataOnly="0" labelOnly="1" outline="0" fieldPosition="0">
        <references count="1">
          <reference field="3" count="0"/>
        </references>
      </pivotArea>
    </format>
    <format dxfId="2674">
      <pivotArea dataOnly="0" labelOnly="1" grandRow="1" outline="0" fieldPosition="0"/>
    </format>
    <format dxfId="2673">
      <pivotArea dataOnly="0" labelOnly="1" outline="0" fieldPosition="0">
        <references count="2">
          <reference field="3" count="1" selected="0">
            <x v="1"/>
          </reference>
          <reference field="5" count="1">
            <x v="22"/>
          </reference>
        </references>
      </pivotArea>
    </format>
    <format dxfId="2672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671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670">
      <pivotArea dataOnly="0" labelOnly="1" outline="0" fieldPosition="0">
        <references count="2">
          <reference field="3" count="1" selected="0">
            <x v="4"/>
          </reference>
          <reference field="5" count="1">
            <x v="15"/>
          </reference>
        </references>
      </pivotArea>
    </format>
    <format dxfId="2669">
      <pivotArea dataOnly="0" labelOnly="1" outline="0" fieldPosition="0">
        <references count="2">
          <reference field="3" count="1" selected="0">
            <x v="5"/>
          </reference>
          <reference field="5" count="1">
            <x v="24"/>
          </reference>
        </references>
      </pivotArea>
    </format>
    <format dxfId="2668">
      <pivotArea dataOnly="0" labelOnly="1" outline="0" fieldPosition="0">
        <references count="2">
          <reference field="3" count="1" selected="0">
            <x v="6"/>
          </reference>
          <reference field="5" count="1">
            <x v="11"/>
          </reference>
        </references>
      </pivotArea>
    </format>
    <format dxfId="2667">
      <pivotArea dataOnly="0" labelOnly="1" outline="0" fieldPosition="0">
        <references count="2">
          <reference field="3" count="1" selected="0">
            <x v="7"/>
          </reference>
          <reference field="5" count="1">
            <x v="7"/>
          </reference>
        </references>
      </pivotArea>
    </format>
    <format dxfId="2666">
      <pivotArea dataOnly="0" labelOnly="1" outline="0" fieldPosition="0">
        <references count="2">
          <reference field="3" count="1" selected="0">
            <x v="8"/>
          </reference>
          <reference field="5" count="1">
            <x v="8"/>
          </reference>
        </references>
      </pivotArea>
    </format>
    <format dxfId="2665">
      <pivotArea dataOnly="0" labelOnly="1" outline="0" fieldPosition="0">
        <references count="2">
          <reference field="3" count="1" selected="0">
            <x v="9"/>
          </reference>
          <reference field="5" count="1">
            <x v="23"/>
          </reference>
        </references>
      </pivotArea>
    </format>
    <format dxfId="2664">
      <pivotArea dataOnly="0" labelOnly="1" outline="0" fieldPosition="0">
        <references count="2">
          <reference field="3" count="1" selected="0">
            <x v="10"/>
          </reference>
          <reference field="5" count="1">
            <x v="4"/>
          </reference>
        </references>
      </pivotArea>
    </format>
    <format dxfId="2663">
      <pivotArea dataOnly="0" labelOnly="1" outline="0" fieldPosition="0">
        <references count="2">
          <reference field="3" count="1" selected="0">
            <x v="11"/>
          </reference>
          <reference field="5" count="1">
            <x v="17"/>
          </reference>
        </references>
      </pivotArea>
    </format>
    <format dxfId="2662">
      <pivotArea dataOnly="0" labelOnly="1" outline="0" fieldPosition="0">
        <references count="2">
          <reference field="3" count="1" selected="0">
            <x v="12"/>
          </reference>
          <reference field="5" count="1">
            <x v="1"/>
          </reference>
        </references>
      </pivotArea>
    </format>
    <format dxfId="2661">
      <pivotArea dataOnly="0" labelOnly="1" outline="0" fieldPosition="0">
        <references count="2">
          <reference field="3" count="1" selected="0">
            <x v="13"/>
          </reference>
          <reference field="5" count="1">
            <x v="16"/>
          </reference>
        </references>
      </pivotArea>
    </format>
    <format dxfId="2660">
      <pivotArea dataOnly="0" labelOnly="1" outline="0" fieldPosition="0">
        <references count="2">
          <reference field="3" count="1" selected="0">
            <x v="14"/>
          </reference>
          <reference field="5" count="1">
            <x v="6"/>
          </reference>
        </references>
      </pivotArea>
    </format>
    <format dxfId="2659">
      <pivotArea dataOnly="0" labelOnly="1" outline="0" fieldPosition="0">
        <references count="2">
          <reference field="3" count="1" selected="0">
            <x v="15"/>
          </reference>
          <reference field="5" count="1">
            <x v="5"/>
          </reference>
        </references>
      </pivotArea>
    </format>
    <format dxfId="2658">
      <pivotArea dataOnly="0" labelOnly="1" outline="0" fieldPosition="0">
        <references count="2">
          <reference field="3" count="1" selected="0">
            <x v="16"/>
          </reference>
          <reference field="5" count="1">
            <x v="18"/>
          </reference>
        </references>
      </pivotArea>
    </format>
    <format dxfId="2657">
      <pivotArea dataOnly="0" labelOnly="1" outline="0" fieldPosition="0">
        <references count="2">
          <reference field="3" count="1" selected="0">
            <x v="17"/>
          </reference>
          <reference field="5" count="1">
            <x v="19"/>
          </reference>
        </references>
      </pivotArea>
    </format>
    <format dxfId="2656">
      <pivotArea dataOnly="0" labelOnly="1" outline="0" fieldPosition="0">
        <references count="2">
          <reference field="3" count="1" selected="0">
            <x v="18"/>
          </reference>
          <reference field="5" count="1">
            <x v="14"/>
          </reference>
        </references>
      </pivotArea>
    </format>
    <format dxfId="2655">
      <pivotArea dataOnly="0" labelOnly="1" outline="0" fieldPosition="0">
        <references count="2">
          <reference field="3" count="1" selected="0">
            <x v="19"/>
          </reference>
          <reference field="5" count="1">
            <x v="9"/>
          </reference>
        </references>
      </pivotArea>
    </format>
    <format dxfId="2654">
      <pivotArea dataOnly="0" labelOnly="1" outline="0" fieldPosition="0">
        <references count="2">
          <reference field="3" count="1" selected="0">
            <x v="20"/>
          </reference>
          <reference field="5" count="1">
            <x v="21"/>
          </reference>
        </references>
      </pivotArea>
    </format>
    <format dxfId="2653">
      <pivotArea dataOnly="0" labelOnly="1" outline="0" fieldPosition="0">
        <references count="2">
          <reference field="3" count="1" selected="0">
            <x v="21"/>
          </reference>
          <reference field="5" count="1">
            <x v="3"/>
          </reference>
        </references>
      </pivotArea>
    </format>
    <format dxfId="2652">
      <pivotArea dataOnly="0" labelOnly="1" outline="0" fieldPosition="0">
        <references count="2">
          <reference field="3" count="1" selected="0">
            <x v="22"/>
          </reference>
          <reference field="5" count="1">
            <x v="25"/>
          </reference>
        </references>
      </pivotArea>
    </format>
    <format dxfId="2651">
      <pivotArea dataOnly="0" labelOnly="1" outline="0" fieldPosition="0">
        <references count="2">
          <reference field="3" count="1" selected="0">
            <x v="23"/>
          </reference>
          <reference field="5" count="1">
            <x v="20"/>
          </reference>
        </references>
      </pivotArea>
    </format>
    <format dxfId="2650">
      <pivotArea dataOnly="0" labelOnly="1" outline="0" fieldPosition="0">
        <references count="2">
          <reference field="3" count="1" selected="0">
            <x v="24"/>
          </reference>
          <reference field="5" count="1">
            <x v="2"/>
          </reference>
        </references>
      </pivotArea>
    </format>
    <format dxfId="2649">
      <pivotArea dataOnly="0" labelOnly="1" outline="0" fieldPosition="0">
        <references count="2">
          <reference field="3" count="1" selected="0">
            <x v="25"/>
          </reference>
          <reference field="5" count="1">
            <x v="12"/>
          </reference>
        </references>
      </pivotArea>
    </format>
    <format dxfId="26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47">
      <pivotArea outline="0" collapsedLevelsAreSubtotals="1" fieldPosition="0"/>
    </format>
    <format dxfId="2646">
      <pivotArea outline="0" collapsedLevelsAreSubtotals="1" fieldPosition="0"/>
    </format>
    <format dxfId="2645">
      <pivotArea field="-2" type="button" dataOnly="0" labelOnly="1" outline="0" axis="axisCol" fieldPosition="0"/>
    </format>
    <format dxfId="2644">
      <pivotArea type="topRight" dataOnly="0" labelOnly="1" outline="0" fieldPosition="0"/>
    </format>
    <format dxfId="26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42">
      <pivotArea dataOnly="0" outline="0" fieldPosition="0">
        <references count="1">
          <reference field="4294967294" count="1">
            <x v="2"/>
          </reference>
        </references>
      </pivotArea>
    </format>
    <format dxfId="2641">
      <pivotArea field="-2" type="button" dataOnly="0" labelOnly="1" outline="0" axis="axisCol" fieldPosition="0"/>
    </format>
    <format dxfId="2640">
      <pivotArea outline="0" collapsedLevelsAreSubtotals="1" fieldPosition="0"/>
    </format>
    <format dxfId="2639">
      <pivotArea field="-2" type="button" dataOnly="0" labelOnly="1" outline="0" axis="axisCol" fieldPosition="0"/>
    </format>
    <format dxfId="2638">
      <pivotArea type="topRight" dataOnly="0" labelOnly="1" outline="0" fieldPosition="0"/>
    </format>
    <format dxfId="263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636">
      <pivotArea outline="0" fieldPosition="0">
        <references count="2">
          <reference field="3" count="0" selected="0"/>
          <reference field="5" count="0" selected="0"/>
        </references>
      </pivotArea>
    </format>
    <format dxfId="2635">
      <pivotArea field="3" type="button" dataOnly="0" labelOnly="1" outline="0" axis="axisRow" fieldPosition="0"/>
    </format>
    <format dxfId="2634">
      <pivotArea field="5" type="button" dataOnly="0" labelOnly="1" outline="0" axis="axisRow" fieldPosition="1"/>
    </format>
    <format dxfId="263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2632">
      <pivotArea outline="0" fieldPosition="0">
        <references count="2">
          <reference field="3" count="1" selected="0">
            <x v="19"/>
          </reference>
          <reference field="5" count="1" selected="0">
            <x v="9"/>
          </reference>
        </references>
      </pivotArea>
    </format>
    <format dxfId="2631">
      <pivotArea outline="0" fieldPosition="0">
        <references count="2">
          <reference field="3" count="1" selected="0">
            <x v="22"/>
          </reference>
          <reference field="5" count="1" selected="0">
            <x v="25"/>
          </reference>
        </references>
      </pivotArea>
    </format>
    <format dxfId="2630">
      <pivotArea outline="0" fieldPosition="0">
        <references count="2">
          <reference field="3" count="1" selected="0">
            <x v="28"/>
          </reference>
          <reference field="5" count="1" selected="0">
            <x v="26"/>
          </reference>
        </references>
      </pivotArea>
    </format>
    <format dxfId="2629">
      <pivotArea outline="0" fieldPosition="0">
        <references count="2">
          <reference field="3" count="1" selected="0">
            <x v="20"/>
          </reference>
          <reference field="5" count="1" selected="0">
            <x v="21"/>
          </reference>
        </references>
      </pivotArea>
    </format>
    <format dxfId="2628">
      <pivotArea field="3" grandRow="1" outline="0" axis="axisRow" fieldPosition="0">
        <references count="1">
          <reference field="4294967294" count="1" selected="0">
            <x v="2"/>
          </reference>
        </references>
      </pivotArea>
    </format>
    <format dxfId="2627">
      <pivotArea field="3" grandRow="1" outline="0" axis="axisRow" fieldPosition="0">
        <references count="1">
          <reference field="4294967294" count="1" selected="0">
            <x v="2"/>
          </reference>
        </references>
      </pivotArea>
    </format>
    <format dxfId="2626">
      <pivotArea outline="0" collapsedLevelsAreSubtotals="1" fieldPosition="0"/>
    </format>
    <format dxfId="2625">
      <pivotArea dataOnly="0" labelOnly="1" outline="0" fieldPosition="0">
        <references count="1">
          <reference field="3" count="0"/>
        </references>
      </pivotArea>
    </format>
    <format dxfId="2624">
      <pivotArea dataOnly="0" labelOnly="1" grandRow="1" outline="0" fieldPosition="0"/>
    </format>
    <format dxfId="2623">
      <pivotArea dataOnly="0" labelOnly="1" outline="0" fieldPosition="0">
        <references count="2">
          <reference field="3" count="1" selected="0">
            <x v="1"/>
          </reference>
          <reference field="5" count="1">
            <x v="22"/>
          </reference>
        </references>
      </pivotArea>
    </format>
    <format dxfId="2622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621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620">
      <pivotArea dataOnly="0" labelOnly="1" outline="0" fieldPosition="0">
        <references count="2">
          <reference field="3" count="1" selected="0">
            <x v="4"/>
          </reference>
          <reference field="5" count="1">
            <x v="15"/>
          </reference>
        </references>
      </pivotArea>
    </format>
    <format dxfId="2619">
      <pivotArea dataOnly="0" labelOnly="1" outline="0" fieldPosition="0">
        <references count="2">
          <reference field="3" count="1" selected="0">
            <x v="5"/>
          </reference>
          <reference field="5" count="1">
            <x v="24"/>
          </reference>
        </references>
      </pivotArea>
    </format>
    <format dxfId="2618">
      <pivotArea dataOnly="0" labelOnly="1" outline="0" fieldPosition="0">
        <references count="2">
          <reference field="3" count="1" selected="0">
            <x v="6"/>
          </reference>
          <reference field="5" count="1">
            <x v="11"/>
          </reference>
        </references>
      </pivotArea>
    </format>
    <format dxfId="2617">
      <pivotArea dataOnly="0" labelOnly="1" outline="0" fieldPosition="0">
        <references count="2">
          <reference field="3" count="1" selected="0">
            <x v="13"/>
          </reference>
          <reference field="5" count="1">
            <x v="16"/>
          </reference>
        </references>
      </pivotArea>
    </format>
    <format dxfId="2616">
      <pivotArea dataOnly="0" labelOnly="1" outline="0" fieldPosition="0">
        <references count="2">
          <reference field="3" count="1" selected="0">
            <x v="14"/>
          </reference>
          <reference field="5" count="1">
            <x v="6"/>
          </reference>
        </references>
      </pivotArea>
    </format>
    <format dxfId="2615">
      <pivotArea dataOnly="0" labelOnly="1" outline="0" fieldPosition="0">
        <references count="2">
          <reference field="3" count="1" selected="0">
            <x v="15"/>
          </reference>
          <reference field="5" count="1">
            <x v="5"/>
          </reference>
        </references>
      </pivotArea>
    </format>
    <format dxfId="2614">
      <pivotArea dataOnly="0" labelOnly="1" outline="0" fieldPosition="0">
        <references count="2">
          <reference field="3" count="1" selected="0">
            <x v="16"/>
          </reference>
          <reference field="5" count="1">
            <x v="18"/>
          </reference>
        </references>
      </pivotArea>
    </format>
    <format dxfId="2613">
      <pivotArea dataOnly="0" labelOnly="1" outline="0" fieldPosition="0">
        <references count="2">
          <reference field="3" count="1" selected="0">
            <x v="17"/>
          </reference>
          <reference field="5" count="1">
            <x v="19"/>
          </reference>
        </references>
      </pivotArea>
    </format>
    <format dxfId="2612">
      <pivotArea dataOnly="0" labelOnly="1" outline="0" fieldPosition="0">
        <references count="2">
          <reference field="3" count="1" selected="0">
            <x v="18"/>
          </reference>
          <reference field="5" count="1">
            <x v="14"/>
          </reference>
        </references>
      </pivotArea>
    </format>
    <format dxfId="2611">
      <pivotArea dataOnly="0" labelOnly="1" outline="0" fieldPosition="0">
        <references count="2">
          <reference field="3" count="1" selected="0">
            <x v="19"/>
          </reference>
          <reference field="5" count="1">
            <x v="9"/>
          </reference>
        </references>
      </pivotArea>
    </format>
    <format dxfId="2610">
      <pivotArea dataOnly="0" labelOnly="1" outline="0" fieldPosition="0">
        <references count="2">
          <reference field="3" count="1" selected="0">
            <x v="20"/>
          </reference>
          <reference field="5" count="1">
            <x v="21"/>
          </reference>
        </references>
      </pivotArea>
    </format>
    <format dxfId="2609">
      <pivotArea dataOnly="0" labelOnly="1" outline="0" fieldPosition="0">
        <references count="2">
          <reference field="3" count="1" selected="0">
            <x v="21"/>
          </reference>
          <reference field="5" count="1">
            <x v="3"/>
          </reference>
        </references>
      </pivotArea>
    </format>
    <format dxfId="2608">
      <pivotArea dataOnly="0" labelOnly="1" outline="0" fieldPosition="0">
        <references count="2">
          <reference field="3" count="1" selected="0">
            <x v="22"/>
          </reference>
          <reference field="5" count="1">
            <x v="25"/>
          </reference>
        </references>
      </pivotArea>
    </format>
    <format dxfId="2607">
      <pivotArea dataOnly="0" labelOnly="1" outline="0" fieldPosition="0">
        <references count="2">
          <reference field="3" count="1" selected="0">
            <x v="23"/>
          </reference>
          <reference field="5" count="1">
            <x v="20"/>
          </reference>
        </references>
      </pivotArea>
    </format>
    <format dxfId="2606">
      <pivotArea dataOnly="0" labelOnly="1" outline="0" fieldPosition="0">
        <references count="2">
          <reference field="3" count="1" selected="0">
            <x v="24"/>
          </reference>
          <reference field="5" count="1">
            <x v="2"/>
          </reference>
        </references>
      </pivotArea>
    </format>
    <format dxfId="2605">
      <pivotArea dataOnly="0" labelOnly="1" outline="0" fieldPosition="0">
        <references count="2">
          <reference field="3" count="1" selected="0">
            <x v="25"/>
          </reference>
          <reference field="5" count="1">
            <x v="12"/>
          </reference>
        </references>
      </pivotArea>
    </format>
    <format dxfId="2604">
      <pivotArea dataOnly="0" labelOnly="1" outline="0" fieldPosition="0">
        <references count="2">
          <reference field="3" count="1" selected="0">
            <x v="28"/>
          </reference>
          <reference field="5" count="1">
            <x v="26"/>
          </reference>
        </references>
      </pivotArea>
    </format>
    <format dxfId="2603">
      <pivotArea dataOnly="0" labelOnly="1" outline="0" fieldPosition="0">
        <references count="2">
          <reference field="3" count="1" selected="0">
            <x v="29"/>
          </reference>
          <reference field="5" count="1">
            <x v="27"/>
          </reference>
        </references>
      </pivotArea>
    </format>
    <format dxfId="2602">
      <pivotArea dataOnly="0" labelOnly="1" outline="0" fieldPosition="0">
        <references count="1">
          <reference field="3" count="1">
            <x v="0"/>
          </reference>
        </references>
      </pivotArea>
    </format>
    <format dxfId="2601">
      <pivotArea field="3" grandRow="1" outline="0" axis="axisRow" fieldPosition="0">
        <references count="1">
          <reference field="4294967294" count="1" selected="0">
            <x v="2"/>
          </reference>
        </references>
      </pivotArea>
    </format>
    <format dxfId="2600">
      <pivotArea outline="0" fieldPosition="0">
        <references count="2">
          <reference field="3" count="1" selected="0">
            <x v="1"/>
          </reference>
          <reference field="5" count="1" selected="0">
            <x v="22"/>
          </reference>
        </references>
      </pivotArea>
    </format>
    <format dxfId="2599">
      <pivotArea dataOnly="0" labelOnly="1" outline="0" fieldPosition="0">
        <references count="1">
          <reference field="3" count="1">
            <x v="1"/>
          </reference>
        </references>
      </pivotArea>
    </format>
    <format dxfId="2598">
      <pivotArea dataOnly="0" labelOnly="1" outline="0" fieldPosition="0">
        <references count="2">
          <reference field="3" count="1" selected="0">
            <x v="1"/>
          </reference>
          <reference field="5" count="1">
            <x v="22"/>
          </reference>
        </references>
      </pivotArea>
    </format>
    <format dxfId="2597">
      <pivotArea dataOnly="0" grandRow="1" outline="0" fieldPosition="0"/>
    </format>
    <format dxfId="2596">
      <pivotArea dataOnly="0" grandRow="1" outline="0" fieldPosition="0"/>
    </format>
    <format dxfId="2595">
      <pivotArea outline="0" fieldPosition="0">
        <references count="2">
          <reference field="3" count="1" selected="0">
            <x v="30"/>
          </reference>
          <reference field="5" count="1" selected="0">
            <x v="28"/>
          </reference>
        </references>
      </pivotArea>
    </format>
    <format dxfId="2594">
      <pivotArea dataOnly="0" labelOnly="1" outline="0" fieldPosition="0">
        <references count="1">
          <reference field="3" count="1">
            <x v="30"/>
          </reference>
        </references>
      </pivotArea>
    </format>
    <format dxfId="2593">
      <pivotArea dataOnly="0" labelOnly="1" outline="0" fieldPosition="0">
        <references count="2">
          <reference field="3" count="1" selected="0">
            <x v="30"/>
          </reference>
          <reference field="5" count="1">
            <x v="28"/>
          </reference>
        </references>
      </pivotArea>
    </format>
    <format dxfId="2592">
      <pivotArea outline="0" fieldPosition="0">
        <references count="2">
          <reference field="3" count="6" selected="0">
            <x v="7"/>
            <x v="8"/>
            <x v="9"/>
            <x v="10"/>
            <x v="11"/>
            <x v="12"/>
          </reference>
          <reference field="5" count="6" selected="0">
            <x v="1"/>
            <x v="4"/>
            <x v="7"/>
            <x v="8"/>
            <x v="17"/>
            <x v="23"/>
          </reference>
        </references>
      </pivotArea>
    </format>
    <format dxfId="2591">
      <pivotArea dataOnly="0" labelOnly="1" outline="0" fieldPosition="0">
        <references count="1">
          <reference field="3" count="6">
            <x v="7"/>
            <x v="8"/>
            <x v="9"/>
            <x v="10"/>
            <x v="11"/>
            <x v="12"/>
          </reference>
        </references>
      </pivotArea>
    </format>
    <format dxfId="2590">
      <pivotArea dataOnly="0" labelOnly="1" outline="0" fieldPosition="0">
        <references count="2">
          <reference field="3" count="1" selected="0">
            <x v="7"/>
          </reference>
          <reference field="5" count="1">
            <x v="7"/>
          </reference>
        </references>
      </pivotArea>
    </format>
    <format dxfId="2589">
      <pivotArea dataOnly="0" labelOnly="1" outline="0" fieldPosition="0">
        <references count="2">
          <reference field="3" count="1" selected="0">
            <x v="8"/>
          </reference>
          <reference field="5" count="1">
            <x v="8"/>
          </reference>
        </references>
      </pivotArea>
    </format>
    <format dxfId="2588">
      <pivotArea dataOnly="0" labelOnly="1" outline="0" fieldPosition="0">
        <references count="2">
          <reference field="3" count="1" selected="0">
            <x v="9"/>
          </reference>
          <reference field="5" count="1">
            <x v="23"/>
          </reference>
        </references>
      </pivotArea>
    </format>
    <format dxfId="2587">
      <pivotArea dataOnly="0" labelOnly="1" outline="0" fieldPosition="0">
        <references count="2">
          <reference field="3" count="1" selected="0">
            <x v="10"/>
          </reference>
          <reference field="5" count="1">
            <x v="4"/>
          </reference>
        </references>
      </pivotArea>
    </format>
    <format dxfId="2586">
      <pivotArea dataOnly="0" labelOnly="1" outline="0" fieldPosition="0">
        <references count="2">
          <reference field="3" count="1" selected="0">
            <x v="11"/>
          </reference>
          <reference field="5" count="1">
            <x v="17"/>
          </reference>
        </references>
      </pivotArea>
    </format>
    <format dxfId="2585">
      <pivotArea dataOnly="0" labelOnly="1" outline="0" fieldPosition="0">
        <references count="2">
          <reference field="3" count="1" selected="0">
            <x v="12"/>
          </reference>
          <reference field="5" count="1">
            <x v="1"/>
          </reference>
        </references>
      </pivotArea>
    </format>
    <format dxfId="2584">
      <pivotArea outline="0" collapsedLevelsAreSubtotals="1" fieldPosition="0"/>
    </format>
    <format dxfId="2583">
      <pivotArea dataOnly="0" labelOnly="1" outline="0" fieldPosition="0">
        <references count="1">
          <reference field="3" count="0"/>
        </references>
      </pivotArea>
    </format>
    <format dxfId="2582">
      <pivotArea dataOnly="0" labelOnly="1" grandRow="1" outline="0" fieldPosition="0"/>
    </format>
    <format dxfId="2581">
      <pivotArea dataOnly="0" labelOnly="1" outline="0" fieldPosition="0">
        <references count="2">
          <reference field="3" count="1" selected="0">
            <x v="1"/>
          </reference>
          <reference field="5" count="1">
            <x v="22"/>
          </reference>
        </references>
      </pivotArea>
    </format>
    <format dxfId="2580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579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578">
      <pivotArea dataOnly="0" labelOnly="1" outline="0" fieldPosition="0">
        <references count="2">
          <reference field="3" count="1" selected="0">
            <x v="4"/>
          </reference>
          <reference field="5" count="1">
            <x v="15"/>
          </reference>
        </references>
      </pivotArea>
    </format>
    <format dxfId="2577">
      <pivotArea dataOnly="0" labelOnly="1" outline="0" fieldPosition="0">
        <references count="2">
          <reference field="3" count="1" selected="0">
            <x v="5"/>
          </reference>
          <reference field="5" count="1">
            <x v="24"/>
          </reference>
        </references>
      </pivotArea>
    </format>
    <format dxfId="2576">
      <pivotArea dataOnly="0" labelOnly="1" outline="0" fieldPosition="0">
        <references count="2">
          <reference field="3" count="1" selected="0">
            <x v="6"/>
          </reference>
          <reference field="5" count="1">
            <x v="11"/>
          </reference>
        </references>
      </pivotArea>
    </format>
    <format dxfId="2575">
      <pivotArea dataOnly="0" labelOnly="1" outline="0" fieldPosition="0">
        <references count="2">
          <reference field="3" count="1" selected="0">
            <x v="7"/>
          </reference>
          <reference field="5" count="1">
            <x v="7"/>
          </reference>
        </references>
      </pivotArea>
    </format>
    <format dxfId="2574">
      <pivotArea dataOnly="0" labelOnly="1" outline="0" fieldPosition="0">
        <references count="2">
          <reference field="3" count="1" selected="0">
            <x v="8"/>
          </reference>
          <reference field="5" count="1">
            <x v="8"/>
          </reference>
        </references>
      </pivotArea>
    </format>
    <format dxfId="2573">
      <pivotArea dataOnly="0" labelOnly="1" outline="0" fieldPosition="0">
        <references count="2">
          <reference field="3" count="1" selected="0">
            <x v="9"/>
          </reference>
          <reference field="5" count="1">
            <x v="23"/>
          </reference>
        </references>
      </pivotArea>
    </format>
    <format dxfId="2572">
      <pivotArea dataOnly="0" labelOnly="1" outline="0" fieldPosition="0">
        <references count="2">
          <reference field="3" count="1" selected="0">
            <x v="10"/>
          </reference>
          <reference field="5" count="1">
            <x v="4"/>
          </reference>
        </references>
      </pivotArea>
    </format>
    <format dxfId="2571">
      <pivotArea dataOnly="0" labelOnly="1" outline="0" fieldPosition="0">
        <references count="2">
          <reference field="3" count="1" selected="0">
            <x v="11"/>
          </reference>
          <reference field="5" count="1">
            <x v="17"/>
          </reference>
        </references>
      </pivotArea>
    </format>
    <format dxfId="2570">
      <pivotArea dataOnly="0" labelOnly="1" outline="0" fieldPosition="0">
        <references count="2">
          <reference field="3" count="1" selected="0">
            <x v="12"/>
          </reference>
          <reference field="5" count="1">
            <x v="1"/>
          </reference>
        </references>
      </pivotArea>
    </format>
    <format dxfId="2569">
      <pivotArea dataOnly="0" labelOnly="1" outline="0" fieldPosition="0">
        <references count="2">
          <reference field="3" count="1" selected="0">
            <x v="13"/>
          </reference>
          <reference field="5" count="1">
            <x v="16"/>
          </reference>
        </references>
      </pivotArea>
    </format>
    <format dxfId="2568">
      <pivotArea dataOnly="0" labelOnly="1" outline="0" fieldPosition="0">
        <references count="2">
          <reference field="3" count="1" selected="0">
            <x v="14"/>
          </reference>
          <reference field="5" count="1">
            <x v="6"/>
          </reference>
        </references>
      </pivotArea>
    </format>
    <format dxfId="2567">
      <pivotArea dataOnly="0" labelOnly="1" outline="0" fieldPosition="0">
        <references count="2">
          <reference field="3" count="1" selected="0">
            <x v="15"/>
          </reference>
          <reference field="5" count="1">
            <x v="5"/>
          </reference>
        </references>
      </pivotArea>
    </format>
    <format dxfId="2566">
      <pivotArea dataOnly="0" labelOnly="1" outline="0" fieldPosition="0">
        <references count="2">
          <reference field="3" count="1" selected="0">
            <x v="16"/>
          </reference>
          <reference field="5" count="1">
            <x v="18"/>
          </reference>
        </references>
      </pivotArea>
    </format>
    <format dxfId="2565">
      <pivotArea dataOnly="0" labelOnly="1" outline="0" fieldPosition="0">
        <references count="2">
          <reference field="3" count="1" selected="0">
            <x v="17"/>
          </reference>
          <reference field="5" count="1">
            <x v="19"/>
          </reference>
        </references>
      </pivotArea>
    </format>
    <format dxfId="2564">
      <pivotArea dataOnly="0" labelOnly="1" outline="0" fieldPosition="0">
        <references count="2">
          <reference field="3" count="1" selected="0">
            <x v="18"/>
          </reference>
          <reference field="5" count="1">
            <x v="14"/>
          </reference>
        </references>
      </pivotArea>
    </format>
    <format dxfId="2563">
      <pivotArea dataOnly="0" labelOnly="1" outline="0" fieldPosition="0">
        <references count="2">
          <reference field="3" count="1" selected="0">
            <x v="19"/>
          </reference>
          <reference field="5" count="1">
            <x v="9"/>
          </reference>
        </references>
      </pivotArea>
    </format>
    <format dxfId="2562">
      <pivotArea dataOnly="0" labelOnly="1" outline="0" fieldPosition="0">
        <references count="2">
          <reference field="3" count="1" selected="0">
            <x v="20"/>
          </reference>
          <reference field="5" count="1">
            <x v="21"/>
          </reference>
        </references>
      </pivotArea>
    </format>
    <format dxfId="2561">
      <pivotArea dataOnly="0" labelOnly="1" outline="0" fieldPosition="0">
        <references count="2">
          <reference field="3" count="1" selected="0">
            <x v="21"/>
          </reference>
          <reference field="5" count="1">
            <x v="3"/>
          </reference>
        </references>
      </pivotArea>
    </format>
    <format dxfId="2560">
      <pivotArea dataOnly="0" labelOnly="1" outline="0" fieldPosition="0">
        <references count="2">
          <reference field="3" count="1" selected="0">
            <x v="22"/>
          </reference>
          <reference field="5" count="1">
            <x v="25"/>
          </reference>
        </references>
      </pivotArea>
    </format>
    <format dxfId="2559">
      <pivotArea dataOnly="0" labelOnly="1" outline="0" fieldPosition="0">
        <references count="2">
          <reference field="3" count="1" selected="0">
            <x v="23"/>
          </reference>
          <reference field="5" count="1">
            <x v="20"/>
          </reference>
        </references>
      </pivotArea>
    </format>
    <format dxfId="2558">
      <pivotArea dataOnly="0" labelOnly="1" outline="0" fieldPosition="0">
        <references count="2">
          <reference field="3" count="1" selected="0">
            <x v="24"/>
          </reference>
          <reference field="5" count="1">
            <x v="2"/>
          </reference>
        </references>
      </pivotArea>
    </format>
    <format dxfId="2557">
      <pivotArea dataOnly="0" labelOnly="1" outline="0" fieldPosition="0">
        <references count="2">
          <reference field="3" count="1" selected="0">
            <x v="25"/>
          </reference>
          <reference field="5" count="1">
            <x v="12"/>
          </reference>
        </references>
      </pivotArea>
    </format>
    <format dxfId="2556">
      <pivotArea dataOnly="0" labelOnly="1" outline="0" fieldPosition="0">
        <references count="2">
          <reference field="3" count="1" selected="0">
            <x v="28"/>
          </reference>
          <reference field="5" count="1">
            <x v="26"/>
          </reference>
        </references>
      </pivotArea>
    </format>
    <format dxfId="2555">
      <pivotArea dataOnly="0" labelOnly="1" outline="0" fieldPosition="0">
        <references count="2">
          <reference field="3" count="1" selected="0">
            <x v="29"/>
          </reference>
          <reference field="5" count="1">
            <x v="27"/>
          </reference>
        </references>
      </pivotArea>
    </format>
    <format dxfId="2554">
      <pivotArea dataOnly="0" labelOnly="1" outline="0" fieldPosition="0">
        <references count="2">
          <reference field="3" count="1" selected="0">
            <x v="30"/>
          </reference>
          <reference field="5" count="1">
            <x v="28"/>
          </reference>
        </references>
      </pivotArea>
    </format>
    <format dxfId="2553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552">
      <pivotArea dataOnly="0" labelOnly="1" outline="0" fieldPosition="0">
        <references count="2">
          <reference field="3" count="1" selected="0">
            <x v="30"/>
          </reference>
          <reference field="5" count="1"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98554-1481-42AC-B42F-CE1AC00C209A}" name="PivotTable1" cacheId="37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gridDropZones="1" multipleFieldFilters="0">
  <location ref="A3:V58" firstHeaderRow="1" firstDataRow="2" firstDataCol="3"/>
  <pivotFields count="18">
    <pivotField compact="0" outline="0" showAll="0"/>
    <pivotField compact="0" outline="0" showAll="0"/>
    <pivotField axis="axisCol" compact="0" outline="0" showAll="0">
      <items count="19">
        <item x="15"/>
        <item x="14"/>
        <item x="0"/>
        <item x="9"/>
        <item x="3"/>
        <item x="2"/>
        <item x="16"/>
        <item x="17"/>
        <item x="8"/>
        <item x="7"/>
        <item x="11"/>
        <item x="4"/>
        <item x="5"/>
        <item x="6"/>
        <item x="10"/>
        <item x="12"/>
        <item x="1"/>
        <item x="13"/>
        <item t="default"/>
      </items>
    </pivotField>
    <pivotField axis="axisRow" compact="0" outline="0" showAll="0" defaultSubtotal="0">
      <items count="53">
        <item x="1"/>
        <item x="33"/>
        <item x="2"/>
        <item x="3"/>
        <item x="4"/>
        <item x="34"/>
        <item x="5"/>
        <item x="6"/>
        <item x="7"/>
        <item x="8"/>
        <item x="9"/>
        <item x="10"/>
        <item x="12"/>
        <item x="13"/>
        <item x="37"/>
        <item x="38"/>
        <item x="35"/>
        <item x="11"/>
        <item x="14"/>
        <item x="15"/>
        <item x="16"/>
        <item x="40"/>
        <item x="20"/>
        <item x="23"/>
        <item x="29"/>
        <item x="21"/>
        <item x="30"/>
        <item x="22"/>
        <item x="31"/>
        <item x="47"/>
        <item x="32"/>
        <item x="36"/>
        <item x="39"/>
        <item x="24"/>
        <item x="41"/>
        <item x="52"/>
        <item x="42"/>
        <item x="19"/>
        <item x="25"/>
        <item x="48"/>
        <item x="27"/>
        <item x="43"/>
        <item x="0"/>
        <item x="26"/>
        <item x="44"/>
        <item x="49"/>
        <item x="50"/>
        <item x="28"/>
        <item x="45"/>
        <item x="51"/>
        <item x="18"/>
        <item x="46"/>
        <item x="17"/>
      </items>
    </pivotField>
    <pivotField compact="0" outline="0" showAll="0"/>
    <pivotField axis="axisRow" compact="0" outline="0" showAll="0" defaultSubtotal="0">
      <items count="53">
        <item x="2"/>
        <item x="8"/>
        <item x="13"/>
        <item x="11"/>
        <item x="7"/>
        <item x="35"/>
        <item x="9"/>
        <item x="34"/>
        <item x="5"/>
        <item x="10"/>
        <item x="3"/>
        <item x="37"/>
        <item x="33"/>
        <item x="6"/>
        <item x="4"/>
        <item x="12"/>
        <item x="15"/>
        <item x="16"/>
        <item x="40"/>
        <item x="20"/>
        <item x="0"/>
        <item x="23"/>
        <item x="29"/>
        <item x="21"/>
        <item x="30"/>
        <item x="22"/>
        <item x="31"/>
        <item x="47"/>
        <item x="32"/>
        <item x="36"/>
        <item x="39"/>
        <item x="24"/>
        <item x="14"/>
        <item x="1"/>
        <item x="41"/>
        <item x="48"/>
        <item x="52"/>
        <item x="19"/>
        <item x="42"/>
        <item x="25"/>
        <item x="27"/>
        <item x="38"/>
        <item x="26"/>
        <item x="43"/>
        <item x="44"/>
        <item x="49"/>
        <item x="50"/>
        <item x="28"/>
        <item x="45"/>
        <item x="51"/>
        <item x="18"/>
        <item x="46"/>
        <item x="17"/>
      </items>
    </pivotField>
    <pivotField axis="axisRow" compact="0" outline="0" showAll="0">
      <items count="8">
        <item x="1"/>
        <item x="2"/>
        <item x="0"/>
        <item x="3"/>
        <item x="5"/>
        <item x="4"/>
        <item x="6"/>
        <item t="default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</pivotFields>
  <rowFields count="3">
    <field x="3"/>
    <field x="5"/>
    <field x="6"/>
  </rowFields>
  <rowItems count="54">
    <i>
      <x/>
      <x v="33"/>
      <x/>
    </i>
    <i>
      <x v="1"/>
      <x v="12"/>
      <x/>
    </i>
    <i>
      <x v="2"/>
      <x/>
      <x/>
    </i>
    <i>
      <x v="3"/>
      <x v="10"/>
      <x/>
    </i>
    <i>
      <x v="4"/>
      <x v="14"/>
      <x/>
    </i>
    <i>
      <x v="5"/>
      <x v="7"/>
      <x/>
    </i>
    <i>
      <x v="6"/>
      <x v="8"/>
      <x/>
    </i>
    <i>
      <x v="7"/>
      <x v="13"/>
      <x/>
    </i>
    <i>
      <x v="8"/>
      <x v="4"/>
      <x/>
    </i>
    <i>
      <x v="9"/>
      <x v="1"/>
      <x/>
    </i>
    <i>
      <x v="10"/>
      <x v="6"/>
      <x/>
    </i>
    <i>
      <x v="11"/>
      <x v="9"/>
      <x/>
    </i>
    <i>
      <x v="12"/>
      <x v="15"/>
      <x/>
    </i>
    <i>
      <x v="13"/>
      <x v="2"/>
      <x/>
    </i>
    <i>
      <x v="14"/>
      <x v="11"/>
      <x/>
    </i>
    <i>
      <x v="15"/>
      <x v="41"/>
      <x/>
    </i>
    <i>
      <x v="16"/>
      <x v="5"/>
      <x/>
    </i>
    <i>
      <x v="17"/>
      <x v="3"/>
      <x/>
    </i>
    <i>
      <x v="18"/>
      <x v="32"/>
      <x/>
    </i>
    <i>
      <x v="19"/>
      <x v="16"/>
      <x/>
    </i>
    <i>
      <x v="20"/>
      <x v="17"/>
      <x/>
    </i>
    <i>
      <x v="21"/>
      <x v="18"/>
      <x/>
    </i>
    <i>
      <x v="22"/>
      <x v="19"/>
      <x v="1"/>
    </i>
    <i>
      <x v="23"/>
      <x v="21"/>
      <x v="5"/>
    </i>
    <i>
      <x v="24"/>
      <x v="22"/>
      <x v="3"/>
    </i>
    <i>
      <x v="25"/>
      <x v="23"/>
      <x v="3"/>
    </i>
    <i>
      <x v="26"/>
      <x v="24"/>
      <x v="3"/>
    </i>
    <i>
      <x v="27"/>
      <x v="25"/>
      <x v="3"/>
    </i>
    <i>
      <x v="28"/>
      <x v="26"/>
      <x v="3"/>
    </i>
    <i>
      <x v="29"/>
      <x v="27"/>
      <x v="3"/>
    </i>
    <i>
      <x v="30"/>
      <x v="28"/>
      <x v="3"/>
    </i>
    <i>
      <x v="31"/>
      <x v="29"/>
      <x v="4"/>
    </i>
    <i>
      <x v="32"/>
      <x v="30"/>
      <x v="4"/>
    </i>
    <i>
      <x v="33"/>
      <x v="31"/>
      <x v="1"/>
    </i>
    <i>
      <x v="34"/>
      <x v="34"/>
      <x/>
    </i>
    <i>
      <x v="35"/>
      <x v="36"/>
      <x/>
    </i>
    <i>
      <x v="36"/>
      <x v="38"/>
      <x/>
    </i>
    <i>
      <x v="37"/>
      <x v="37"/>
      <x/>
    </i>
    <i>
      <x v="38"/>
      <x v="39"/>
      <x/>
    </i>
    <i>
      <x v="39"/>
      <x v="35"/>
      <x/>
    </i>
    <i>
      <x v="40"/>
      <x v="40"/>
      <x/>
    </i>
    <i>
      <x v="41"/>
      <x v="43"/>
      <x v="5"/>
    </i>
    <i>
      <x v="42"/>
      <x v="20"/>
      <x v="2"/>
    </i>
    <i>
      <x v="43"/>
      <x v="42"/>
      <x v="1"/>
    </i>
    <i>
      <x v="44"/>
      <x v="44"/>
      <x v="1"/>
    </i>
    <i>
      <x v="45"/>
      <x v="45"/>
      <x v="2"/>
    </i>
    <i>
      <x v="46"/>
      <x v="46"/>
      <x v="2"/>
    </i>
    <i>
      <x v="47"/>
      <x v="47"/>
      <x v="2"/>
    </i>
    <i>
      <x v="48"/>
      <x v="48"/>
      <x v="2"/>
    </i>
    <i>
      <x v="49"/>
      <x v="49"/>
      <x/>
    </i>
    <i>
      <x v="50"/>
      <x v="50"/>
      <x v="1"/>
    </i>
    <i>
      <x v="51"/>
      <x v="51"/>
      <x v="6"/>
    </i>
    <i>
      <x v="52"/>
      <x v="52"/>
      <x/>
    </i>
    <i t="grand">
      <x/>
    </i>
  </rowItems>
  <colFields count="1">
    <field x="2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F Pendency" fld="15" baseField="0" baseItem="0" numFmtId="1"/>
  </dataFields>
  <formats count="93">
    <format dxfId="2551">
      <pivotArea outline="0" fieldPosition="0">
        <references count="4">
          <reference field="2" count="1" selected="0">
            <x v="1"/>
          </reference>
          <reference field="3" count="1" selected="0">
            <x v="3"/>
          </reference>
          <reference field="5" count="1" selected="0">
            <x v="10"/>
          </reference>
          <reference field="6" count="1" selected="0">
            <x v="0"/>
          </reference>
        </references>
      </pivotArea>
    </format>
    <format dxfId="2550">
      <pivotArea outline="0" collapsedLevelsAreSubtotals="1" fieldPosition="0"/>
    </format>
    <format dxfId="2549">
      <pivotArea outline="0" collapsedLevelsAreSubtotals="1" fieldPosition="0"/>
    </format>
    <format dxfId="2548">
      <pivotArea field="2" type="button" dataOnly="0" labelOnly="1" outline="0" axis="axisCol" fieldPosition="0"/>
    </format>
    <format dxfId="2547">
      <pivotArea type="topRight" dataOnly="0" labelOnly="1" outline="0" fieldPosition="0"/>
    </format>
    <format dxfId="2546">
      <pivotArea dataOnly="0" labelOnly="1" outline="0" fieldPosition="0">
        <references count="1">
          <reference field="2" count="0"/>
        </references>
      </pivotArea>
    </format>
    <format dxfId="2545">
      <pivotArea dataOnly="0" labelOnly="1" grandCol="1" outline="0" fieldPosition="0"/>
    </format>
    <format dxfId="2544">
      <pivotArea field="3" type="button" dataOnly="0" labelOnly="1" outline="0" axis="axisRow" fieldPosition="0"/>
    </format>
    <format dxfId="2543">
      <pivotArea field="5" type="button" dataOnly="0" labelOnly="1" outline="0" axis="axisRow" fieldPosition="1"/>
    </format>
    <format dxfId="2542">
      <pivotArea field="6" type="button" dataOnly="0" labelOnly="1" outline="0" axis="axisRow" fieldPosition="2"/>
    </format>
    <format dxfId="2541">
      <pivotArea dataOnly="0" labelOnly="1" outline="0" fieldPosition="0">
        <references count="1">
          <reference field="2" count="0"/>
        </references>
      </pivotArea>
    </format>
    <format dxfId="2540">
      <pivotArea dataOnly="0" labelOnly="1" grandCol="1" outline="0" fieldPosition="0"/>
    </format>
    <format dxfId="2539">
      <pivotArea field="3" type="button" dataOnly="0" labelOnly="1" outline="0" axis="axisRow" fieldPosition="0"/>
    </format>
    <format dxfId="2538">
      <pivotArea field="5" type="button" dataOnly="0" labelOnly="1" outline="0" axis="axisRow" fieldPosition="1"/>
    </format>
    <format dxfId="2537">
      <pivotArea field="6" type="button" dataOnly="0" labelOnly="1" outline="0" axis="axisRow" fieldPosition="2"/>
    </format>
    <format dxfId="2536">
      <pivotArea dataOnly="0" labelOnly="1" outline="0" fieldPosition="0">
        <references count="1">
          <reference field="2" count="0"/>
        </references>
      </pivotArea>
    </format>
    <format dxfId="2535">
      <pivotArea dataOnly="0" labelOnly="1" grandCol="1" outline="0" fieldPosition="0"/>
    </format>
    <format dxfId="2534">
      <pivotArea dataOnly="0" labelOnly="1" outline="0" fieldPosition="0">
        <references count="1">
          <reference field="2" count="2">
            <x v="14"/>
            <x v="15"/>
          </reference>
        </references>
      </pivotArea>
    </format>
    <format dxfId="2533">
      <pivotArea type="all" dataOnly="0" outline="0" fieldPosition="0"/>
    </format>
    <format dxfId="2532">
      <pivotArea outline="0" collapsedLevelsAreSubtotals="1" fieldPosition="0"/>
    </format>
    <format dxfId="2531">
      <pivotArea type="origin" dataOnly="0" labelOnly="1" outline="0" fieldPosition="0"/>
    </format>
    <format dxfId="2530">
      <pivotArea field="2" type="button" dataOnly="0" labelOnly="1" outline="0" axis="axisCol" fieldPosition="0"/>
    </format>
    <format dxfId="2529">
      <pivotArea type="topRight" dataOnly="0" labelOnly="1" outline="0" fieldPosition="0"/>
    </format>
    <format dxfId="2528">
      <pivotArea field="3" type="button" dataOnly="0" labelOnly="1" outline="0" axis="axisRow" fieldPosition="0"/>
    </format>
    <format dxfId="2527">
      <pivotArea field="5" type="button" dataOnly="0" labelOnly="1" outline="0" axis="axisRow" fieldPosition="1"/>
    </format>
    <format dxfId="2526">
      <pivotArea field="6" type="button" dataOnly="0" labelOnly="1" outline="0" axis="axisRow" fieldPosition="2"/>
    </format>
    <format dxfId="2525">
      <pivotArea dataOnly="0" labelOnly="1" outline="0" fieldPosition="0">
        <references count="1">
          <reference field="3" count="0"/>
        </references>
      </pivotArea>
    </format>
    <format dxfId="2524">
      <pivotArea dataOnly="0" labelOnly="1" grandRow="1" outline="0" fieldPosition="0"/>
    </format>
    <format dxfId="2523">
      <pivotArea dataOnly="0" labelOnly="1" outline="0" fieldPosition="0">
        <references count="2">
          <reference field="3" count="1" selected="0">
            <x v="1"/>
          </reference>
          <reference field="5" count="1">
            <x v="12"/>
          </reference>
        </references>
      </pivotArea>
    </format>
    <format dxfId="2522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521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520">
      <pivotArea dataOnly="0" labelOnly="1" outline="0" fieldPosition="0">
        <references count="2">
          <reference field="3" count="1" selected="0">
            <x v="4"/>
          </reference>
          <reference field="5" count="1">
            <x v="14"/>
          </reference>
        </references>
      </pivotArea>
    </format>
    <format dxfId="2519">
      <pivotArea dataOnly="0" labelOnly="1" outline="0" fieldPosition="0">
        <references count="2">
          <reference field="3" count="1" selected="0">
            <x v="5"/>
          </reference>
          <reference field="5" count="1">
            <x v="7"/>
          </reference>
        </references>
      </pivotArea>
    </format>
    <format dxfId="2518">
      <pivotArea dataOnly="0" labelOnly="1" outline="0" fieldPosition="0">
        <references count="2">
          <reference field="3" count="1" selected="0">
            <x v="6"/>
          </reference>
          <reference field="5" count="2">
            <x v="8"/>
            <x v="18"/>
          </reference>
        </references>
      </pivotArea>
    </format>
    <format dxfId="2517">
      <pivotArea dataOnly="0" labelOnly="1" outline="0" fieldPosition="0">
        <references count="2">
          <reference field="3" count="1" selected="0">
            <x v="7"/>
          </reference>
          <reference field="5" count="1">
            <x v="13"/>
          </reference>
        </references>
      </pivotArea>
    </format>
    <format dxfId="2516">
      <pivotArea dataOnly="0" labelOnly="1" outline="0" fieldPosition="0">
        <references count="2">
          <reference field="3" count="1" selected="0">
            <x v="8"/>
          </reference>
          <reference field="5" count="1">
            <x v="4"/>
          </reference>
        </references>
      </pivotArea>
    </format>
    <format dxfId="2515">
      <pivotArea dataOnly="0" labelOnly="1" outline="0" fieldPosition="0">
        <references count="2">
          <reference field="3" count="1" selected="0">
            <x v="9"/>
          </reference>
          <reference field="5" count="1">
            <x v="1"/>
          </reference>
        </references>
      </pivotArea>
    </format>
    <format dxfId="2514">
      <pivotArea dataOnly="0" labelOnly="1" outline="0" fieldPosition="0">
        <references count="2">
          <reference field="3" count="1" selected="0">
            <x v="10"/>
          </reference>
          <reference field="5" count="1">
            <x v="6"/>
          </reference>
        </references>
      </pivotArea>
    </format>
    <format dxfId="2513">
      <pivotArea dataOnly="0" labelOnly="1" outline="0" fieldPosition="0">
        <references count="2">
          <reference field="3" count="1" selected="0">
            <x v="11"/>
          </reference>
          <reference field="5" count="1">
            <x v="9"/>
          </reference>
        </references>
      </pivotArea>
    </format>
    <format dxfId="2512">
      <pivotArea dataOnly="0" labelOnly="1" outline="0" fieldPosition="0">
        <references count="2">
          <reference field="3" count="1" selected="0">
            <x v="12"/>
          </reference>
          <reference field="5" count="1">
            <x v="15"/>
          </reference>
        </references>
      </pivotArea>
    </format>
    <format dxfId="2511">
      <pivotArea dataOnly="0" labelOnly="1" outline="0" fieldPosition="0">
        <references count="2">
          <reference field="3" count="1" selected="0">
            <x v="13"/>
          </reference>
          <reference field="5" count="1">
            <x v="2"/>
          </reference>
        </references>
      </pivotArea>
    </format>
    <format dxfId="2510">
      <pivotArea dataOnly="0" labelOnly="1" outline="0" fieldPosition="0">
        <references count="2">
          <reference field="3" count="1" selected="0">
            <x v="14"/>
          </reference>
          <reference field="5" count="1">
            <x v="11"/>
          </reference>
        </references>
      </pivotArea>
    </format>
    <format dxfId="2509">
      <pivotArea dataOnly="0" labelOnly="1" outline="0" fieldPosition="0">
        <references count="2">
          <reference field="3" count="1" selected="0">
            <x v="16"/>
          </reference>
          <reference field="5" count="1">
            <x v="5"/>
          </reference>
        </references>
      </pivotArea>
    </format>
    <format dxfId="2508">
      <pivotArea dataOnly="0" labelOnly="1" outline="0" fieldPosition="0">
        <references count="2">
          <reference field="3" count="1" selected="0">
            <x v="17"/>
          </reference>
          <reference field="5" count="1">
            <x v="3"/>
          </reference>
        </references>
      </pivotArea>
    </format>
    <format dxfId="2507">
      <pivotArea dataOnly="0" labelOnly="1" outline="0" fieldPosition="0">
        <references count="2">
          <reference field="3" count="1" selected="0">
            <x v="19"/>
          </reference>
          <reference field="5" count="1">
            <x v="16"/>
          </reference>
        </references>
      </pivotArea>
    </format>
    <format dxfId="2506">
      <pivotArea dataOnly="0" labelOnly="1" outline="0" fieldPosition="0">
        <references count="2">
          <reference field="3" count="1" selected="0">
            <x v="20"/>
          </reference>
          <reference field="5" count="1">
            <x v="17"/>
          </reference>
        </references>
      </pivotArea>
    </format>
    <format dxfId="2505">
      <pivotArea dataOnly="0" labelOnly="1" outline="0" fieldPosition="0">
        <references count="2">
          <reference field="3" count="1" selected="0">
            <x v="21"/>
          </reference>
          <reference field="5" count="1">
            <x v="18"/>
          </reference>
        </references>
      </pivotArea>
    </format>
    <format dxfId="2504">
      <pivotArea dataOnly="0" labelOnly="1" outline="0" fieldPosition="0">
        <references count="2">
          <reference field="3" count="1" selected="0">
            <x v="22"/>
          </reference>
          <reference field="5" count="1">
            <x v="19"/>
          </reference>
        </references>
      </pivotArea>
    </format>
    <format dxfId="2503">
      <pivotArea dataOnly="0" labelOnly="1" outline="0" fieldPosition="0">
        <references count="2">
          <reference field="3" count="1" selected="0">
            <x v="23"/>
          </reference>
          <reference field="5" count="1">
            <x v="21"/>
          </reference>
        </references>
      </pivotArea>
    </format>
    <format dxfId="2502">
      <pivotArea dataOnly="0" labelOnly="1" outline="0" fieldPosition="0">
        <references count="2">
          <reference field="3" count="1" selected="0">
            <x v="24"/>
          </reference>
          <reference field="5" count="1">
            <x v="22"/>
          </reference>
        </references>
      </pivotArea>
    </format>
    <format dxfId="2501">
      <pivotArea dataOnly="0" labelOnly="1" outline="0" fieldPosition="0">
        <references count="2">
          <reference field="3" count="1" selected="0">
            <x v="25"/>
          </reference>
          <reference field="5" count="1">
            <x v="23"/>
          </reference>
        </references>
      </pivotArea>
    </format>
    <format dxfId="2500">
      <pivotArea dataOnly="0" labelOnly="1" outline="0" fieldPosition="0">
        <references count="2">
          <reference field="3" count="1" selected="0">
            <x v="26"/>
          </reference>
          <reference field="5" count="1">
            <x v="24"/>
          </reference>
        </references>
      </pivotArea>
    </format>
    <format dxfId="2499">
      <pivotArea dataOnly="0" labelOnly="1" outline="0" fieldPosition="0">
        <references count="2">
          <reference field="3" count="1" selected="0">
            <x v="27"/>
          </reference>
          <reference field="5" count="1">
            <x v="25"/>
          </reference>
        </references>
      </pivotArea>
    </format>
    <format dxfId="2498">
      <pivotArea dataOnly="0" labelOnly="1" outline="0" fieldPosition="0">
        <references count="2">
          <reference field="3" count="1" selected="0">
            <x v="28"/>
          </reference>
          <reference field="5" count="1">
            <x v="26"/>
          </reference>
        </references>
      </pivotArea>
    </format>
    <format dxfId="2497">
      <pivotArea dataOnly="0" labelOnly="1" outline="0" fieldPosition="0">
        <references count="2">
          <reference field="3" count="1" selected="0">
            <x v="29"/>
          </reference>
          <reference field="5" count="1">
            <x v="27"/>
          </reference>
        </references>
      </pivotArea>
    </format>
    <format dxfId="2496">
      <pivotArea dataOnly="0" labelOnly="1" outline="0" fieldPosition="0">
        <references count="2">
          <reference field="3" count="1" selected="0">
            <x v="30"/>
          </reference>
          <reference field="5" count="1">
            <x v="28"/>
          </reference>
        </references>
      </pivotArea>
    </format>
    <format dxfId="2495">
      <pivotArea dataOnly="0" labelOnly="1" outline="0" fieldPosition="0">
        <references count="2">
          <reference field="3" count="1" selected="0">
            <x v="31"/>
          </reference>
          <reference field="5" count="1">
            <x v="29"/>
          </reference>
        </references>
      </pivotArea>
    </format>
    <format dxfId="2494">
      <pivotArea dataOnly="0" labelOnly="1" outline="0" fieldPosition="0">
        <references count="2">
          <reference field="3" count="1" selected="0">
            <x v="32"/>
          </reference>
          <reference field="5" count="1">
            <x v="30"/>
          </reference>
        </references>
      </pivotArea>
    </format>
    <format dxfId="2493">
      <pivotArea dataOnly="0" labelOnly="1" outline="0" fieldPosition="0">
        <references count="2">
          <reference field="3" count="1" selected="0">
            <x v="33"/>
          </reference>
          <reference field="5" count="1">
            <x v="31"/>
          </reference>
        </references>
      </pivotArea>
    </format>
    <format dxfId="2492">
      <pivotArea dataOnly="0" labelOnly="1" outline="0" fieldPosition="0">
        <references count="3">
          <reference field="3" count="1" selected="0">
            <x v="1"/>
          </reference>
          <reference field="5" count="1" selected="0">
            <x v="12"/>
          </reference>
          <reference field="6" count="1">
            <x v="0"/>
          </reference>
        </references>
      </pivotArea>
    </format>
    <format dxfId="2491">
      <pivotArea dataOnly="0" labelOnly="1" outline="0" fieldPosition="0">
        <references count="3">
          <reference field="3" count="1" selected="0">
            <x v="2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2490">
      <pivotArea dataOnly="0" labelOnly="1" outline="0" fieldPosition="0">
        <references count="3">
          <reference field="3" count="1" selected="0">
            <x v="3"/>
          </reference>
          <reference field="5" count="1" selected="0">
            <x v="10"/>
          </reference>
          <reference field="6" count="1">
            <x v="0"/>
          </reference>
        </references>
      </pivotArea>
    </format>
    <format dxfId="2489">
      <pivotArea dataOnly="0" labelOnly="1" outline="0" fieldPosition="0">
        <references count="3">
          <reference field="3" count="1" selected="0">
            <x v="4"/>
          </reference>
          <reference field="5" count="1" selected="0">
            <x v="14"/>
          </reference>
          <reference field="6" count="1">
            <x v="0"/>
          </reference>
        </references>
      </pivotArea>
    </format>
    <format dxfId="2488">
      <pivotArea dataOnly="0" labelOnly="1" outline="0" fieldPosition="0">
        <references count="3">
          <reference field="3" count="1" selected="0">
            <x v="5"/>
          </reference>
          <reference field="5" count="1" selected="0">
            <x v="7"/>
          </reference>
          <reference field="6" count="1">
            <x v="0"/>
          </reference>
        </references>
      </pivotArea>
    </format>
    <format dxfId="2487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8"/>
          </reference>
          <reference field="6" count="1">
            <x v="0"/>
          </reference>
        </references>
      </pivotArea>
    </format>
    <format dxfId="2486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18"/>
          </reference>
          <reference field="6" count="1">
            <x v="0"/>
          </reference>
        </references>
      </pivotArea>
    </format>
    <format dxfId="2485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13"/>
          </reference>
          <reference field="6" count="1">
            <x v="0"/>
          </reference>
        </references>
      </pivotArea>
    </format>
    <format dxfId="2484">
      <pivotArea dataOnly="0" labelOnly="1" outline="0" fieldPosition="0">
        <references count="3">
          <reference field="3" count="1" selected="0">
            <x v="8"/>
          </reference>
          <reference field="5" count="1" selected="0">
            <x v="4"/>
          </reference>
          <reference field="6" count="1">
            <x v="0"/>
          </reference>
        </references>
      </pivotArea>
    </format>
    <format dxfId="2483">
      <pivotArea dataOnly="0" labelOnly="1" outline="0" fieldPosition="0">
        <references count="3">
          <reference field="3" count="1" selected="0">
            <x v="9"/>
          </reference>
          <reference field="5" count="1" selected="0">
            <x v="1"/>
          </reference>
          <reference field="6" count="1">
            <x v="0"/>
          </reference>
        </references>
      </pivotArea>
    </format>
    <format dxfId="2482">
      <pivotArea dataOnly="0" labelOnly="1" outline="0" fieldPosition="0">
        <references count="3">
          <reference field="3" count="1" selected="0">
            <x v="10"/>
          </reference>
          <reference field="5" count="1" selected="0">
            <x v="6"/>
          </reference>
          <reference field="6" count="1">
            <x v="0"/>
          </reference>
        </references>
      </pivotArea>
    </format>
    <format dxfId="2481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9"/>
          </reference>
          <reference field="6" count="1">
            <x v="0"/>
          </reference>
        </references>
      </pivotArea>
    </format>
    <format dxfId="2480">
      <pivotArea dataOnly="0" labelOnly="1" outline="0" fieldPosition="0">
        <references count="3">
          <reference field="3" count="1" selected="0">
            <x v="12"/>
          </reference>
          <reference field="5" count="1" selected="0">
            <x v="15"/>
          </reference>
          <reference field="6" count="1">
            <x v="0"/>
          </reference>
        </references>
      </pivotArea>
    </format>
    <format dxfId="2479">
      <pivotArea dataOnly="0" labelOnly="1" outline="0" fieldPosition="0">
        <references count="3">
          <reference field="3" count="1" selected="0">
            <x v="13"/>
          </reference>
          <reference field="5" count="1" selected="0">
            <x v="2"/>
          </reference>
          <reference field="6" count="1">
            <x v="0"/>
          </reference>
        </references>
      </pivotArea>
    </format>
    <format dxfId="2478">
      <pivotArea dataOnly="0" labelOnly="1" outline="0" fieldPosition="0">
        <references count="3">
          <reference field="3" count="1" selected="0">
            <x v="14"/>
          </reference>
          <reference field="5" count="1" selected="0">
            <x v="11"/>
          </reference>
          <reference field="6" count="1">
            <x v="0"/>
          </reference>
        </references>
      </pivotArea>
    </format>
    <format dxfId="2477">
      <pivotArea dataOnly="0" labelOnly="1" outline="0" fieldPosition="0">
        <references count="3">
          <reference field="3" count="1" selected="0">
            <x v="16"/>
          </reference>
          <reference field="5" count="1" selected="0">
            <x v="5"/>
          </reference>
          <reference field="6" count="1">
            <x v="0"/>
          </reference>
        </references>
      </pivotArea>
    </format>
    <format dxfId="2476">
      <pivotArea dataOnly="0" labelOnly="1" outline="0" fieldPosition="0">
        <references count="3">
          <reference field="3" count="1" selected="0">
            <x v="17"/>
          </reference>
          <reference field="5" count="1" selected="0">
            <x v="3"/>
          </reference>
          <reference field="6" count="1">
            <x v="0"/>
          </reference>
        </references>
      </pivotArea>
    </format>
    <format dxfId="2475">
      <pivotArea dataOnly="0" labelOnly="1" outline="0" fieldPosition="0">
        <references count="3">
          <reference field="3" count="1" selected="0">
            <x v="19"/>
          </reference>
          <reference field="5" count="1" selected="0">
            <x v="16"/>
          </reference>
          <reference field="6" count="1">
            <x v="0"/>
          </reference>
        </references>
      </pivotArea>
    </format>
    <format dxfId="2474">
      <pivotArea dataOnly="0" labelOnly="1" outline="0" fieldPosition="0">
        <references count="3">
          <reference field="3" count="1" selected="0">
            <x v="20"/>
          </reference>
          <reference field="5" count="1" selected="0">
            <x v="17"/>
          </reference>
          <reference field="6" count="1">
            <x v="0"/>
          </reference>
        </references>
      </pivotArea>
    </format>
    <format dxfId="2473">
      <pivotArea dataOnly="0" labelOnly="1" outline="0" fieldPosition="0">
        <references count="3">
          <reference field="3" count="1" selected="0">
            <x v="21"/>
          </reference>
          <reference field="5" count="1" selected="0">
            <x v="18"/>
          </reference>
          <reference field="6" count="1">
            <x v="0"/>
          </reference>
        </references>
      </pivotArea>
    </format>
    <format dxfId="2472">
      <pivotArea dataOnly="0" labelOnly="1" outline="0" fieldPosition="0">
        <references count="3">
          <reference field="3" count="1" selected="0">
            <x v="22"/>
          </reference>
          <reference field="5" count="1" selected="0">
            <x v="19"/>
          </reference>
          <reference field="6" count="1">
            <x v="1"/>
          </reference>
        </references>
      </pivotArea>
    </format>
    <format dxfId="2471">
      <pivotArea dataOnly="0" labelOnly="1" outline="0" fieldPosition="0">
        <references count="3">
          <reference field="3" count="1" selected="0">
            <x v="24"/>
          </reference>
          <reference field="5" count="1" selected="0">
            <x v="22"/>
          </reference>
          <reference field="6" count="1">
            <x v="3"/>
          </reference>
        </references>
      </pivotArea>
    </format>
    <format dxfId="2470">
      <pivotArea dataOnly="0" labelOnly="1" outline="0" fieldPosition="0">
        <references count="3">
          <reference field="3" count="1" selected="0">
            <x v="25"/>
          </reference>
          <reference field="5" count="1" selected="0">
            <x v="23"/>
          </reference>
          <reference field="6" count="1">
            <x v="3"/>
          </reference>
        </references>
      </pivotArea>
    </format>
    <format dxfId="2469">
      <pivotArea dataOnly="0" labelOnly="1" outline="0" fieldPosition="0">
        <references count="3">
          <reference field="3" count="1" selected="0">
            <x v="26"/>
          </reference>
          <reference field="5" count="1" selected="0">
            <x v="24"/>
          </reference>
          <reference field="6" count="1">
            <x v="3"/>
          </reference>
        </references>
      </pivotArea>
    </format>
    <format dxfId="2468">
      <pivotArea dataOnly="0" labelOnly="1" outline="0" fieldPosition="0">
        <references count="3">
          <reference field="3" count="1" selected="0">
            <x v="27"/>
          </reference>
          <reference field="5" count="1" selected="0">
            <x v="25"/>
          </reference>
          <reference field="6" count="1">
            <x v="3"/>
          </reference>
        </references>
      </pivotArea>
    </format>
    <format dxfId="2467">
      <pivotArea dataOnly="0" labelOnly="1" outline="0" fieldPosition="0">
        <references count="3">
          <reference field="3" count="1" selected="0">
            <x v="28"/>
          </reference>
          <reference field="5" count="1" selected="0">
            <x v="26"/>
          </reference>
          <reference field="6" count="1">
            <x v="3"/>
          </reference>
        </references>
      </pivotArea>
    </format>
    <format dxfId="2466">
      <pivotArea dataOnly="0" labelOnly="1" outline="0" fieldPosition="0">
        <references count="3">
          <reference field="3" count="1" selected="0">
            <x v="29"/>
          </reference>
          <reference field="5" count="1" selected="0">
            <x v="27"/>
          </reference>
          <reference field="6" count="1">
            <x v="3"/>
          </reference>
        </references>
      </pivotArea>
    </format>
    <format dxfId="2465">
      <pivotArea dataOnly="0" labelOnly="1" outline="0" fieldPosition="0">
        <references count="3">
          <reference field="3" count="1" selected="0">
            <x v="30"/>
          </reference>
          <reference field="5" count="1" selected="0">
            <x v="28"/>
          </reference>
          <reference field="6" count="1">
            <x v="3"/>
          </reference>
        </references>
      </pivotArea>
    </format>
    <format dxfId="2464">
      <pivotArea dataOnly="0" labelOnly="1" outline="0" fieldPosition="0">
        <references count="3">
          <reference field="3" count="1" selected="0">
            <x v="31"/>
          </reference>
          <reference field="5" count="1" selected="0">
            <x v="29"/>
          </reference>
          <reference field="6" count="1">
            <x v="4"/>
          </reference>
        </references>
      </pivotArea>
    </format>
    <format dxfId="2463">
      <pivotArea dataOnly="0" labelOnly="1" outline="0" fieldPosition="0">
        <references count="3">
          <reference field="3" count="1" selected="0">
            <x v="32"/>
          </reference>
          <reference field="5" count="1" selected="0">
            <x v="30"/>
          </reference>
          <reference field="6" count="1">
            <x v="4"/>
          </reference>
        </references>
      </pivotArea>
    </format>
    <format dxfId="2462">
      <pivotArea dataOnly="0" labelOnly="1" outline="0" fieldPosition="0">
        <references count="3">
          <reference field="3" count="1" selected="0">
            <x v="33"/>
          </reference>
          <reference field="5" count="1" selected="0">
            <x v="31"/>
          </reference>
          <reference field="6" count="1">
            <x v="1"/>
          </reference>
        </references>
      </pivotArea>
    </format>
    <format dxfId="2461">
      <pivotArea dataOnly="0" labelOnly="1" outline="0" fieldPosition="0">
        <references count="1">
          <reference field="2" count="0"/>
        </references>
      </pivotArea>
    </format>
    <format dxfId="2460">
      <pivotArea dataOnly="0" labelOnly="1" grandCol="1" outline="0" fieldPosition="0"/>
    </format>
    <format dxfId="2459">
      <pivotArea outline="0" fieldPosition="0">
        <references count="4">
          <reference field="2" count="1" selected="0">
            <x v="1"/>
          </reference>
          <reference field="3" count="1" selected="0">
            <x v="34"/>
          </reference>
          <reference field="5" count="1" selected="0">
            <x v="34"/>
          </reference>
          <reference field="6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2E7A8-9218-4A3A-BA59-6145E0593728}" name="PivotTable2" cacheId="37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gridDropZones="1" multipleFieldFilters="0">
  <location ref="A3:V58" firstHeaderRow="1" firstDataRow="2" firstDataCol="3"/>
  <pivotFields count="18">
    <pivotField compact="0" outline="0" showAll="0"/>
    <pivotField compact="0" outline="0" showAll="0"/>
    <pivotField axis="axisCol" compact="0" outline="0" showAll="0">
      <items count="19">
        <item x="15"/>
        <item x="14"/>
        <item x="0"/>
        <item x="9"/>
        <item x="3"/>
        <item x="2"/>
        <item x="16"/>
        <item x="17"/>
        <item x="8"/>
        <item x="7"/>
        <item x="11"/>
        <item x="4"/>
        <item x="5"/>
        <item x="6"/>
        <item x="10"/>
        <item x="12"/>
        <item x="1"/>
        <item x="13"/>
        <item t="default"/>
      </items>
    </pivotField>
    <pivotField axis="axisRow" compact="0" outline="0" showAll="0" defaultSubtotal="0">
      <items count="53">
        <item x="1"/>
        <item x="33"/>
        <item x="2"/>
        <item x="3"/>
        <item x="4"/>
        <item x="34"/>
        <item x="5"/>
        <item x="6"/>
        <item x="7"/>
        <item x="8"/>
        <item x="9"/>
        <item x="10"/>
        <item x="12"/>
        <item x="13"/>
        <item x="37"/>
        <item x="38"/>
        <item x="35"/>
        <item x="11"/>
        <item x="14"/>
        <item x="15"/>
        <item x="16"/>
        <item x="40"/>
        <item x="20"/>
        <item x="23"/>
        <item x="29"/>
        <item x="21"/>
        <item x="30"/>
        <item x="22"/>
        <item x="31"/>
        <item x="47"/>
        <item x="32"/>
        <item x="36"/>
        <item x="39"/>
        <item x="24"/>
        <item x="41"/>
        <item x="52"/>
        <item x="42"/>
        <item x="19"/>
        <item x="25"/>
        <item x="48"/>
        <item x="27"/>
        <item x="43"/>
        <item x="0"/>
        <item x="26"/>
        <item x="44"/>
        <item x="49"/>
        <item x="50"/>
        <item x="28"/>
        <item x="45"/>
        <item x="51"/>
        <item x="18"/>
        <item x="46"/>
        <item x="17"/>
      </items>
    </pivotField>
    <pivotField compact="0" outline="0" showAll="0"/>
    <pivotField axis="axisRow" compact="0" outline="0" showAll="0" defaultSubtotal="0">
      <items count="53">
        <item x="2"/>
        <item x="8"/>
        <item x="13"/>
        <item x="11"/>
        <item x="7"/>
        <item x="35"/>
        <item x="9"/>
        <item x="34"/>
        <item x="5"/>
        <item x="10"/>
        <item x="3"/>
        <item x="37"/>
        <item x="33"/>
        <item x="6"/>
        <item x="4"/>
        <item x="12"/>
        <item x="15"/>
        <item x="16"/>
        <item x="40"/>
        <item x="20"/>
        <item x="0"/>
        <item x="23"/>
        <item x="29"/>
        <item x="21"/>
        <item x="30"/>
        <item x="22"/>
        <item x="31"/>
        <item x="47"/>
        <item x="32"/>
        <item x="36"/>
        <item x="39"/>
        <item x="24"/>
        <item x="14"/>
        <item x="1"/>
        <item x="41"/>
        <item x="48"/>
        <item x="52"/>
        <item x="19"/>
        <item x="42"/>
        <item x="25"/>
        <item x="27"/>
        <item x="38"/>
        <item x="26"/>
        <item x="43"/>
        <item x="44"/>
        <item x="49"/>
        <item x="50"/>
        <item x="28"/>
        <item x="45"/>
        <item x="51"/>
        <item x="18"/>
        <item x="46"/>
        <item x="17"/>
      </items>
    </pivotField>
    <pivotField axis="axisRow" compact="0" outline="0" showAll="0" defaultSubtotal="0">
      <items count="7">
        <item x="1"/>
        <item x="2"/>
        <item x="0"/>
        <item x="3"/>
        <item x="5"/>
        <item x="4"/>
        <item x="6"/>
      </items>
    </pivotField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dataField="1" compact="0" outline="0" showAll="0"/>
    <pivotField compact="0" outline="0" showAll="0"/>
  </pivotFields>
  <rowFields count="3">
    <field x="3"/>
    <field x="5"/>
    <field x="6"/>
  </rowFields>
  <rowItems count="54">
    <i>
      <x/>
      <x v="33"/>
      <x/>
    </i>
    <i>
      <x v="1"/>
      <x v="12"/>
      <x/>
    </i>
    <i>
      <x v="2"/>
      <x/>
      <x/>
    </i>
    <i>
      <x v="3"/>
      <x v="10"/>
      <x/>
    </i>
    <i>
      <x v="4"/>
      <x v="14"/>
      <x/>
    </i>
    <i>
      <x v="5"/>
      <x v="7"/>
      <x/>
    </i>
    <i>
      <x v="6"/>
      <x v="8"/>
      <x/>
    </i>
    <i>
      <x v="7"/>
      <x v="13"/>
      <x/>
    </i>
    <i>
      <x v="8"/>
      <x v="4"/>
      <x/>
    </i>
    <i>
      <x v="9"/>
      <x v="1"/>
      <x/>
    </i>
    <i>
      <x v="10"/>
      <x v="6"/>
      <x/>
    </i>
    <i>
      <x v="11"/>
      <x v="9"/>
      <x/>
    </i>
    <i>
      <x v="12"/>
      <x v="15"/>
      <x/>
    </i>
    <i>
      <x v="13"/>
      <x v="2"/>
      <x/>
    </i>
    <i>
      <x v="14"/>
      <x v="11"/>
      <x/>
    </i>
    <i>
      <x v="15"/>
      <x v="41"/>
      <x/>
    </i>
    <i>
      <x v="16"/>
      <x v="5"/>
      <x/>
    </i>
    <i>
      <x v="17"/>
      <x v="3"/>
      <x/>
    </i>
    <i>
      <x v="18"/>
      <x v="32"/>
      <x/>
    </i>
    <i>
      <x v="19"/>
      <x v="16"/>
      <x/>
    </i>
    <i>
      <x v="20"/>
      <x v="17"/>
      <x/>
    </i>
    <i>
      <x v="21"/>
      <x v="18"/>
      <x/>
    </i>
    <i>
      <x v="22"/>
      <x v="19"/>
      <x v="1"/>
    </i>
    <i>
      <x v="23"/>
      <x v="21"/>
      <x v="5"/>
    </i>
    <i>
      <x v="24"/>
      <x v="22"/>
      <x v="3"/>
    </i>
    <i>
      <x v="25"/>
      <x v="23"/>
      <x v="3"/>
    </i>
    <i>
      <x v="26"/>
      <x v="24"/>
      <x v="3"/>
    </i>
    <i>
      <x v="27"/>
      <x v="25"/>
      <x v="3"/>
    </i>
    <i>
      <x v="28"/>
      <x v="26"/>
      <x v="3"/>
    </i>
    <i>
      <x v="29"/>
      <x v="27"/>
      <x v="3"/>
    </i>
    <i>
      <x v="30"/>
      <x v="28"/>
      <x v="3"/>
    </i>
    <i>
      <x v="31"/>
      <x v="29"/>
      <x v="4"/>
    </i>
    <i>
      <x v="32"/>
      <x v="30"/>
      <x v="4"/>
    </i>
    <i>
      <x v="33"/>
      <x v="31"/>
      <x v="1"/>
    </i>
    <i>
      <x v="34"/>
      <x v="34"/>
      <x/>
    </i>
    <i>
      <x v="35"/>
      <x v="36"/>
      <x/>
    </i>
    <i>
      <x v="36"/>
      <x v="38"/>
      <x/>
    </i>
    <i>
      <x v="37"/>
      <x v="37"/>
      <x/>
    </i>
    <i>
      <x v="38"/>
      <x v="39"/>
      <x/>
    </i>
    <i>
      <x v="39"/>
      <x v="35"/>
      <x/>
    </i>
    <i>
      <x v="40"/>
      <x v="40"/>
      <x/>
    </i>
    <i>
      <x v="41"/>
      <x v="43"/>
      <x v="5"/>
    </i>
    <i>
      <x v="42"/>
      <x v="20"/>
      <x v="2"/>
    </i>
    <i>
      <x v="43"/>
      <x v="42"/>
      <x v="1"/>
    </i>
    <i>
      <x v="44"/>
      <x v="44"/>
      <x v="1"/>
    </i>
    <i>
      <x v="45"/>
      <x v="45"/>
      <x v="2"/>
    </i>
    <i>
      <x v="46"/>
      <x v="46"/>
      <x v="2"/>
    </i>
    <i>
      <x v="47"/>
      <x v="47"/>
      <x v="2"/>
    </i>
    <i>
      <x v="48"/>
      <x v="48"/>
      <x v="2"/>
    </i>
    <i>
      <x v="49"/>
      <x v="49"/>
      <x/>
    </i>
    <i>
      <x v="50"/>
      <x v="50"/>
      <x v="1"/>
    </i>
    <i>
      <x v="51"/>
      <x v="51"/>
      <x v="6"/>
    </i>
    <i>
      <x v="52"/>
      <x v="52"/>
      <x/>
    </i>
    <i t="grand">
      <x/>
    </i>
  </rowItems>
  <colFields count="1">
    <field x="2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Average of INV Days R+T" fld="16" subtotal="average" baseField="5" baseItem="5" numFmtId="1"/>
  </dataFields>
  <formats count="141">
    <format dxfId="2458">
      <pivotArea outline="0" collapsedLevelsAreSubtotals="1" fieldPosition="0"/>
    </format>
    <format dxfId="2457">
      <pivotArea type="all" dataOnly="0" outline="0" fieldPosition="0"/>
    </format>
    <format dxfId="2456">
      <pivotArea outline="0" collapsedLevelsAreSubtotals="1" fieldPosition="0"/>
    </format>
    <format dxfId="2455">
      <pivotArea type="origin" dataOnly="0" labelOnly="1" outline="0" fieldPosition="0"/>
    </format>
    <format dxfId="2454">
      <pivotArea field="2" type="button" dataOnly="0" labelOnly="1" outline="0" axis="axisCol" fieldPosition="0"/>
    </format>
    <format dxfId="2453">
      <pivotArea type="topRight" dataOnly="0" labelOnly="1" outline="0" fieldPosition="0"/>
    </format>
    <format dxfId="2452">
      <pivotArea field="3" type="button" dataOnly="0" labelOnly="1" outline="0" axis="axisRow" fieldPosition="0"/>
    </format>
    <format dxfId="2451">
      <pivotArea field="5" type="button" dataOnly="0" labelOnly="1" outline="0" axis="axisRow" fieldPosition="1"/>
    </format>
    <format dxfId="2450">
      <pivotArea field="6" type="button" dataOnly="0" labelOnly="1" outline="0" axis="axisRow" fieldPosition="2"/>
    </format>
    <format dxfId="2449">
      <pivotArea dataOnly="0" labelOnly="1" outline="0" fieldPosition="0">
        <references count="1">
          <reference field="3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448">
      <pivotArea dataOnly="0" labelOnly="1" grandRow="1" outline="0" fieldPosition="0"/>
    </format>
    <format dxfId="2447">
      <pivotArea dataOnly="0" labelOnly="1" outline="0" fieldPosition="0">
        <references count="2">
          <reference field="3" count="1" selected="0">
            <x v="1"/>
          </reference>
          <reference field="5" count="1">
            <x v="12"/>
          </reference>
        </references>
      </pivotArea>
    </format>
    <format dxfId="2446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445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444">
      <pivotArea dataOnly="0" labelOnly="1" outline="0" fieldPosition="0">
        <references count="2">
          <reference field="3" count="1" selected="0">
            <x v="4"/>
          </reference>
          <reference field="5" count="1">
            <x v="14"/>
          </reference>
        </references>
      </pivotArea>
    </format>
    <format dxfId="2443">
      <pivotArea dataOnly="0" labelOnly="1" outline="0" fieldPosition="0">
        <references count="2">
          <reference field="3" count="1" selected="0">
            <x v="5"/>
          </reference>
          <reference field="5" count="1">
            <x v="7"/>
          </reference>
        </references>
      </pivotArea>
    </format>
    <format dxfId="2442">
      <pivotArea dataOnly="0" labelOnly="1" outline="0" fieldPosition="0">
        <references count="2">
          <reference field="3" count="1" selected="0">
            <x v="6"/>
          </reference>
          <reference field="5" count="1">
            <x v="8"/>
          </reference>
        </references>
      </pivotArea>
    </format>
    <format dxfId="2441">
      <pivotArea dataOnly="0" labelOnly="1" outline="0" fieldPosition="0">
        <references count="2">
          <reference field="3" count="1" selected="0">
            <x v="7"/>
          </reference>
          <reference field="5" count="1">
            <x v="13"/>
          </reference>
        </references>
      </pivotArea>
    </format>
    <format dxfId="2440">
      <pivotArea dataOnly="0" labelOnly="1" outline="0" fieldPosition="0">
        <references count="2">
          <reference field="3" count="1" selected="0">
            <x v="8"/>
          </reference>
          <reference field="5" count="1">
            <x v="4"/>
          </reference>
        </references>
      </pivotArea>
    </format>
    <format dxfId="2439">
      <pivotArea dataOnly="0" labelOnly="1" outline="0" fieldPosition="0">
        <references count="2">
          <reference field="3" count="1" selected="0">
            <x v="9"/>
          </reference>
          <reference field="5" count="1">
            <x v="1"/>
          </reference>
        </references>
      </pivotArea>
    </format>
    <format dxfId="2438">
      <pivotArea dataOnly="0" labelOnly="1" outline="0" fieldPosition="0">
        <references count="2">
          <reference field="3" count="1" selected="0">
            <x v="10"/>
          </reference>
          <reference field="5" count="1">
            <x v="6"/>
          </reference>
        </references>
      </pivotArea>
    </format>
    <format dxfId="2437">
      <pivotArea dataOnly="0" labelOnly="1" outline="0" fieldPosition="0">
        <references count="2">
          <reference field="3" count="1" selected="0">
            <x v="11"/>
          </reference>
          <reference field="5" count="1">
            <x v="9"/>
          </reference>
        </references>
      </pivotArea>
    </format>
    <format dxfId="2436">
      <pivotArea dataOnly="0" labelOnly="1" outline="0" fieldPosition="0">
        <references count="2">
          <reference field="3" count="1" selected="0">
            <x v="12"/>
          </reference>
          <reference field="5" count="1">
            <x v="15"/>
          </reference>
        </references>
      </pivotArea>
    </format>
    <format dxfId="2435">
      <pivotArea dataOnly="0" labelOnly="1" outline="0" fieldPosition="0">
        <references count="2">
          <reference field="3" count="1" selected="0">
            <x v="13"/>
          </reference>
          <reference field="5" count="1">
            <x v="2"/>
          </reference>
        </references>
      </pivotArea>
    </format>
    <format dxfId="2434">
      <pivotArea dataOnly="0" labelOnly="1" outline="0" fieldPosition="0">
        <references count="2">
          <reference field="3" count="1" selected="0">
            <x v="14"/>
          </reference>
          <reference field="5" count="1">
            <x v="11"/>
          </reference>
        </references>
      </pivotArea>
    </format>
    <format dxfId="2433">
      <pivotArea dataOnly="0" labelOnly="1" outline="0" fieldPosition="0">
        <references count="3">
          <reference field="3" count="1" selected="0">
            <x v="1"/>
          </reference>
          <reference field="5" count="1" selected="0">
            <x v="12"/>
          </reference>
          <reference field="6" count="1">
            <x v="0"/>
          </reference>
        </references>
      </pivotArea>
    </format>
    <format dxfId="2432">
      <pivotArea dataOnly="0" labelOnly="1" outline="0" fieldPosition="0">
        <references count="3">
          <reference field="3" count="1" selected="0">
            <x v="2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2431">
      <pivotArea dataOnly="0" labelOnly="1" outline="0" fieldPosition="0">
        <references count="3">
          <reference field="3" count="1" selected="0">
            <x v="3"/>
          </reference>
          <reference field="5" count="1" selected="0">
            <x v="10"/>
          </reference>
          <reference field="6" count="1">
            <x v="0"/>
          </reference>
        </references>
      </pivotArea>
    </format>
    <format dxfId="2430">
      <pivotArea dataOnly="0" labelOnly="1" outline="0" fieldPosition="0">
        <references count="3">
          <reference field="3" count="1" selected="0">
            <x v="4"/>
          </reference>
          <reference field="5" count="1" selected="0">
            <x v="14"/>
          </reference>
          <reference field="6" count="1">
            <x v="0"/>
          </reference>
        </references>
      </pivotArea>
    </format>
    <format dxfId="2429">
      <pivotArea dataOnly="0" labelOnly="1" outline="0" fieldPosition="0">
        <references count="3">
          <reference field="3" count="1" selected="0">
            <x v="5"/>
          </reference>
          <reference field="5" count="1" selected="0">
            <x v="7"/>
          </reference>
          <reference field="6" count="1">
            <x v="0"/>
          </reference>
        </references>
      </pivotArea>
    </format>
    <format dxfId="2428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8"/>
          </reference>
          <reference field="6" count="1">
            <x v="0"/>
          </reference>
        </references>
      </pivotArea>
    </format>
    <format dxfId="2427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13"/>
          </reference>
          <reference field="6" count="1">
            <x v="0"/>
          </reference>
        </references>
      </pivotArea>
    </format>
    <format dxfId="2426">
      <pivotArea dataOnly="0" labelOnly="1" outline="0" fieldPosition="0">
        <references count="3">
          <reference field="3" count="1" selected="0">
            <x v="8"/>
          </reference>
          <reference field="5" count="1" selected="0">
            <x v="4"/>
          </reference>
          <reference field="6" count="1">
            <x v="0"/>
          </reference>
        </references>
      </pivotArea>
    </format>
    <format dxfId="2425">
      <pivotArea dataOnly="0" labelOnly="1" outline="0" fieldPosition="0">
        <references count="3">
          <reference field="3" count="1" selected="0">
            <x v="9"/>
          </reference>
          <reference field="5" count="1" selected="0">
            <x v="1"/>
          </reference>
          <reference field="6" count="1">
            <x v="0"/>
          </reference>
        </references>
      </pivotArea>
    </format>
    <format dxfId="2424">
      <pivotArea dataOnly="0" labelOnly="1" outline="0" fieldPosition="0">
        <references count="3">
          <reference field="3" count="1" selected="0">
            <x v="10"/>
          </reference>
          <reference field="5" count="1" selected="0">
            <x v="6"/>
          </reference>
          <reference field="6" count="1">
            <x v="0"/>
          </reference>
        </references>
      </pivotArea>
    </format>
    <format dxfId="2423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9"/>
          </reference>
          <reference field="6" count="1">
            <x v="0"/>
          </reference>
        </references>
      </pivotArea>
    </format>
    <format dxfId="2422">
      <pivotArea dataOnly="0" labelOnly="1" outline="0" fieldPosition="0">
        <references count="3">
          <reference field="3" count="1" selected="0">
            <x v="12"/>
          </reference>
          <reference field="5" count="1" selected="0">
            <x v="15"/>
          </reference>
          <reference field="6" count="1">
            <x v="0"/>
          </reference>
        </references>
      </pivotArea>
    </format>
    <format dxfId="2421">
      <pivotArea dataOnly="0" labelOnly="1" outline="0" fieldPosition="0">
        <references count="3">
          <reference field="3" count="1" selected="0">
            <x v="13"/>
          </reference>
          <reference field="5" count="1" selected="0">
            <x v="2"/>
          </reference>
          <reference field="6" count="1">
            <x v="0"/>
          </reference>
        </references>
      </pivotArea>
    </format>
    <format dxfId="2420">
      <pivotArea dataOnly="0" labelOnly="1" outline="0" fieldPosition="0">
        <references count="3">
          <reference field="3" count="1" selected="0">
            <x v="14"/>
          </reference>
          <reference field="5" count="1" selected="0">
            <x v="11"/>
          </reference>
          <reference field="6" count="1">
            <x v="0"/>
          </reference>
        </references>
      </pivotArea>
    </format>
    <format dxfId="2419">
      <pivotArea dataOnly="0" labelOnly="1" outline="0" fieldPosition="0">
        <references count="1">
          <reference field="2" count="0"/>
        </references>
      </pivotArea>
    </format>
    <format dxfId="2418">
      <pivotArea dataOnly="0" labelOnly="1" grandCol="1" outline="0" fieldPosition="0"/>
    </format>
    <format dxfId="2417">
      <pivotArea type="all" dataOnly="0" outline="0" fieldPosition="0"/>
    </format>
    <format dxfId="2416">
      <pivotArea outline="0" collapsedLevelsAreSubtotals="1" fieldPosition="0"/>
    </format>
    <format dxfId="2415">
      <pivotArea type="origin" dataOnly="0" labelOnly="1" outline="0" fieldPosition="0"/>
    </format>
    <format dxfId="2414">
      <pivotArea field="2" type="button" dataOnly="0" labelOnly="1" outline="0" axis="axisCol" fieldPosition="0"/>
    </format>
    <format dxfId="2413">
      <pivotArea type="topRight" dataOnly="0" labelOnly="1" outline="0" fieldPosition="0"/>
    </format>
    <format dxfId="2412">
      <pivotArea field="3" type="button" dataOnly="0" labelOnly="1" outline="0" axis="axisRow" fieldPosition="0"/>
    </format>
    <format dxfId="2411">
      <pivotArea field="5" type="button" dataOnly="0" labelOnly="1" outline="0" axis="axisRow" fieldPosition="1"/>
    </format>
    <format dxfId="2410">
      <pivotArea field="6" type="button" dataOnly="0" labelOnly="1" outline="0" axis="axisRow" fieldPosition="2"/>
    </format>
    <format dxfId="2409">
      <pivotArea dataOnly="0" labelOnly="1" outline="0" fieldPosition="0">
        <references count="1">
          <reference field="3" count="1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2408">
      <pivotArea dataOnly="0" labelOnly="1" grandRow="1" outline="0" fieldPosition="0"/>
    </format>
    <format dxfId="2407">
      <pivotArea dataOnly="0" labelOnly="1" outline="0" fieldPosition="0">
        <references count="2">
          <reference field="3" count="1" selected="0">
            <x v="1"/>
          </reference>
          <reference field="5" count="1">
            <x v="12"/>
          </reference>
        </references>
      </pivotArea>
    </format>
    <format dxfId="2406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405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404">
      <pivotArea dataOnly="0" labelOnly="1" outline="0" fieldPosition="0">
        <references count="2">
          <reference field="3" count="1" selected="0">
            <x v="4"/>
          </reference>
          <reference field="5" count="1">
            <x v="14"/>
          </reference>
        </references>
      </pivotArea>
    </format>
    <format dxfId="2403">
      <pivotArea dataOnly="0" labelOnly="1" outline="0" fieldPosition="0">
        <references count="2">
          <reference field="3" count="1" selected="0">
            <x v="5"/>
          </reference>
          <reference field="5" count="1">
            <x v="7"/>
          </reference>
        </references>
      </pivotArea>
    </format>
    <format dxfId="2402">
      <pivotArea dataOnly="0" labelOnly="1" outline="0" fieldPosition="0">
        <references count="2">
          <reference field="3" count="1" selected="0">
            <x v="6"/>
          </reference>
          <reference field="5" count="1">
            <x v="8"/>
          </reference>
        </references>
      </pivotArea>
    </format>
    <format dxfId="2401">
      <pivotArea dataOnly="0" labelOnly="1" outline="0" fieldPosition="0">
        <references count="2">
          <reference field="3" count="1" selected="0">
            <x v="7"/>
          </reference>
          <reference field="5" count="1">
            <x v="13"/>
          </reference>
        </references>
      </pivotArea>
    </format>
    <format dxfId="2400">
      <pivotArea dataOnly="0" labelOnly="1" outline="0" fieldPosition="0">
        <references count="2">
          <reference field="3" count="1" selected="0">
            <x v="8"/>
          </reference>
          <reference field="5" count="1">
            <x v="4"/>
          </reference>
        </references>
      </pivotArea>
    </format>
    <format dxfId="2399">
      <pivotArea dataOnly="0" labelOnly="1" outline="0" fieldPosition="0">
        <references count="2">
          <reference field="3" count="1" selected="0">
            <x v="9"/>
          </reference>
          <reference field="5" count="1">
            <x v="1"/>
          </reference>
        </references>
      </pivotArea>
    </format>
    <format dxfId="2398">
      <pivotArea dataOnly="0" labelOnly="1" outline="0" fieldPosition="0">
        <references count="2">
          <reference field="3" count="1" selected="0">
            <x v="10"/>
          </reference>
          <reference field="5" count="1">
            <x v="6"/>
          </reference>
        </references>
      </pivotArea>
    </format>
    <format dxfId="2397">
      <pivotArea dataOnly="0" labelOnly="1" outline="0" fieldPosition="0">
        <references count="2">
          <reference field="3" count="1" selected="0">
            <x v="11"/>
          </reference>
          <reference field="5" count="1">
            <x v="9"/>
          </reference>
        </references>
      </pivotArea>
    </format>
    <format dxfId="2396">
      <pivotArea dataOnly="0" labelOnly="1" outline="0" fieldPosition="0">
        <references count="2">
          <reference field="3" count="1" selected="0">
            <x v="12"/>
          </reference>
          <reference field="5" count="1">
            <x v="15"/>
          </reference>
        </references>
      </pivotArea>
    </format>
    <format dxfId="2395">
      <pivotArea dataOnly="0" labelOnly="1" outline="0" fieldPosition="0">
        <references count="2">
          <reference field="3" count="1" selected="0">
            <x v="13"/>
          </reference>
          <reference field="5" count="1">
            <x v="2"/>
          </reference>
        </references>
      </pivotArea>
    </format>
    <format dxfId="2394">
      <pivotArea dataOnly="0" labelOnly="1" outline="0" fieldPosition="0">
        <references count="2">
          <reference field="3" count="1" selected="0">
            <x v="14"/>
          </reference>
          <reference field="5" count="1">
            <x v="11"/>
          </reference>
        </references>
      </pivotArea>
    </format>
    <format dxfId="2393">
      <pivotArea dataOnly="0" labelOnly="1" outline="0" fieldPosition="0">
        <references count="3">
          <reference field="3" count="1" selected="0">
            <x v="1"/>
          </reference>
          <reference field="5" count="1" selected="0">
            <x v="12"/>
          </reference>
          <reference field="6" count="1">
            <x v="0"/>
          </reference>
        </references>
      </pivotArea>
    </format>
    <format dxfId="2392">
      <pivotArea dataOnly="0" labelOnly="1" outline="0" fieldPosition="0">
        <references count="3">
          <reference field="3" count="1" selected="0">
            <x v="2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2391">
      <pivotArea dataOnly="0" labelOnly="1" outline="0" fieldPosition="0">
        <references count="3">
          <reference field="3" count="1" selected="0">
            <x v="3"/>
          </reference>
          <reference field="5" count="1" selected="0">
            <x v="10"/>
          </reference>
          <reference field="6" count="1">
            <x v="0"/>
          </reference>
        </references>
      </pivotArea>
    </format>
    <format dxfId="2390">
      <pivotArea dataOnly="0" labelOnly="1" outline="0" fieldPosition="0">
        <references count="3">
          <reference field="3" count="1" selected="0">
            <x v="4"/>
          </reference>
          <reference field="5" count="1" selected="0">
            <x v="14"/>
          </reference>
          <reference field="6" count="1">
            <x v="0"/>
          </reference>
        </references>
      </pivotArea>
    </format>
    <format dxfId="2389">
      <pivotArea dataOnly="0" labelOnly="1" outline="0" fieldPosition="0">
        <references count="3">
          <reference field="3" count="1" selected="0">
            <x v="5"/>
          </reference>
          <reference field="5" count="1" selected="0">
            <x v="7"/>
          </reference>
          <reference field="6" count="1">
            <x v="0"/>
          </reference>
        </references>
      </pivotArea>
    </format>
    <format dxfId="2388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8"/>
          </reference>
          <reference field="6" count="1">
            <x v="0"/>
          </reference>
        </references>
      </pivotArea>
    </format>
    <format dxfId="2387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13"/>
          </reference>
          <reference field="6" count="1">
            <x v="0"/>
          </reference>
        </references>
      </pivotArea>
    </format>
    <format dxfId="2386">
      <pivotArea dataOnly="0" labelOnly="1" outline="0" fieldPosition="0">
        <references count="3">
          <reference field="3" count="1" selected="0">
            <x v="8"/>
          </reference>
          <reference field="5" count="1" selected="0">
            <x v="4"/>
          </reference>
          <reference field="6" count="1">
            <x v="0"/>
          </reference>
        </references>
      </pivotArea>
    </format>
    <format dxfId="2385">
      <pivotArea dataOnly="0" labelOnly="1" outline="0" fieldPosition="0">
        <references count="3">
          <reference field="3" count="1" selected="0">
            <x v="9"/>
          </reference>
          <reference field="5" count="1" selected="0">
            <x v="1"/>
          </reference>
          <reference field="6" count="1">
            <x v="0"/>
          </reference>
        </references>
      </pivotArea>
    </format>
    <format dxfId="2384">
      <pivotArea dataOnly="0" labelOnly="1" outline="0" fieldPosition="0">
        <references count="3">
          <reference field="3" count="1" selected="0">
            <x v="10"/>
          </reference>
          <reference field="5" count="1" selected="0">
            <x v="6"/>
          </reference>
          <reference field="6" count="1">
            <x v="0"/>
          </reference>
        </references>
      </pivotArea>
    </format>
    <format dxfId="2383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9"/>
          </reference>
          <reference field="6" count="1">
            <x v="0"/>
          </reference>
        </references>
      </pivotArea>
    </format>
    <format dxfId="2382">
      <pivotArea dataOnly="0" labelOnly="1" outline="0" fieldPosition="0">
        <references count="3">
          <reference field="3" count="1" selected="0">
            <x v="12"/>
          </reference>
          <reference field="5" count="1" selected="0">
            <x v="15"/>
          </reference>
          <reference field="6" count="1">
            <x v="0"/>
          </reference>
        </references>
      </pivotArea>
    </format>
    <format dxfId="2381">
      <pivotArea dataOnly="0" labelOnly="1" outline="0" fieldPosition="0">
        <references count="3">
          <reference field="3" count="1" selected="0">
            <x v="13"/>
          </reference>
          <reference field="5" count="1" selected="0">
            <x v="2"/>
          </reference>
          <reference field="6" count="1">
            <x v="0"/>
          </reference>
        </references>
      </pivotArea>
    </format>
    <format dxfId="2380">
      <pivotArea dataOnly="0" labelOnly="1" outline="0" fieldPosition="0">
        <references count="3">
          <reference field="3" count="1" selected="0">
            <x v="14"/>
          </reference>
          <reference field="5" count="1" selected="0">
            <x v="11"/>
          </reference>
          <reference field="6" count="1">
            <x v="0"/>
          </reference>
        </references>
      </pivotArea>
    </format>
    <format dxfId="2379">
      <pivotArea dataOnly="0" labelOnly="1" outline="0" fieldPosition="0">
        <references count="1">
          <reference field="2" count="0"/>
        </references>
      </pivotArea>
    </format>
    <format dxfId="2378">
      <pivotArea dataOnly="0" labelOnly="1" grandCol="1" outline="0" fieldPosition="0"/>
    </format>
    <format dxfId="2377">
      <pivotArea outline="0" fieldPosition="0">
        <references count="1">
          <reference field="2" count="13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  <format dxfId="2376">
      <pivotArea grandCol="1" outline="0" collapsedLevelsAreSubtotals="1" fieldPosition="0"/>
    </format>
    <format dxfId="2375">
      <pivotArea outline="0" collapsedLevelsAreSubtotals="1" fieldPosition="0"/>
    </format>
    <format dxfId="2374">
      <pivotArea field="2" type="button" dataOnly="0" labelOnly="1" outline="0" axis="axisCol" fieldPosition="0"/>
    </format>
    <format dxfId="2373">
      <pivotArea type="topRight" dataOnly="0" labelOnly="1" outline="0" fieldPosition="0"/>
    </format>
    <format dxfId="2372">
      <pivotArea dataOnly="0" labelOnly="1" outline="0" fieldPosition="0">
        <references count="1">
          <reference field="2" count="0"/>
        </references>
      </pivotArea>
    </format>
    <format dxfId="2371">
      <pivotArea dataOnly="0" labelOnly="1" grandCol="1" outline="0" fieldPosition="0"/>
    </format>
    <format dxfId="2370">
      <pivotArea dataOnly="0" labelOnly="1" outline="0" fieldPosition="0">
        <references count="1">
          <reference field="2" count="2">
            <x v="14"/>
            <x v="15"/>
          </reference>
        </references>
      </pivotArea>
    </format>
    <format dxfId="2369">
      <pivotArea dataOnly="0" labelOnly="1" outline="0" fieldPosition="0">
        <references count="1">
          <reference field="3" count="0"/>
        </references>
      </pivotArea>
    </format>
    <format dxfId="2368">
      <pivotArea dataOnly="0" labelOnly="1" outline="0" fieldPosition="0">
        <references count="2">
          <reference field="3" count="1" selected="0">
            <x v="21"/>
          </reference>
          <reference field="5" count="1">
            <x v="18"/>
          </reference>
        </references>
      </pivotArea>
    </format>
    <format dxfId="2367">
      <pivotArea outline="0" fieldPosition="0">
        <references count="3">
          <reference field="3" count="1" selected="0">
            <x v="21"/>
          </reference>
          <reference field="5" count="1" selected="0">
            <x v="18"/>
          </reference>
          <reference field="6" count="1" selected="0">
            <x v="0"/>
          </reference>
        </references>
      </pivotArea>
    </format>
    <format dxfId="2366">
      <pivotArea dataOnly="0" labelOnly="1" outline="0" fieldPosition="0">
        <references count="1">
          <reference field="3" count="1">
            <x v="21"/>
          </reference>
        </references>
      </pivotArea>
    </format>
    <format dxfId="2365">
      <pivotArea dataOnly="0" labelOnly="1" outline="0" fieldPosition="0">
        <references count="2">
          <reference field="3" count="1" selected="0">
            <x v="21"/>
          </reference>
          <reference field="5" count="1">
            <x v="18"/>
          </reference>
        </references>
      </pivotArea>
    </format>
    <format dxfId="2364">
      <pivotArea dataOnly="0" labelOnly="1" outline="0" fieldPosition="0">
        <references count="3">
          <reference field="3" count="1" selected="0">
            <x v="21"/>
          </reference>
          <reference field="5" count="1" selected="0">
            <x v="18"/>
          </reference>
          <reference field="6" count="1">
            <x v="0"/>
          </reference>
        </references>
      </pivotArea>
    </format>
    <format dxfId="2363">
      <pivotArea dataOnly="0" labelOnly="1" outline="0" fieldPosition="0">
        <references count="3">
          <reference field="3" count="1" selected="0">
            <x v="33"/>
          </reference>
          <reference field="5" count="1" selected="0">
            <x v="31"/>
          </reference>
          <reference field="6" count="1">
            <x v="1"/>
          </reference>
        </references>
      </pivotArea>
    </format>
    <format dxfId="2362">
      <pivotArea type="origin" dataOnly="0" labelOnly="1" outline="0" fieldPosition="0"/>
    </format>
    <format dxfId="2361">
      <pivotArea field="3" type="button" dataOnly="0" labelOnly="1" outline="0" axis="axisRow" fieldPosition="0"/>
    </format>
    <format dxfId="2360">
      <pivotArea field="5" type="button" dataOnly="0" labelOnly="1" outline="0" axis="axisRow" fieldPosition="1"/>
    </format>
    <format dxfId="2359">
      <pivotArea dataOnly="0" labelOnly="1" outline="0" fieldPosition="0">
        <references count="1">
          <reference field="3" count="3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</reference>
        </references>
      </pivotArea>
    </format>
    <format dxfId="2358">
      <pivotArea dataOnly="0" labelOnly="1" outline="0" fieldPosition="0">
        <references count="1">
          <reference field="3" count="1">
            <x v="39"/>
          </reference>
        </references>
      </pivotArea>
    </format>
    <format dxfId="2357">
      <pivotArea dataOnly="0" labelOnly="1" grandRow="1" outline="0" fieldPosition="0"/>
    </format>
    <format dxfId="2356">
      <pivotArea dataOnly="0" labelOnly="1" outline="0" fieldPosition="0">
        <references count="2">
          <reference field="3" count="1" selected="0">
            <x v="0"/>
          </reference>
          <reference field="5" count="1">
            <x v="33"/>
          </reference>
        </references>
      </pivotArea>
    </format>
    <format dxfId="2355">
      <pivotArea dataOnly="0" labelOnly="1" outline="0" fieldPosition="0">
        <references count="2">
          <reference field="3" count="1" selected="0">
            <x v="1"/>
          </reference>
          <reference field="5" count="1">
            <x v="12"/>
          </reference>
        </references>
      </pivotArea>
    </format>
    <format dxfId="2354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2353">
      <pivotArea dataOnly="0" labelOnly="1" outline="0" fieldPosition="0">
        <references count="2">
          <reference field="3" count="1" selected="0">
            <x v="3"/>
          </reference>
          <reference field="5" count="1">
            <x v="10"/>
          </reference>
        </references>
      </pivotArea>
    </format>
    <format dxfId="2352">
      <pivotArea dataOnly="0" labelOnly="1" outline="0" fieldPosition="0">
        <references count="2">
          <reference field="3" count="1" selected="0">
            <x v="4"/>
          </reference>
          <reference field="5" count="1">
            <x v="14"/>
          </reference>
        </references>
      </pivotArea>
    </format>
    <format dxfId="2351">
      <pivotArea dataOnly="0" labelOnly="1" outline="0" fieldPosition="0">
        <references count="2">
          <reference field="3" count="1" selected="0">
            <x v="5"/>
          </reference>
          <reference field="5" count="1">
            <x v="7"/>
          </reference>
        </references>
      </pivotArea>
    </format>
    <format dxfId="2350">
      <pivotArea dataOnly="0" labelOnly="1" outline="0" fieldPosition="0">
        <references count="2">
          <reference field="3" count="1" selected="0">
            <x v="6"/>
          </reference>
          <reference field="5" count="1">
            <x v="8"/>
          </reference>
        </references>
      </pivotArea>
    </format>
    <format dxfId="2349">
      <pivotArea dataOnly="0" labelOnly="1" outline="0" fieldPosition="0">
        <references count="2">
          <reference field="3" count="1" selected="0">
            <x v="7"/>
          </reference>
          <reference field="5" count="1">
            <x v="13"/>
          </reference>
        </references>
      </pivotArea>
    </format>
    <format dxfId="2348">
      <pivotArea dataOnly="0" labelOnly="1" outline="0" fieldPosition="0">
        <references count="2">
          <reference field="3" count="1" selected="0">
            <x v="8"/>
          </reference>
          <reference field="5" count="1">
            <x v="4"/>
          </reference>
        </references>
      </pivotArea>
    </format>
    <format dxfId="2347">
      <pivotArea dataOnly="0" labelOnly="1" outline="0" fieldPosition="0">
        <references count="2">
          <reference field="3" count="1" selected="0">
            <x v="9"/>
          </reference>
          <reference field="5" count="1">
            <x v="1"/>
          </reference>
        </references>
      </pivotArea>
    </format>
    <format dxfId="2346">
      <pivotArea dataOnly="0" labelOnly="1" outline="0" fieldPosition="0">
        <references count="2">
          <reference field="3" count="1" selected="0">
            <x v="10"/>
          </reference>
          <reference field="5" count="1">
            <x v="6"/>
          </reference>
        </references>
      </pivotArea>
    </format>
    <format dxfId="2345">
      <pivotArea dataOnly="0" labelOnly="1" outline="0" fieldPosition="0">
        <references count="2">
          <reference field="3" count="1" selected="0">
            <x v="11"/>
          </reference>
          <reference field="5" count="1">
            <x v="9"/>
          </reference>
        </references>
      </pivotArea>
    </format>
    <format dxfId="2344">
      <pivotArea dataOnly="0" labelOnly="1" outline="0" fieldPosition="0">
        <references count="2">
          <reference field="3" count="1" selected="0">
            <x v="12"/>
          </reference>
          <reference field="5" count="1">
            <x v="15"/>
          </reference>
        </references>
      </pivotArea>
    </format>
    <format dxfId="2343">
      <pivotArea dataOnly="0" labelOnly="1" outline="0" fieldPosition="0">
        <references count="2">
          <reference field="3" count="1" selected="0">
            <x v="13"/>
          </reference>
          <reference field="5" count="1">
            <x v="2"/>
          </reference>
        </references>
      </pivotArea>
    </format>
    <format dxfId="2342">
      <pivotArea dataOnly="0" labelOnly="1" outline="0" fieldPosition="0">
        <references count="2">
          <reference field="3" count="1" selected="0">
            <x v="14"/>
          </reference>
          <reference field="5" count="1">
            <x v="11"/>
          </reference>
        </references>
      </pivotArea>
    </format>
    <format dxfId="2341">
      <pivotArea dataOnly="0" labelOnly="1" outline="0" fieldPosition="0">
        <references count="2">
          <reference field="3" count="1" selected="0">
            <x v="16"/>
          </reference>
          <reference field="5" count="1">
            <x v="5"/>
          </reference>
        </references>
      </pivotArea>
    </format>
    <format dxfId="2340">
      <pivotArea dataOnly="0" labelOnly="1" outline="0" fieldPosition="0">
        <references count="2">
          <reference field="3" count="1" selected="0">
            <x v="17"/>
          </reference>
          <reference field="5" count="1">
            <x v="3"/>
          </reference>
        </references>
      </pivotArea>
    </format>
    <format dxfId="2339">
      <pivotArea dataOnly="0" labelOnly="1" outline="0" fieldPosition="0">
        <references count="2">
          <reference field="3" count="1" selected="0">
            <x v="18"/>
          </reference>
          <reference field="5" count="1">
            <x v="32"/>
          </reference>
        </references>
      </pivotArea>
    </format>
    <format dxfId="2338">
      <pivotArea dataOnly="0" labelOnly="1" outline="0" fieldPosition="0">
        <references count="2">
          <reference field="3" count="1" selected="0">
            <x v="19"/>
          </reference>
          <reference field="5" count="1">
            <x v="16"/>
          </reference>
        </references>
      </pivotArea>
    </format>
    <format dxfId="2337">
      <pivotArea dataOnly="0" labelOnly="1" outline="0" fieldPosition="0">
        <references count="2">
          <reference field="3" count="1" selected="0">
            <x v="20"/>
          </reference>
          <reference field="5" count="1">
            <x v="17"/>
          </reference>
        </references>
      </pivotArea>
    </format>
    <format dxfId="2336">
      <pivotArea dataOnly="0" labelOnly="1" outline="0" fieldPosition="0">
        <references count="2">
          <reference field="3" count="1" selected="0">
            <x v="21"/>
          </reference>
          <reference field="5" count="1">
            <x v="18"/>
          </reference>
        </references>
      </pivotArea>
    </format>
    <format dxfId="2335">
      <pivotArea dataOnly="0" labelOnly="1" outline="0" fieldPosition="0">
        <references count="2">
          <reference field="3" count="1" selected="0">
            <x v="22"/>
          </reference>
          <reference field="5" count="1">
            <x v="19"/>
          </reference>
        </references>
      </pivotArea>
    </format>
    <format dxfId="2334">
      <pivotArea dataOnly="0" labelOnly="1" outline="0" fieldPosition="0">
        <references count="2">
          <reference field="3" count="1" selected="0">
            <x v="23"/>
          </reference>
          <reference field="5" count="1">
            <x v="21"/>
          </reference>
        </references>
      </pivotArea>
    </format>
    <format dxfId="2333">
      <pivotArea dataOnly="0" labelOnly="1" outline="0" fieldPosition="0">
        <references count="2">
          <reference field="3" count="1" selected="0">
            <x v="24"/>
          </reference>
          <reference field="5" count="1">
            <x v="22"/>
          </reference>
        </references>
      </pivotArea>
    </format>
    <format dxfId="2332">
      <pivotArea dataOnly="0" labelOnly="1" outline="0" fieldPosition="0">
        <references count="2">
          <reference field="3" count="1" selected="0">
            <x v="25"/>
          </reference>
          <reference field="5" count="1">
            <x v="23"/>
          </reference>
        </references>
      </pivotArea>
    </format>
    <format dxfId="2331">
      <pivotArea dataOnly="0" labelOnly="1" outline="0" fieldPosition="0">
        <references count="2">
          <reference field="3" count="1" selected="0">
            <x v="26"/>
          </reference>
          <reference field="5" count="1">
            <x v="24"/>
          </reference>
        </references>
      </pivotArea>
    </format>
    <format dxfId="2330">
      <pivotArea dataOnly="0" labelOnly="1" outline="0" fieldPosition="0">
        <references count="2">
          <reference field="3" count="1" selected="0">
            <x v="27"/>
          </reference>
          <reference field="5" count="1">
            <x v="25"/>
          </reference>
        </references>
      </pivotArea>
    </format>
    <format dxfId="2329">
      <pivotArea dataOnly="0" labelOnly="1" outline="0" fieldPosition="0">
        <references count="2">
          <reference field="3" count="1" selected="0">
            <x v="28"/>
          </reference>
          <reference field="5" count="1">
            <x v="26"/>
          </reference>
        </references>
      </pivotArea>
    </format>
    <format dxfId="2328">
      <pivotArea dataOnly="0" labelOnly="1" outline="0" fieldPosition="0">
        <references count="2">
          <reference field="3" count="1" selected="0">
            <x v="29"/>
          </reference>
          <reference field="5" count="1">
            <x v="27"/>
          </reference>
        </references>
      </pivotArea>
    </format>
    <format dxfId="2327">
      <pivotArea dataOnly="0" labelOnly="1" outline="0" fieldPosition="0">
        <references count="2">
          <reference field="3" count="1" selected="0">
            <x v="30"/>
          </reference>
          <reference field="5" count="1">
            <x v="28"/>
          </reference>
        </references>
      </pivotArea>
    </format>
    <format dxfId="2326">
      <pivotArea dataOnly="0" labelOnly="1" outline="0" fieldPosition="0">
        <references count="2">
          <reference field="3" count="1" selected="0">
            <x v="31"/>
          </reference>
          <reference field="5" count="1">
            <x v="29"/>
          </reference>
        </references>
      </pivotArea>
    </format>
    <format dxfId="2325">
      <pivotArea dataOnly="0" labelOnly="1" outline="0" fieldPosition="0">
        <references count="2">
          <reference field="3" count="1" selected="0">
            <x v="32"/>
          </reference>
          <reference field="5" count="1">
            <x v="30"/>
          </reference>
        </references>
      </pivotArea>
    </format>
    <format dxfId="2324">
      <pivotArea dataOnly="0" labelOnly="1" outline="0" fieldPosition="0">
        <references count="2">
          <reference field="3" count="1" selected="0">
            <x v="33"/>
          </reference>
          <reference field="5" count="1">
            <x v="31"/>
          </reference>
        </references>
      </pivotArea>
    </format>
    <format dxfId="2323">
      <pivotArea dataOnly="0" labelOnly="1" outline="0" fieldPosition="0">
        <references count="2">
          <reference field="3" count="1" selected="0">
            <x v="34"/>
          </reference>
          <reference field="5" count="1">
            <x v="34"/>
          </reference>
        </references>
      </pivotArea>
    </format>
    <format dxfId="2322">
      <pivotArea dataOnly="0" labelOnly="1" outline="0" fieldPosition="0">
        <references count="2">
          <reference field="3" count="1" selected="0">
            <x v="35"/>
          </reference>
          <reference field="5" count="1">
            <x v="36"/>
          </reference>
        </references>
      </pivotArea>
    </format>
    <format dxfId="2321">
      <pivotArea dataOnly="0" labelOnly="1" outline="0" fieldPosition="0">
        <references count="2">
          <reference field="3" count="1" selected="0">
            <x v="36"/>
          </reference>
          <reference field="5" count="1">
            <x v="38"/>
          </reference>
        </references>
      </pivotArea>
    </format>
    <format dxfId="2320">
      <pivotArea dataOnly="0" labelOnly="1" outline="0" fieldPosition="0">
        <references count="2">
          <reference field="3" count="1" selected="0">
            <x v="37"/>
          </reference>
          <reference field="5" count="1">
            <x v="37"/>
          </reference>
        </references>
      </pivotArea>
    </format>
    <format dxfId="2319">
      <pivotArea dataOnly="0" labelOnly="1" outline="0" fieldPosition="0">
        <references count="2">
          <reference field="3" count="1" selected="0">
            <x v="38"/>
          </reference>
          <reference field="5" count="1">
            <x v="39"/>
          </reference>
        </references>
      </pivotArea>
    </format>
    <format dxfId="2318">
      <pivotArea dataOnly="0" labelOnly="1" outline="0" fieldPosition="0">
        <references count="2">
          <reference field="3" count="1" selected="0">
            <x v="39"/>
          </reference>
          <reference field="5" count="1">
            <x v="3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5B412-A9D6-4B50-BB35-9973C998D421}" name="PivotTable6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L3:AP22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h="1" x="2"/>
        <item h="1" x="5"/>
        <item h="1" x="0"/>
        <item h="1" x="3"/>
        <item x="1"/>
        <item h="1"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8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212">
      <pivotArea outline="0" collapsedLevelsAreSubtotals="1" fieldPosition="0"/>
    </format>
    <format dxfId="2211">
      <pivotArea field="2" type="button" dataOnly="0" labelOnly="1" outline="0" axis="axisRow" fieldPosition="0"/>
    </format>
    <format dxfId="22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09">
      <pivotArea outline="0" collapsedLevelsAreSubtotals="1" fieldPosition="0"/>
    </format>
    <format dxfId="2208">
      <pivotArea dataOnly="0" labelOnly="1" outline="0" fieldPosition="0">
        <references count="1">
          <reference field="6" count="0"/>
        </references>
      </pivotArea>
    </format>
    <format dxfId="2207">
      <pivotArea field="-2" type="button" dataOnly="0" labelOnly="1" outline="0" axis="axisCol" fieldPosition="0"/>
    </format>
    <format dxfId="2206">
      <pivotArea type="topRight" dataOnly="0" labelOnly="1" outline="0" fieldPosition="0"/>
    </format>
    <format dxfId="22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04">
      <pivotArea type="all" dataOnly="0" outline="0" fieldPosition="0"/>
    </format>
    <format dxfId="2203">
      <pivotArea dataOnly="0" grandRow="1" outline="0" fieldPosition="0"/>
    </format>
    <format dxfId="22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0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00">
      <pivotArea type="all" dataOnly="0" outline="0" fieldPosition="0"/>
    </format>
    <format dxfId="2199">
      <pivotArea outline="0" collapsedLevelsAreSubtotals="1" fieldPosition="0"/>
    </format>
    <format dxfId="2198">
      <pivotArea type="origin" dataOnly="0" labelOnly="1" outline="0" fieldPosition="0"/>
    </format>
    <format dxfId="2197">
      <pivotArea field="-2" type="button" dataOnly="0" labelOnly="1" outline="0" axis="axisCol" fieldPosition="0"/>
    </format>
    <format dxfId="2196">
      <pivotArea type="topRight" dataOnly="0" labelOnly="1" outline="0" fieldPosition="0"/>
    </format>
    <format dxfId="2195">
      <pivotArea field="2" type="button" dataOnly="0" labelOnly="1" outline="0" axis="axisRow" fieldPosition="0"/>
    </format>
    <format dxfId="2194">
      <pivotArea dataOnly="0" labelOnly="1" outline="0" fieldPosition="0">
        <references count="1">
          <reference field="2" count="0"/>
        </references>
      </pivotArea>
    </format>
    <format dxfId="2193">
      <pivotArea dataOnly="0" labelOnly="1" grandRow="1" outline="0" fieldPosition="0"/>
    </format>
    <format dxfId="219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584AE-0D71-424F-BAD6-901FED117CE5}" name="PivotTable21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B3:F21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x="2"/>
        <item h="1" x="5"/>
        <item h="1" x="0"/>
        <item h="1" x="3"/>
        <item h="1" x="1"/>
        <item h="1"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7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233">
      <pivotArea outline="0" collapsedLevelsAreSubtotals="1" fieldPosition="0"/>
    </format>
    <format dxfId="2232">
      <pivotArea field="2" type="button" dataOnly="0" labelOnly="1" outline="0" axis="axisRow" fieldPosition="0"/>
    </format>
    <format dxfId="22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30">
      <pivotArea outline="0" collapsedLevelsAreSubtotals="1" fieldPosition="0"/>
    </format>
    <format dxfId="2229">
      <pivotArea dataOnly="0" labelOnly="1" outline="0" fieldPosition="0">
        <references count="1">
          <reference field="6" count="0"/>
        </references>
      </pivotArea>
    </format>
    <format dxfId="2228">
      <pivotArea field="-2" type="button" dataOnly="0" labelOnly="1" outline="0" axis="axisCol" fieldPosition="0"/>
    </format>
    <format dxfId="2227">
      <pivotArea type="topRight" dataOnly="0" labelOnly="1" outline="0" fieldPosition="0"/>
    </format>
    <format dxfId="22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25">
      <pivotArea type="all" dataOnly="0" outline="0" fieldPosition="0"/>
    </format>
    <format dxfId="2224">
      <pivotArea dataOnly="0" grandRow="1" outline="0" fieldPosition="0"/>
    </format>
    <format dxfId="22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21">
      <pivotArea type="all" dataOnly="0" outline="0" fieldPosition="0"/>
    </format>
    <format dxfId="2220">
      <pivotArea outline="0" collapsedLevelsAreSubtotals="1" fieldPosition="0"/>
    </format>
    <format dxfId="2219">
      <pivotArea type="origin" dataOnly="0" labelOnly="1" outline="0" fieldPosition="0"/>
    </format>
    <format dxfId="2218">
      <pivotArea field="-2" type="button" dataOnly="0" labelOnly="1" outline="0" axis="axisCol" fieldPosition="0"/>
    </format>
    <format dxfId="2217">
      <pivotArea type="topRight" dataOnly="0" labelOnly="1" outline="0" fieldPosition="0"/>
    </format>
    <format dxfId="2216">
      <pivotArea field="2" type="button" dataOnly="0" labelOnly="1" outline="0" axis="axisRow" fieldPosition="0"/>
    </format>
    <format dxfId="2215">
      <pivotArea dataOnly="0" labelOnly="1" outline="0" fieldPosition="0">
        <references count="1">
          <reference field="2" count="0"/>
        </references>
      </pivotArea>
    </format>
    <format dxfId="2214">
      <pivotArea dataOnly="0" labelOnly="1" grandRow="1" outline="0" fieldPosition="0"/>
    </format>
    <format dxfId="2213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BE31B-4AB6-4DB1-92AB-DCC55AF41254}" name="PivotTable4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T3:X21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h="1" x="2"/>
        <item h="1" x="5"/>
        <item x="0"/>
        <item h="1" x="3"/>
        <item h="1" x="1"/>
        <item h="1"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254">
      <pivotArea outline="0" collapsedLevelsAreSubtotals="1" fieldPosition="0"/>
    </format>
    <format dxfId="2253">
      <pivotArea field="2" type="button" dataOnly="0" labelOnly="1" outline="0" axis="axisRow" fieldPosition="0"/>
    </format>
    <format dxfId="22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51">
      <pivotArea outline="0" collapsedLevelsAreSubtotals="1" fieldPosition="0"/>
    </format>
    <format dxfId="2250">
      <pivotArea dataOnly="0" labelOnly="1" outline="0" fieldPosition="0">
        <references count="1">
          <reference field="6" count="0"/>
        </references>
      </pivotArea>
    </format>
    <format dxfId="2249">
      <pivotArea field="-2" type="button" dataOnly="0" labelOnly="1" outline="0" axis="axisCol" fieldPosition="0"/>
    </format>
    <format dxfId="2248">
      <pivotArea type="topRight" dataOnly="0" labelOnly="1" outline="0" fieldPosition="0"/>
    </format>
    <format dxfId="22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46">
      <pivotArea type="all" dataOnly="0" outline="0" fieldPosition="0"/>
    </format>
    <format dxfId="2245">
      <pivotArea dataOnly="0" grandRow="1" outline="0" fieldPosition="0"/>
    </format>
    <format dxfId="224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4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42">
      <pivotArea type="all" dataOnly="0" outline="0" fieldPosition="0"/>
    </format>
    <format dxfId="2241">
      <pivotArea outline="0" collapsedLevelsAreSubtotals="1" fieldPosition="0"/>
    </format>
    <format dxfId="2240">
      <pivotArea type="origin" dataOnly="0" labelOnly="1" outline="0" fieldPosition="0"/>
    </format>
    <format dxfId="2239">
      <pivotArea field="-2" type="button" dataOnly="0" labelOnly="1" outline="0" axis="axisCol" fieldPosition="0"/>
    </format>
    <format dxfId="2238">
      <pivotArea type="topRight" dataOnly="0" labelOnly="1" outline="0" fieldPosition="0"/>
    </format>
    <format dxfId="2237">
      <pivotArea field="2" type="button" dataOnly="0" labelOnly="1" outline="0" axis="axisRow" fieldPosition="0"/>
    </format>
    <format dxfId="2236">
      <pivotArea dataOnly="0" labelOnly="1" outline="0" fieldPosition="0">
        <references count="1">
          <reference field="2" count="0"/>
        </references>
      </pivotArea>
    </format>
    <format dxfId="2235">
      <pivotArea dataOnly="0" labelOnly="1" grandRow="1" outline="0" fieldPosition="0"/>
    </format>
    <format dxfId="223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F3831-E4EA-4021-B727-AA5217369F4C}" name="PivotTable5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C3:AG20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h="1" x="2"/>
        <item h="1" x="5"/>
        <item h="1" x="0"/>
        <item x="3"/>
        <item h="1" x="1"/>
        <item h="1"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6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275">
      <pivotArea outline="0" collapsedLevelsAreSubtotals="1" fieldPosition="0"/>
    </format>
    <format dxfId="2274">
      <pivotArea field="2" type="button" dataOnly="0" labelOnly="1" outline="0" axis="axisRow" fieldPosition="0"/>
    </format>
    <format dxfId="22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72">
      <pivotArea outline="0" collapsedLevelsAreSubtotals="1" fieldPosition="0"/>
    </format>
    <format dxfId="2271">
      <pivotArea dataOnly="0" labelOnly="1" outline="0" fieldPosition="0">
        <references count="1">
          <reference field="6" count="0"/>
        </references>
      </pivotArea>
    </format>
    <format dxfId="2270">
      <pivotArea field="-2" type="button" dataOnly="0" labelOnly="1" outline="0" axis="axisCol" fieldPosition="0"/>
    </format>
    <format dxfId="2269">
      <pivotArea type="topRight" dataOnly="0" labelOnly="1" outline="0" fieldPosition="0"/>
    </format>
    <format dxfId="22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67">
      <pivotArea type="all" dataOnly="0" outline="0" fieldPosition="0"/>
    </format>
    <format dxfId="2266">
      <pivotArea dataOnly="0" grandRow="1" outline="0" fieldPosition="0"/>
    </format>
    <format dxfId="22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6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63">
      <pivotArea type="all" dataOnly="0" outline="0" fieldPosition="0"/>
    </format>
    <format dxfId="2262">
      <pivotArea outline="0" collapsedLevelsAreSubtotals="1" fieldPosition="0"/>
    </format>
    <format dxfId="2261">
      <pivotArea type="origin" dataOnly="0" labelOnly="1" outline="0" fieldPosition="0"/>
    </format>
    <format dxfId="2260">
      <pivotArea field="-2" type="button" dataOnly="0" labelOnly="1" outline="0" axis="axisCol" fieldPosition="0"/>
    </format>
    <format dxfId="2259">
      <pivotArea type="topRight" dataOnly="0" labelOnly="1" outline="0" fieldPosition="0"/>
    </format>
    <format dxfId="2258">
      <pivotArea field="2" type="button" dataOnly="0" labelOnly="1" outline="0" axis="axisRow" fieldPosition="0"/>
    </format>
    <format dxfId="2257">
      <pivotArea dataOnly="0" labelOnly="1" outline="0" fieldPosition="0">
        <references count="1">
          <reference field="2" count="0"/>
        </references>
      </pivotArea>
    </format>
    <format dxfId="2256">
      <pivotArea dataOnly="0" labelOnly="1" grandRow="1" outline="0" fieldPosition="0"/>
    </format>
    <format dxfId="2255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23B1C-CAE5-4717-898B-BF0F2CB24152}" name="PivotTable3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K3:O20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h="1" x="2"/>
        <item x="5"/>
        <item h="1" x="0"/>
        <item h="1" x="3"/>
        <item h="1" x="1"/>
        <item h="1"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6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296">
      <pivotArea outline="0" collapsedLevelsAreSubtotals="1" fieldPosition="0"/>
    </format>
    <format dxfId="2295">
      <pivotArea field="2" type="button" dataOnly="0" labelOnly="1" outline="0" axis="axisRow" fieldPosition="0"/>
    </format>
    <format dxfId="22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93">
      <pivotArea outline="0" collapsedLevelsAreSubtotals="1" fieldPosition="0"/>
    </format>
    <format dxfId="2292">
      <pivotArea dataOnly="0" labelOnly="1" outline="0" fieldPosition="0">
        <references count="1">
          <reference field="6" count="0"/>
        </references>
      </pivotArea>
    </format>
    <format dxfId="2291">
      <pivotArea field="-2" type="button" dataOnly="0" labelOnly="1" outline="0" axis="axisCol" fieldPosition="0"/>
    </format>
    <format dxfId="2290">
      <pivotArea type="topRight" dataOnly="0" labelOnly="1" outline="0" fieldPosition="0"/>
    </format>
    <format dxfId="22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88">
      <pivotArea type="all" dataOnly="0" outline="0" fieldPosition="0"/>
    </format>
    <format dxfId="2287">
      <pivotArea dataOnly="0" grandRow="1" outline="0" fieldPosition="0"/>
    </format>
    <format dxfId="22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8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84">
      <pivotArea type="all" dataOnly="0" outline="0" fieldPosition="0"/>
    </format>
    <format dxfId="2283">
      <pivotArea outline="0" collapsedLevelsAreSubtotals="1" fieldPosition="0"/>
    </format>
    <format dxfId="2282">
      <pivotArea type="origin" dataOnly="0" labelOnly="1" outline="0" fieldPosition="0"/>
    </format>
    <format dxfId="2281">
      <pivotArea field="-2" type="button" dataOnly="0" labelOnly="1" outline="0" axis="axisCol" fieldPosition="0"/>
    </format>
    <format dxfId="2280">
      <pivotArea type="topRight" dataOnly="0" labelOnly="1" outline="0" fieldPosition="0"/>
    </format>
    <format dxfId="2279">
      <pivotArea field="2" type="button" dataOnly="0" labelOnly="1" outline="0" axis="axisRow" fieldPosition="0"/>
    </format>
    <format dxfId="2278">
      <pivotArea dataOnly="0" labelOnly="1" outline="0" fieldPosition="0">
        <references count="1">
          <reference field="2" count="0"/>
        </references>
      </pivotArea>
    </format>
    <format dxfId="2277">
      <pivotArea dataOnly="0" labelOnly="1" grandRow="1" outline="0" fieldPosition="0"/>
    </format>
    <format dxfId="2276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F89C9-5FFB-479C-9EC5-9DBD1F631C79}" name="PivotTable7" cacheId="37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U3:AY20" firstHeaderRow="1" firstDataRow="2" firstDataCol="1" rowPageCount="1" colPageCount="1"/>
  <pivotFields count="18"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15"/>
        <item x="14"/>
        <item x="0"/>
        <item x="9"/>
        <item x="3"/>
        <item x="2"/>
        <item x="16"/>
        <item x="17"/>
        <item x="8"/>
        <item x="7"/>
        <item x="6"/>
        <item x="10"/>
        <item x="11"/>
        <item x="4"/>
        <item x="5"/>
        <item x="12"/>
        <item x="1"/>
        <item x="13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axis="axisPage" compact="0" outline="0" multipleItemSelectionAllowed="1" showAll="0" defaultSubtotal="0">
      <items count="7">
        <item h="1" x="2"/>
        <item h="1" x="5"/>
        <item h="1" x="0"/>
        <item h="1" x="3"/>
        <item h="1" x="1"/>
        <item x="4"/>
        <item h="1" x="6"/>
      </items>
    </pivotField>
    <pivotField compact="0" outline="0" showAll="0" defaultSubtotal="0"/>
    <pivotField dataField="1" compact="0" numFmtId="1" outline="0" subtotalTop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numFmtId="1" outline="0" showAll="0" defaultSubtotal="0"/>
    <pivotField compact="0" outline="0" showAll="0" defaultSubtotal="0"/>
    <pivotField compact="0" outline="0" subtotalTop="0" showAll="0" defaultSubtotal="0"/>
  </pivotFields>
  <rowFields count="1">
    <field x="2"/>
  </rowFields>
  <rowItems count="16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um of  RF May- 26" fld="8" baseField="0" baseItem="0" numFmtId="1"/>
    <dataField name="Sum of Sales Qty" fld="9" baseField="0" baseItem="0"/>
    <dataField name="Sum of Ready Stock" fld="13" baseField="0" baseItem="0"/>
    <dataField name="Sum of Ready + transist" fld="14" baseField="0" baseItem="0"/>
  </dataFields>
  <formats count="21">
    <format dxfId="2317">
      <pivotArea outline="0" collapsedLevelsAreSubtotals="1" fieldPosition="0"/>
    </format>
    <format dxfId="2316">
      <pivotArea field="2" type="button" dataOnly="0" labelOnly="1" outline="0" axis="axisRow" fieldPosition="0"/>
    </format>
    <format dxfId="23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4">
      <pivotArea outline="0" collapsedLevelsAreSubtotals="1" fieldPosition="0"/>
    </format>
    <format dxfId="2313">
      <pivotArea dataOnly="0" labelOnly="1" outline="0" fieldPosition="0">
        <references count="1">
          <reference field="6" count="0"/>
        </references>
      </pivotArea>
    </format>
    <format dxfId="2312">
      <pivotArea field="-2" type="button" dataOnly="0" labelOnly="1" outline="0" axis="axisCol" fieldPosition="0"/>
    </format>
    <format dxfId="2311">
      <pivotArea type="topRight" dataOnly="0" labelOnly="1" outline="0" fieldPosition="0"/>
    </format>
    <format dxfId="23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09">
      <pivotArea type="all" dataOnly="0" outline="0" fieldPosition="0"/>
    </format>
    <format dxfId="2308">
      <pivotArea dataOnly="0" grandRow="1" outline="0" fieldPosition="0"/>
    </format>
    <format dxfId="23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30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05">
      <pivotArea type="all" dataOnly="0" outline="0" fieldPosition="0"/>
    </format>
    <format dxfId="2304">
      <pivotArea outline="0" collapsedLevelsAreSubtotals="1" fieldPosition="0"/>
    </format>
    <format dxfId="2303">
      <pivotArea type="origin" dataOnly="0" labelOnly="1" outline="0" fieldPosition="0"/>
    </format>
    <format dxfId="2302">
      <pivotArea field="-2" type="button" dataOnly="0" labelOnly="1" outline="0" axis="axisCol" fieldPosition="0"/>
    </format>
    <format dxfId="2301">
      <pivotArea type="topRight" dataOnly="0" labelOnly="1" outline="0" fieldPosition="0"/>
    </format>
    <format dxfId="2300">
      <pivotArea field="2" type="button" dataOnly="0" labelOnly="1" outline="0" axis="axisRow" fieldPosition="0"/>
    </format>
    <format dxfId="2299">
      <pivotArea dataOnly="0" labelOnly="1" outline="0" fieldPosition="0">
        <references count="1">
          <reference field="2" count="0"/>
        </references>
      </pivotArea>
    </format>
    <format dxfId="2298">
      <pivotArea dataOnly="0" labelOnly="1" grandRow="1" outline="0" fieldPosition="0"/>
    </format>
    <format dxfId="2297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" dT="2024-12-06T07:33:08.88" personId="{CD9F1920-D281-4DBA-981A-408F249EC77A}" id="{0699B721-33D0-4972-A990-FCB68B339887}">
    <text>Formula changed for silver sku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2323-1E82-4CA4-A137-630F0CBE3231}">
  <dimension ref="B3:P25"/>
  <sheetViews>
    <sheetView showGridLines="0" topLeftCell="A4" zoomScaleNormal="100" workbookViewId="0">
      <selection activeCell="I10" sqref="I10"/>
    </sheetView>
  </sheetViews>
  <sheetFormatPr defaultColWidth="9" defaultRowHeight="12"/>
  <cols>
    <col min="1" max="1" width="9" style="4"/>
    <col min="2" max="2" width="9.28515625" style="16" bestFit="1" customWidth="1"/>
    <col min="3" max="4" width="7" style="13" bestFit="1" customWidth="1"/>
    <col min="5" max="5" width="9.7109375" style="16" bestFit="1" customWidth="1"/>
    <col min="6" max="6" width="10.85546875" style="13" bestFit="1" customWidth="1"/>
    <col min="7" max="7" width="9" style="13"/>
    <col min="8" max="9" width="9" style="4"/>
    <col min="10" max="10" width="10.28515625" style="4" bestFit="1" customWidth="1"/>
    <col min="11" max="16384" width="9" style="4"/>
  </cols>
  <sheetData>
    <row r="3" spans="2:16" ht="12.75" thickBot="1">
      <c r="C3" s="21" t="s">
        <v>141</v>
      </c>
      <c r="E3" s="13"/>
    </row>
    <row r="4" spans="2:16" s="3" customFormat="1" ht="36.75" thickBot="1">
      <c r="B4" s="581" t="s">
        <v>5</v>
      </c>
      <c r="C4" s="16" t="s">
        <v>1241</v>
      </c>
      <c r="D4" s="585" t="s">
        <v>142</v>
      </c>
      <c r="E4" s="586" t="s">
        <v>163</v>
      </c>
      <c r="F4" s="587" t="s">
        <v>157</v>
      </c>
      <c r="G4" s="574"/>
    </row>
    <row r="5" spans="2:16" ht="14.1" customHeight="1">
      <c r="B5" s="582" t="s">
        <v>30</v>
      </c>
      <c r="C5" s="588">
        <v>436307.39999999997</v>
      </c>
      <c r="D5" s="589">
        <v>219036</v>
      </c>
      <c r="E5" s="578">
        <v>234396</v>
      </c>
      <c r="F5" s="579">
        <v>258348</v>
      </c>
      <c r="G5" s="575">
        <f>D5/C5</f>
        <v>0.50202219811078153</v>
      </c>
      <c r="I5" s="7"/>
      <c r="J5" s="7"/>
      <c r="K5" s="7"/>
      <c r="L5" s="7"/>
      <c r="M5"/>
      <c r="N5"/>
      <c r="O5"/>
    </row>
    <row r="6" spans="2:16" ht="14.1" customHeight="1">
      <c r="B6" s="583" t="s">
        <v>73</v>
      </c>
      <c r="C6" s="590">
        <v>252703.91999999995</v>
      </c>
      <c r="D6" s="641">
        <v>141564</v>
      </c>
      <c r="E6" s="642">
        <v>282492</v>
      </c>
      <c r="F6" s="580">
        <v>297612</v>
      </c>
      <c r="G6" s="576">
        <f t="shared" ref="G6:G11" si="0">D6/C6</f>
        <v>0.56019708756397613</v>
      </c>
      <c r="I6" s="7"/>
      <c r="J6" s="7"/>
      <c r="K6" s="7"/>
      <c r="L6" s="7"/>
      <c r="M6"/>
      <c r="N6"/>
      <c r="O6"/>
    </row>
    <row r="7" spans="2:16" ht="14.1" customHeight="1">
      <c r="B7" s="583" t="s">
        <v>31</v>
      </c>
      <c r="C7" s="590">
        <v>4669.2</v>
      </c>
      <c r="D7" s="641">
        <v>2736</v>
      </c>
      <c r="E7" s="642">
        <v>5988</v>
      </c>
      <c r="F7" s="580">
        <v>5988</v>
      </c>
      <c r="G7" s="576">
        <f t="shared" si="0"/>
        <v>0.5859676175790286</v>
      </c>
      <c r="I7" s="7"/>
      <c r="J7" s="7"/>
      <c r="K7" s="7"/>
      <c r="L7" s="8"/>
      <c r="M7"/>
      <c r="N7"/>
      <c r="O7"/>
    </row>
    <row r="8" spans="2:16" ht="14.1" customHeight="1" thickBot="1">
      <c r="B8" s="583" t="s">
        <v>36</v>
      </c>
      <c r="C8" s="590">
        <v>86200.949999999968</v>
      </c>
      <c r="D8" s="641">
        <v>50840</v>
      </c>
      <c r="E8" s="642">
        <v>113671</v>
      </c>
      <c r="F8" s="580">
        <v>121825</v>
      </c>
      <c r="G8" s="576">
        <f t="shared" si="0"/>
        <v>0.58978468334745748</v>
      </c>
      <c r="I8" s="31"/>
      <c r="J8" s="7"/>
      <c r="K8" s="7"/>
      <c r="L8" s="7"/>
      <c r="M8" s="323"/>
      <c r="N8"/>
      <c r="O8"/>
    </row>
    <row r="9" spans="2:16" ht="14.1" customHeight="1">
      <c r="B9" s="583" t="s">
        <v>17</v>
      </c>
      <c r="C9" s="590">
        <v>5417188.4200000018</v>
      </c>
      <c r="D9" s="641">
        <v>3107580</v>
      </c>
      <c r="E9" s="642">
        <v>3764366</v>
      </c>
      <c r="F9" s="580">
        <v>4484438</v>
      </c>
      <c r="G9" s="576">
        <f t="shared" si="0"/>
        <v>0.57365182066161158</v>
      </c>
      <c r="H9" s="572" t="s">
        <v>835</v>
      </c>
      <c r="I9" s="570">
        <v>3365905</v>
      </c>
      <c r="J9" s="7"/>
      <c r="K9" s="7"/>
      <c r="L9" s="7"/>
      <c r="M9" s="324"/>
      <c r="N9" s="323"/>
      <c r="O9"/>
    </row>
    <row r="10" spans="2:16" ht="14.1" customHeight="1" thickBot="1">
      <c r="B10" s="583" t="s">
        <v>169</v>
      </c>
      <c r="C10" s="590">
        <v>43052.039999999994</v>
      </c>
      <c r="D10" s="641">
        <v>20928</v>
      </c>
      <c r="E10" s="642">
        <v>27480</v>
      </c>
      <c r="F10" s="580">
        <v>28294</v>
      </c>
      <c r="G10" s="576">
        <f t="shared" si="0"/>
        <v>0.48610936903338386</v>
      </c>
      <c r="H10" s="573" t="s">
        <v>836</v>
      </c>
      <c r="I10" s="571">
        <v>3542684</v>
      </c>
      <c r="J10" s="321">
        <f>I10-I9</f>
        <v>176779</v>
      </c>
      <c r="K10" s="7"/>
      <c r="L10" s="7"/>
      <c r="M10"/>
      <c r="N10"/>
      <c r="O10"/>
    </row>
    <row r="11" spans="2:16" ht="14.1" customHeight="1" thickBot="1">
      <c r="B11" s="584" t="s">
        <v>1245</v>
      </c>
      <c r="C11" s="590">
        <v>0</v>
      </c>
      <c r="D11" s="641">
        <v>0</v>
      </c>
      <c r="E11" s="642">
        <v>1164</v>
      </c>
      <c r="F11" s="580">
        <v>1164</v>
      </c>
      <c r="G11" s="577" t="e">
        <f t="shared" si="0"/>
        <v>#DIV/0!</v>
      </c>
      <c r="H11" s="27"/>
      <c r="I11" s="27"/>
      <c r="J11" s="27"/>
      <c r="K11" s="7"/>
      <c r="L11" s="7"/>
      <c r="M11"/>
      <c r="N11"/>
      <c r="O11"/>
    </row>
    <row r="12" spans="2:16" ht="15.75" thickBot="1">
      <c r="B12" s="623" t="s">
        <v>118</v>
      </c>
      <c r="C12" s="620">
        <v>6240121.9300000016</v>
      </c>
      <c r="D12" s="621">
        <v>3542684</v>
      </c>
      <c r="E12" s="621">
        <v>4429557</v>
      </c>
      <c r="F12" s="622">
        <v>5197669</v>
      </c>
      <c r="G12" s="30"/>
      <c r="H12" s="27"/>
      <c r="I12" s="27"/>
      <c r="J12" s="27"/>
      <c r="K12" s="7"/>
      <c r="L12" s="7"/>
      <c r="M12"/>
      <c r="N12"/>
      <c r="O12"/>
    </row>
    <row r="13" spans="2:16" ht="15">
      <c r="B13"/>
      <c r="C13"/>
      <c r="D13"/>
      <c r="E13"/>
      <c r="F13"/>
      <c r="H13" s="27"/>
      <c r="I13" s="27"/>
      <c r="J13" s="27"/>
    </row>
    <row r="14" spans="2:16" ht="12.75" thickBot="1">
      <c r="H14" s="27"/>
      <c r="I14" s="27"/>
      <c r="J14" s="27"/>
      <c r="L14" s="67"/>
      <c r="N14" s="67"/>
      <c r="P14" s="67"/>
    </row>
    <row r="15" spans="2:16" s="27" customFormat="1" ht="36.75" thickBot="1">
      <c r="B15" s="559" t="s">
        <v>5</v>
      </c>
      <c r="C15" s="560" t="s">
        <v>1239</v>
      </c>
      <c r="D15" s="560" t="s">
        <v>154</v>
      </c>
      <c r="E15" s="560" t="s">
        <v>11</v>
      </c>
      <c r="F15" s="560" t="s">
        <v>164</v>
      </c>
      <c r="G15" s="560" t="s">
        <v>143</v>
      </c>
      <c r="H15" s="560" t="s">
        <v>858</v>
      </c>
      <c r="I15" s="561" t="s">
        <v>859</v>
      </c>
    </row>
    <row r="16" spans="2:16" ht="15" customHeight="1">
      <c r="B16" s="555" t="s">
        <v>30</v>
      </c>
      <c r="C16" s="556">
        <f t="shared" ref="C16:F21" si="1">C5</f>
        <v>436307.39999999997</v>
      </c>
      <c r="D16" s="556">
        <f t="shared" si="1"/>
        <v>219036</v>
      </c>
      <c r="E16" s="556">
        <f t="shared" si="1"/>
        <v>234396</v>
      </c>
      <c r="F16" s="556">
        <f t="shared" si="1"/>
        <v>258348</v>
      </c>
      <c r="G16" s="557">
        <f t="shared" ref="G16:G22" si="2">D16/C16</f>
        <v>0.50202219811078153</v>
      </c>
      <c r="H16" s="556">
        <f>+E16/(C16/30)</f>
        <v>16.116802052864564</v>
      </c>
      <c r="I16" s="558">
        <f>+F16/(C16/30)</f>
        <v>17.763714298680245</v>
      </c>
    </row>
    <row r="17" spans="2:9" ht="15" customHeight="1">
      <c r="B17" s="553" t="s">
        <v>73</v>
      </c>
      <c r="C17" s="551">
        <f t="shared" si="1"/>
        <v>252703.91999999995</v>
      </c>
      <c r="D17" s="551">
        <f t="shared" si="1"/>
        <v>141564</v>
      </c>
      <c r="E17" s="551">
        <f t="shared" si="1"/>
        <v>282492</v>
      </c>
      <c r="F17" s="551">
        <f t="shared" si="1"/>
        <v>297612</v>
      </c>
      <c r="G17" s="552">
        <f t="shared" si="2"/>
        <v>0.56019708756397613</v>
      </c>
      <c r="H17" s="551">
        <f t="shared" ref="H17:H22" si="3">+E17/(C17/30)</f>
        <v>33.536321874231319</v>
      </c>
      <c r="I17" s="554">
        <f t="shared" ref="I17:I22" si="4">+F17/(C17/30)</f>
        <v>35.331307879988572</v>
      </c>
    </row>
    <row r="18" spans="2:9" ht="15" customHeight="1">
      <c r="B18" s="553" t="s">
        <v>31</v>
      </c>
      <c r="C18" s="551">
        <f t="shared" si="1"/>
        <v>4669.2</v>
      </c>
      <c r="D18" s="551">
        <f t="shared" si="1"/>
        <v>2736</v>
      </c>
      <c r="E18" s="551">
        <f t="shared" si="1"/>
        <v>5988</v>
      </c>
      <c r="F18" s="551">
        <f t="shared" si="1"/>
        <v>5988</v>
      </c>
      <c r="G18" s="552">
        <f>D18/C18</f>
        <v>0.5859676175790286</v>
      </c>
      <c r="H18" s="551">
        <f>+E18/(C18/30)</f>
        <v>38.473400154202011</v>
      </c>
      <c r="I18" s="554">
        <f t="shared" si="4"/>
        <v>38.473400154202011</v>
      </c>
    </row>
    <row r="19" spans="2:9" ht="15" customHeight="1">
      <c r="B19" s="553" t="s">
        <v>36</v>
      </c>
      <c r="C19" s="551">
        <f t="shared" si="1"/>
        <v>86200.949999999968</v>
      </c>
      <c r="D19" s="551">
        <f t="shared" si="1"/>
        <v>50840</v>
      </c>
      <c r="E19" s="551">
        <f t="shared" si="1"/>
        <v>113671</v>
      </c>
      <c r="F19" s="551">
        <f t="shared" si="1"/>
        <v>121825</v>
      </c>
      <c r="G19" s="552">
        <f t="shared" si="2"/>
        <v>0.58978468334745748</v>
      </c>
      <c r="H19" s="551">
        <f t="shared" si="3"/>
        <v>39.560236865138975</v>
      </c>
      <c r="I19" s="554">
        <f t="shared" si="4"/>
        <v>42.398024615738009</v>
      </c>
    </row>
    <row r="20" spans="2:9" ht="15" customHeight="1">
      <c r="B20" s="553" t="s">
        <v>17</v>
      </c>
      <c r="C20" s="551">
        <f t="shared" si="1"/>
        <v>5417188.4200000018</v>
      </c>
      <c r="D20" s="551">
        <f t="shared" si="1"/>
        <v>3107580</v>
      </c>
      <c r="E20" s="551">
        <f t="shared" si="1"/>
        <v>3764366</v>
      </c>
      <c r="F20" s="551">
        <f t="shared" si="1"/>
        <v>4484438</v>
      </c>
      <c r="G20" s="552">
        <f t="shared" si="2"/>
        <v>0.57365182066161158</v>
      </c>
      <c r="H20" s="551">
        <f t="shared" si="3"/>
        <v>20.846788268073563</v>
      </c>
      <c r="I20" s="554">
        <f t="shared" si="4"/>
        <v>24.834495234337805</v>
      </c>
    </row>
    <row r="21" spans="2:9" ht="15" customHeight="1" thickBot="1">
      <c r="B21" s="562" t="s">
        <v>169</v>
      </c>
      <c r="C21" s="563">
        <f t="shared" si="1"/>
        <v>43052.039999999994</v>
      </c>
      <c r="D21" s="563">
        <f t="shared" si="1"/>
        <v>20928</v>
      </c>
      <c r="E21" s="563">
        <f t="shared" si="1"/>
        <v>27480</v>
      </c>
      <c r="F21" s="563">
        <f t="shared" si="1"/>
        <v>28294</v>
      </c>
      <c r="G21" s="564">
        <f t="shared" si="2"/>
        <v>0.48610936903338386</v>
      </c>
      <c r="H21" s="563">
        <f t="shared" si="3"/>
        <v>19.14891837878066</v>
      </c>
      <c r="I21" s="565">
        <f t="shared" si="4"/>
        <v>19.716138886798397</v>
      </c>
    </row>
    <row r="22" spans="2:9" ht="15" customHeight="1" thickBot="1">
      <c r="B22" s="566" t="s">
        <v>118</v>
      </c>
      <c r="C22" s="567">
        <f>SUM(C16:C21)</f>
        <v>6240121.9300000016</v>
      </c>
      <c r="D22" s="567">
        <f>SUM(D16:D21)</f>
        <v>3542684</v>
      </c>
      <c r="E22" s="567">
        <f>SUM(E16:E21)</f>
        <v>4428393</v>
      </c>
      <c r="F22" s="567">
        <f>SUM(F16:F21)</f>
        <v>5196505</v>
      </c>
      <c r="G22" s="568">
        <f t="shared" si="2"/>
        <v>0.56772672709618022</v>
      </c>
      <c r="H22" s="567">
        <f t="shared" si="3"/>
        <v>21.2899349548447</v>
      </c>
      <c r="I22" s="569">
        <f t="shared" si="4"/>
        <v>24.982708951650238</v>
      </c>
    </row>
    <row r="23" spans="2:9">
      <c r="B23" s="16" t="s">
        <v>861</v>
      </c>
      <c r="F23" s="14">
        <f>F22-E22</f>
        <v>768112</v>
      </c>
    </row>
    <row r="24" spans="2:9">
      <c r="C24" s="14"/>
      <c r="D24" s="14"/>
    </row>
    <row r="25" spans="2:9">
      <c r="C25" s="14"/>
      <c r="D25" s="14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456A-0BA3-4BD5-AEBD-3536F8E1262E}">
  <dimension ref="A1:L20"/>
  <sheetViews>
    <sheetView showGridLines="0" tabSelected="1" zoomScale="115" zoomScaleNormal="115" workbookViewId="0">
      <selection activeCell="B2" sqref="B2:H11"/>
    </sheetView>
  </sheetViews>
  <sheetFormatPr defaultRowHeight="15"/>
  <cols>
    <col min="1" max="1" width="4.5703125" customWidth="1"/>
    <col min="2" max="2" width="18.140625" style="15" bestFit="1" customWidth="1"/>
    <col min="3" max="3" width="10.42578125" style="15" bestFit="1" customWidth="1"/>
    <col min="4" max="4" width="11" style="15" bestFit="1" customWidth="1"/>
    <col min="5" max="5" width="9.85546875" style="15" customWidth="1"/>
    <col min="6" max="6" width="0.140625" style="15" customWidth="1"/>
    <col min="7" max="7" width="10.28515625" style="15" bestFit="1" customWidth="1"/>
    <col min="8" max="8" width="10.7109375" bestFit="1" customWidth="1"/>
    <col min="9" max="9" width="1.140625" customWidth="1"/>
    <col min="10" max="10" width="8.42578125" hidden="1" customWidth="1"/>
    <col min="11" max="11" width="12.140625" hidden="1" customWidth="1"/>
    <col min="12" max="12" width="17.42578125" bestFit="1" customWidth="1"/>
  </cols>
  <sheetData>
    <row r="1" spans="1:12" ht="15.75" thickBot="1">
      <c r="C1" s="219">
        <f ca="1">TODAY()-1</f>
        <v>46166</v>
      </c>
      <c r="L1" s="218"/>
    </row>
    <row r="2" spans="1:12" s="4" customFormat="1" ht="28.7" customHeight="1" thickBot="1">
      <c r="B2" s="543" t="s">
        <v>1227</v>
      </c>
      <c r="C2" s="540" t="s">
        <v>1239</v>
      </c>
      <c r="D2" s="540" t="s">
        <v>158</v>
      </c>
      <c r="E2" s="540" t="s">
        <v>159</v>
      </c>
      <c r="F2" s="541"/>
      <c r="G2" s="540" t="s">
        <v>156</v>
      </c>
      <c r="H2" s="542" t="s">
        <v>162</v>
      </c>
      <c r="I2" s="3"/>
      <c r="J2" s="19" t="s">
        <v>12</v>
      </c>
      <c r="K2" s="20" t="s">
        <v>160</v>
      </c>
    </row>
    <row r="3" spans="1:12">
      <c r="B3" s="535" t="s">
        <v>761</v>
      </c>
      <c r="C3" s="536">
        <f>'Sale Summary'!C16</f>
        <v>436307.39999999997</v>
      </c>
      <c r="D3" s="536">
        <f>'Sale Summary'!D16</f>
        <v>219036</v>
      </c>
      <c r="E3" s="537">
        <f>D3/C3</f>
        <v>0.50202219811078153</v>
      </c>
      <c r="F3" s="538"/>
      <c r="G3" s="536">
        <f>'Sale Summary'!E16</f>
        <v>234396</v>
      </c>
      <c r="H3" s="539">
        <f>G3/(C3/30)</f>
        <v>16.116802052864564</v>
      </c>
      <c r="I3" s="3"/>
      <c r="J3" s="8">
        <f>'Sale Summary'!F16</f>
        <v>258348</v>
      </c>
      <c r="K3" s="8">
        <f>J3/(C3/30)</f>
        <v>17.763714298680245</v>
      </c>
      <c r="L3" s="1"/>
    </row>
    <row r="4" spans="1:12">
      <c r="B4" s="521" t="s">
        <v>73</v>
      </c>
      <c r="C4" s="513">
        <f>'Sale Summary'!C17</f>
        <v>252703.91999999995</v>
      </c>
      <c r="D4" s="513">
        <f>'Sale Summary'!D17</f>
        <v>141564</v>
      </c>
      <c r="E4" s="514">
        <f t="shared" ref="E4:E9" si="0">D4/C4</f>
        <v>0.56019708756397613</v>
      </c>
      <c r="F4" s="512"/>
      <c r="G4" s="513">
        <f>'Sale Summary'!E17</f>
        <v>282492</v>
      </c>
      <c r="H4" s="522">
        <f t="shared" ref="H4:H9" si="1">G4/(C4/30)</f>
        <v>33.536321874231319</v>
      </c>
      <c r="I4" s="3"/>
      <c r="J4" s="8">
        <f>'Sale Summary'!F17</f>
        <v>297612</v>
      </c>
      <c r="K4" s="8">
        <f t="shared" ref="K4:K9" si="2">J4/(C4/30)</f>
        <v>35.331307879988572</v>
      </c>
      <c r="L4" s="1"/>
    </row>
    <row r="5" spans="1:12">
      <c r="B5" s="521" t="s">
        <v>31</v>
      </c>
      <c r="C5" s="513">
        <f>'Sale Summary'!C18</f>
        <v>4669.2</v>
      </c>
      <c r="D5" s="513">
        <f>'Sale Summary'!D18</f>
        <v>2736</v>
      </c>
      <c r="E5" s="514">
        <f t="shared" si="0"/>
        <v>0.5859676175790286</v>
      </c>
      <c r="F5" s="512"/>
      <c r="G5" s="513">
        <f>'Sale Summary'!E18</f>
        <v>5988</v>
      </c>
      <c r="H5" s="522">
        <f t="shared" si="1"/>
        <v>38.473400154202011</v>
      </c>
      <c r="I5" s="3"/>
      <c r="J5" s="8">
        <f>'Sale Summary'!F18</f>
        <v>5988</v>
      </c>
      <c r="K5" s="8">
        <f t="shared" si="2"/>
        <v>38.473400154202011</v>
      </c>
      <c r="L5" s="1"/>
    </row>
    <row r="6" spans="1:12">
      <c r="B6" s="521" t="s">
        <v>36</v>
      </c>
      <c r="C6" s="513">
        <f>'Sale Summary'!C19</f>
        <v>86200.949999999968</v>
      </c>
      <c r="D6" s="513">
        <f>'Sale Summary'!D19</f>
        <v>50840</v>
      </c>
      <c r="E6" s="514">
        <f t="shared" si="0"/>
        <v>0.58978468334745748</v>
      </c>
      <c r="F6" s="512"/>
      <c r="G6" s="513">
        <f>'Sale Summary'!E19</f>
        <v>113671</v>
      </c>
      <c r="H6" s="522">
        <f t="shared" si="1"/>
        <v>39.560236865138975</v>
      </c>
      <c r="I6" s="3"/>
      <c r="J6" s="8">
        <f>'Sale Summary'!F19</f>
        <v>121825</v>
      </c>
      <c r="K6" s="8">
        <f t="shared" si="2"/>
        <v>42.398024615738009</v>
      </c>
      <c r="L6" s="1"/>
    </row>
    <row r="7" spans="1:12">
      <c r="B7" s="521" t="s">
        <v>17</v>
      </c>
      <c r="C7" s="513">
        <f>'Sale Summary'!C20</f>
        <v>5417188.4200000018</v>
      </c>
      <c r="D7" s="513">
        <f>'Sale Summary'!D20</f>
        <v>3107580</v>
      </c>
      <c r="E7" s="514">
        <f t="shared" si="0"/>
        <v>0.57365182066161158</v>
      </c>
      <c r="F7" s="512"/>
      <c r="G7" s="513">
        <f>'Sale Summary'!E20</f>
        <v>3764366</v>
      </c>
      <c r="H7" s="522">
        <f t="shared" si="1"/>
        <v>20.846788268073563</v>
      </c>
      <c r="I7" s="3"/>
      <c r="J7" s="8">
        <f>'Sale Summary'!F20</f>
        <v>4484438</v>
      </c>
      <c r="K7" s="8">
        <f t="shared" si="2"/>
        <v>24.834495234337805</v>
      </c>
      <c r="L7" s="36"/>
    </row>
    <row r="8" spans="1:12">
      <c r="B8" s="521" t="s">
        <v>169</v>
      </c>
      <c r="C8" s="513">
        <f>'Sale Summary'!C21</f>
        <v>43052.039999999994</v>
      </c>
      <c r="D8" s="513">
        <f>'Sale Summary'!D21</f>
        <v>20928</v>
      </c>
      <c r="E8" s="515">
        <f t="shared" si="0"/>
        <v>0.48610936903338386</v>
      </c>
      <c r="F8" s="512"/>
      <c r="G8" s="513">
        <f>'Sale Summary'!E21</f>
        <v>27480</v>
      </c>
      <c r="H8" s="522">
        <f t="shared" si="1"/>
        <v>19.14891837878066</v>
      </c>
      <c r="I8" s="3"/>
      <c r="J8" s="8">
        <f>'Sale Summary'!F21</f>
        <v>28294</v>
      </c>
      <c r="K8" s="8">
        <f t="shared" si="2"/>
        <v>19.716138886798397</v>
      </c>
      <c r="L8" s="1"/>
    </row>
    <row r="9" spans="1:12" ht="15.75" thickBot="1">
      <c r="A9" s="220">
        <f ca="1">C1-365</f>
        <v>45801</v>
      </c>
      <c r="B9" s="530" t="s">
        <v>118</v>
      </c>
      <c r="C9" s="531">
        <f>SUM(C3:C8)</f>
        <v>6240121.9300000016</v>
      </c>
      <c r="D9" s="531">
        <f>SUM(D3:D8)</f>
        <v>3542684</v>
      </c>
      <c r="E9" s="532">
        <f t="shared" si="0"/>
        <v>0.56772672709618022</v>
      </c>
      <c r="F9" s="533"/>
      <c r="G9" s="531">
        <f>SUM(G3:G8)</f>
        <v>4428393</v>
      </c>
      <c r="H9" s="534">
        <f t="shared" si="1"/>
        <v>21.2899349548447</v>
      </c>
      <c r="I9" s="3"/>
      <c r="J9" s="18">
        <f>SUM(J3:J8)</f>
        <v>5196505</v>
      </c>
      <c r="K9" s="18">
        <f t="shared" si="2"/>
        <v>24.982708951650238</v>
      </c>
    </row>
    <row r="10" spans="1:12" s="23" customFormat="1" ht="13.7" customHeight="1">
      <c r="B10" s="630"/>
      <c r="C10" s="631"/>
      <c r="D10" s="631"/>
      <c r="E10" s="631"/>
      <c r="F10" s="631"/>
      <c r="G10" s="631"/>
      <c r="H10" s="632"/>
      <c r="L10" s="60"/>
    </row>
    <row r="11" spans="1:12" s="32" customFormat="1">
      <c r="A11" s="220">
        <f ca="1">TODAY()</f>
        <v>46167</v>
      </c>
      <c r="B11" s="626" t="str">
        <f ca="1">TEXT(C1,"dd-mmm-yy")&amp;" "&amp;"sale"</f>
        <v>24-May-26 sale</v>
      </c>
      <c r="C11" s="627"/>
      <c r="D11" s="516">
        <f>'Sale Summary'!J10</f>
        <v>176779</v>
      </c>
      <c r="E11" s="517">
        <f>D11/1000</f>
        <v>176.779</v>
      </c>
      <c r="F11" s="518"/>
      <c r="G11" s="516"/>
      <c r="H11" s="523"/>
      <c r="L11" s="37"/>
    </row>
    <row r="12" spans="1:12" s="32" customFormat="1" ht="6" hidden="1" customHeight="1">
      <c r="B12" s="633" t="s">
        <v>197</v>
      </c>
      <c r="C12" s="634"/>
      <c r="D12" s="634"/>
      <c r="E12" s="634"/>
      <c r="F12" s="634"/>
      <c r="G12" s="634"/>
      <c r="H12" s="635"/>
    </row>
    <row r="13" spans="1:12" hidden="1">
      <c r="B13" s="626" t="str">
        <f ca="1">TEXT(A9,"dd-mmm-yy")&amp;" "&amp;"LY Closing sale"</f>
        <v>24-May-25 LY Closing sale</v>
      </c>
      <c r="C13" s="627"/>
      <c r="D13" s="519"/>
      <c r="E13" s="518"/>
      <c r="F13" s="520"/>
      <c r="G13" s="520"/>
      <c r="H13" s="524" t="s">
        <v>853</v>
      </c>
    </row>
    <row r="14" spans="1:12" ht="15.75" hidden="1" thickBot="1">
      <c r="B14" s="628" t="s">
        <v>196</v>
      </c>
      <c r="C14" s="629"/>
      <c r="D14" s="525">
        <v>63280</v>
      </c>
      <c r="E14" s="526"/>
      <c r="F14" s="527"/>
      <c r="G14" s="528"/>
      <c r="H14" s="529">
        <f>(D9-D14)/1000</f>
        <v>3479.404</v>
      </c>
      <c r="L14" s="66">
        <f>D9/D14</f>
        <v>55.984260429835651</v>
      </c>
    </row>
    <row r="16" spans="1:12">
      <c r="D16" s="58"/>
    </row>
    <row r="17" spans="3:4">
      <c r="C17" s="41"/>
      <c r="D17" s="227"/>
    </row>
    <row r="18" spans="3:4">
      <c r="C18" s="41"/>
      <c r="D18" s="227"/>
    </row>
    <row r="19" spans="3:4">
      <c r="C19" s="41"/>
      <c r="D19" s="227"/>
    </row>
    <row r="20" spans="3:4">
      <c r="C20" s="41"/>
      <c r="D20" s="59"/>
    </row>
  </sheetData>
  <mergeCells count="5">
    <mergeCell ref="B11:C11"/>
    <mergeCell ref="B13:C13"/>
    <mergeCell ref="B14:C14"/>
    <mergeCell ref="B10:H10"/>
    <mergeCell ref="B12:H12"/>
  </mergeCells>
  <phoneticPr fontId="12" type="noConversion"/>
  <pageMargins left="0.7" right="0.7" top="0.75" bottom="0.75" header="0.3" footer="0.3"/>
  <pageSetup orientation="portrait" r:id="rId1"/>
  <ignoredErrors>
    <ignoredError sqref="E8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3F3B-F6A0-4DF3-B284-1CD00D4C358B}">
  <dimension ref="A1:M64"/>
  <sheetViews>
    <sheetView showGridLines="0" topLeftCell="A33" zoomScaleNormal="100" workbookViewId="0">
      <selection activeCell="F57" sqref="F57"/>
    </sheetView>
  </sheetViews>
  <sheetFormatPr defaultColWidth="9.140625" defaultRowHeight="12"/>
  <cols>
    <col min="1" max="1" width="12.5703125" style="4" customWidth="1"/>
    <col min="2" max="2" width="35.28515625" style="4" bestFit="1" customWidth="1"/>
    <col min="3" max="3" width="15.140625" style="24" bestFit="1" customWidth="1"/>
    <col min="4" max="4" width="7" style="13" bestFit="1" customWidth="1"/>
    <col min="5" max="5" width="7" style="16" bestFit="1" customWidth="1"/>
    <col min="6" max="8" width="10.7109375" style="3" customWidth="1"/>
    <col min="9" max="9" width="5.7109375" style="4" bestFit="1" customWidth="1"/>
    <col min="10" max="16384" width="9.140625" style="4"/>
  </cols>
  <sheetData>
    <row r="1" spans="1:13">
      <c r="A1" s="9" t="s">
        <v>5</v>
      </c>
      <c r="B1" s="4" t="s">
        <v>178</v>
      </c>
    </row>
    <row r="3" spans="1:13" ht="12.75" thickBot="1">
      <c r="C3" s="25" t="s">
        <v>141</v>
      </c>
      <c r="E3" s="13"/>
    </row>
    <row r="4" spans="1:13" s="27" customFormat="1" ht="42.75" customHeight="1" thickBot="1">
      <c r="A4" s="26" t="s">
        <v>2</v>
      </c>
      <c r="B4" s="26" t="s">
        <v>4</v>
      </c>
      <c r="C4" s="4" t="s">
        <v>1241</v>
      </c>
      <c r="D4" s="24" t="s">
        <v>142</v>
      </c>
      <c r="E4" s="17" t="s">
        <v>157</v>
      </c>
      <c r="F4" s="595" t="s">
        <v>161</v>
      </c>
      <c r="G4" s="596" t="s">
        <v>165</v>
      </c>
      <c r="H4" s="597" t="s">
        <v>182</v>
      </c>
    </row>
    <row r="5" spans="1:13">
      <c r="A5" s="646" t="s">
        <v>51</v>
      </c>
      <c r="B5" s="4" t="s">
        <v>903</v>
      </c>
      <c r="C5" s="643">
        <v>1088745.6000000001</v>
      </c>
      <c r="D5" s="643">
        <v>631428</v>
      </c>
      <c r="E5" s="643">
        <v>489132</v>
      </c>
      <c r="F5" s="593">
        <f>E5/(C5/30)</f>
        <v>13.477859290545007</v>
      </c>
      <c r="G5" s="594">
        <f>D5/C5</f>
        <v>0.5799591750359312</v>
      </c>
      <c r="H5" s="558">
        <f>C5-D5-E5</f>
        <v>-31814.399999999907</v>
      </c>
      <c r="J5" s="7"/>
      <c r="K5" s="7"/>
      <c r="L5" s="7"/>
    </row>
    <row r="6" spans="1:13">
      <c r="A6" s="647" t="s">
        <v>53</v>
      </c>
      <c r="B6" s="647" t="s">
        <v>54</v>
      </c>
      <c r="C6" s="643">
        <v>129866.16</v>
      </c>
      <c r="D6" s="643">
        <v>84420</v>
      </c>
      <c r="E6" s="643">
        <v>90168</v>
      </c>
      <c r="F6" s="592">
        <f t="shared" ref="F6:F46" si="0">E6/(C6/30)</f>
        <v>20.829444714466032</v>
      </c>
      <c r="G6" s="591">
        <f t="shared" ref="G6:G47" si="1">D6/C6</f>
        <v>0.65005387084672406</v>
      </c>
      <c r="H6" s="554">
        <f t="shared" ref="H6:H47" si="2">C6-D6-E6</f>
        <v>-44721.84</v>
      </c>
      <c r="I6" s="7"/>
      <c r="J6" s="7"/>
      <c r="K6" s="8"/>
      <c r="M6" s="35"/>
    </row>
    <row r="7" spans="1:13">
      <c r="A7" s="647" t="s">
        <v>15</v>
      </c>
      <c r="B7" s="648" t="s">
        <v>16</v>
      </c>
      <c r="C7" s="643">
        <v>67239.240000000005</v>
      </c>
      <c r="D7" s="643">
        <v>35424</v>
      </c>
      <c r="E7" s="643">
        <v>52440</v>
      </c>
      <c r="F7" s="592">
        <f t="shared" si="0"/>
        <v>23.397052078518438</v>
      </c>
      <c r="G7" s="591">
        <f t="shared" si="1"/>
        <v>0.52683522300371033</v>
      </c>
      <c r="H7" s="554">
        <f t="shared" si="2"/>
        <v>-20624.759999999995</v>
      </c>
      <c r="J7" s="7"/>
      <c r="K7" s="8"/>
    </row>
    <row r="8" spans="1:13" ht="12" customHeight="1">
      <c r="A8" s="647" t="s">
        <v>55</v>
      </c>
      <c r="B8" s="647" t="s">
        <v>56</v>
      </c>
      <c r="C8" s="643">
        <v>306618.95999999996</v>
      </c>
      <c r="D8" s="643">
        <v>176112</v>
      </c>
      <c r="E8" s="643">
        <v>335568</v>
      </c>
      <c r="F8" s="592">
        <f t="shared" si="0"/>
        <v>32.832411929125321</v>
      </c>
      <c r="G8" s="591">
        <f t="shared" si="1"/>
        <v>0.57436761249206514</v>
      </c>
      <c r="H8" s="554">
        <f t="shared" si="2"/>
        <v>-205061.04000000004</v>
      </c>
      <c r="J8" s="7"/>
      <c r="K8" s="8"/>
    </row>
    <row r="9" spans="1:13">
      <c r="A9" s="647" t="s">
        <v>34</v>
      </c>
      <c r="B9" s="647" t="s">
        <v>35</v>
      </c>
      <c r="C9" s="643">
        <v>3122.19</v>
      </c>
      <c r="D9" s="643">
        <v>2016</v>
      </c>
      <c r="E9" s="643">
        <v>5265</v>
      </c>
      <c r="F9" s="592">
        <f t="shared" si="0"/>
        <v>50.589490069470465</v>
      </c>
      <c r="G9" s="591">
        <f t="shared" si="1"/>
        <v>0.64570061399210166</v>
      </c>
      <c r="H9" s="554">
        <f t="shared" si="2"/>
        <v>-4158.8099999999995</v>
      </c>
      <c r="K9" s="8"/>
    </row>
    <row r="10" spans="1:13">
      <c r="A10" s="647" t="s">
        <v>57</v>
      </c>
      <c r="B10" s="647" t="s">
        <v>58</v>
      </c>
      <c r="C10" s="643">
        <v>15687.719999999998</v>
      </c>
      <c r="D10" s="643">
        <v>8040</v>
      </c>
      <c r="E10" s="643">
        <v>29028</v>
      </c>
      <c r="F10" s="592">
        <f t="shared" si="0"/>
        <v>55.510934667370414</v>
      </c>
      <c r="G10" s="591">
        <f t="shared" si="1"/>
        <v>0.51250277286948021</v>
      </c>
      <c r="H10" s="554">
        <f t="shared" si="2"/>
        <v>-21380.280000000002</v>
      </c>
      <c r="I10" s="22"/>
      <c r="K10" s="8"/>
    </row>
    <row r="11" spans="1:13">
      <c r="A11" s="647" t="s">
        <v>28</v>
      </c>
      <c r="B11" s="647" t="s">
        <v>29</v>
      </c>
      <c r="C11" s="643">
        <v>317299.56</v>
      </c>
      <c r="D11" s="643">
        <v>160128</v>
      </c>
      <c r="E11" s="643">
        <v>188004</v>
      </c>
      <c r="F11" s="592">
        <f t="shared" si="0"/>
        <v>17.775379203173177</v>
      </c>
      <c r="G11" s="591">
        <f t="shared" si="1"/>
        <v>0.50465875212685452</v>
      </c>
      <c r="H11" s="554">
        <f t="shared" si="2"/>
        <v>-30832.440000000002</v>
      </c>
      <c r="K11" s="8"/>
    </row>
    <row r="12" spans="1:13">
      <c r="A12" s="647" t="s">
        <v>59</v>
      </c>
      <c r="B12" s="647" t="s">
        <v>60</v>
      </c>
      <c r="C12" s="643">
        <v>100813.44</v>
      </c>
      <c r="D12" s="643">
        <v>59328</v>
      </c>
      <c r="E12" s="643">
        <v>89208</v>
      </c>
      <c r="F12" s="592">
        <f t="shared" si="0"/>
        <v>26.546460471937078</v>
      </c>
      <c r="G12" s="591">
        <f t="shared" si="1"/>
        <v>0.58849296284304953</v>
      </c>
      <c r="H12" s="554">
        <f t="shared" si="2"/>
        <v>-47722.559999999998</v>
      </c>
      <c r="J12" s="7"/>
      <c r="K12" s="8"/>
    </row>
    <row r="13" spans="1:13">
      <c r="A13" s="647" t="s">
        <v>19</v>
      </c>
      <c r="B13" s="647" t="s">
        <v>20</v>
      </c>
      <c r="C13" s="643">
        <v>707016.72000000009</v>
      </c>
      <c r="D13" s="643">
        <v>376728</v>
      </c>
      <c r="E13" s="643">
        <v>661020</v>
      </c>
      <c r="F13" s="592">
        <f t="shared" si="0"/>
        <v>28.048275859727898</v>
      </c>
      <c r="G13" s="591">
        <f t="shared" si="1"/>
        <v>0.53284171271083935</v>
      </c>
      <c r="H13" s="554">
        <f t="shared" si="2"/>
        <v>-330731.27999999991</v>
      </c>
      <c r="J13" s="7"/>
      <c r="K13" s="8"/>
    </row>
    <row r="14" spans="1:13">
      <c r="A14" s="647" t="s">
        <v>61</v>
      </c>
      <c r="B14" s="647" t="s">
        <v>62</v>
      </c>
      <c r="C14" s="643">
        <v>203547.36</v>
      </c>
      <c r="D14" s="643">
        <v>111756</v>
      </c>
      <c r="E14" s="643">
        <v>194472</v>
      </c>
      <c r="F14" s="592">
        <f t="shared" si="0"/>
        <v>28.662420382165607</v>
      </c>
      <c r="G14" s="591">
        <f t="shared" si="1"/>
        <v>0.5490417561790043</v>
      </c>
      <c r="H14" s="554">
        <f t="shared" si="2"/>
        <v>-102680.64000000001</v>
      </c>
      <c r="J14" s="7"/>
      <c r="K14" s="8"/>
    </row>
    <row r="15" spans="1:13">
      <c r="A15" s="647" t="s">
        <v>22</v>
      </c>
      <c r="B15" s="647" t="s">
        <v>23</v>
      </c>
      <c r="C15" s="643">
        <v>857921.03999999992</v>
      </c>
      <c r="D15" s="643">
        <v>540564</v>
      </c>
      <c r="E15" s="643">
        <v>671700</v>
      </c>
      <c r="F15" s="592">
        <f t="shared" si="0"/>
        <v>23.488175555176966</v>
      </c>
      <c r="G15" s="591">
        <f t="shared" si="1"/>
        <v>0.63008595756084973</v>
      </c>
      <c r="H15" s="554">
        <f t="shared" si="2"/>
        <v>-354342.96000000008</v>
      </c>
      <c r="J15" s="7"/>
      <c r="K15" s="8"/>
    </row>
    <row r="16" spans="1:13">
      <c r="A16" s="647" t="s">
        <v>37</v>
      </c>
      <c r="B16" s="647" t="s">
        <v>38</v>
      </c>
      <c r="C16" s="643">
        <v>51974.7</v>
      </c>
      <c r="D16" s="643">
        <v>32680</v>
      </c>
      <c r="E16" s="643">
        <v>68680</v>
      </c>
      <c r="F16" s="592">
        <f t="shared" si="0"/>
        <v>39.642364458092111</v>
      </c>
      <c r="G16" s="591">
        <f t="shared" si="1"/>
        <v>0.62876745801322576</v>
      </c>
      <c r="H16" s="554">
        <f t="shared" si="2"/>
        <v>-49385.3</v>
      </c>
      <c r="J16" s="7"/>
      <c r="K16" s="8"/>
    </row>
    <row r="17" spans="1:13">
      <c r="A17" s="647" t="s">
        <v>65</v>
      </c>
      <c r="B17" s="647" t="s">
        <v>66</v>
      </c>
      <c r="C17" s="643">
        <v>82430.399999999994</v>
      </c>
      <c r="D17" s="643">
        <v>48192</v>
      </c>
      <c r="E17" s="643">
        <v>72216</v>
      </c>
      <c r="F17" s="592">
        <f t="shared" si="0"/>
        <v>26.282536539917313</v>
      </c>
      <c r="G17" s="591">
        <f t="shared" si="1"/>
        <v>0.58463867699295413</v>
      </c>
      <c r="H17" s="554">
        <f t="shared" si="2"/>
        <v>-37977.600000000006</v>
      </c>
      <c r="J17" s="7"/>
      <c r="K17" s="8"/>
    </row>
    <row r="18" spans="1:13">
      <c r="A18" s="647" t="s">
        <v>41</v>
      </c>
      <c r="B18" s="647" t="s">
        <v>42</v>
      </c>
      <c r="C18" s="643">
        <v>18270.600000000002</v>
      </c>
      <c r="D18" s="643">
        <v>10420</v>
      </c>
      <c r="E18" s="643">
        <v>26190</v>
      </c>
      <c r="F18" s="592">
        <f t="shared" si="0"/>
        <v>43.00351384190995</v>
      </c>
      <c r="G18" s="591">
        <f t="shared" si="1"/>
        <v>0.57031515111709519</v>
      </c>
      <c r="H18" s="554">
        <f t="shared" si="2"/>
        <v>-18339.399999999998</v>
      </c>
      <c r="J18" s="7"/>
      <c r="K18" s="8"/>
    </row>
    <row r="19" spans="1:13">
      <c r="A19" s="647" t="s">
        <v>67</v>
      </c>
      <c r="B19" s="647" t="s">
        <v>68</v>
      </c>
      <c r="C19" s="643">
        <v>87218.64</v>
      </c>
      <c r="D19" s="643">
        <v>48744</v>
      </c>
      <c r="E19" s="643">
        <v>59124</v>
      </c>
      <c r="F19" s="592">
        <f t="shared" si="0"/>
        <v>20.33647853257056</v>
      </c>
      <c r="G19" s="591">
        <f t="shared" si="1"/>
        <v>0.55887136052568576</v>
      </c>
      <c r="H19" s="554">
        <f t="shared" si="2"/>
        <v>-20649.36</v>
      </c>
      <c r="J19" s="7"/>
      <c r="K19" s="8"/>
      <c r="M19" s="35"/>
    </row>
    <row r="20" spans="1:13">
      <c r="A20" s="647" t="s">
        <v>69</v>
      </c>
      <c r="B20" s="647" t="s">
        <v>70</v>
      </c>
      <c r="C20" s="643">
        <v>285586.44</v>
      </c>
      <c r="D20" s="643">
        <v>147672</v>
      </c>
      <c r="E20" s="643">
        <v>218856</v>
      </c>
      <c r="F20" s="592">
        <f t="shared" si="0"/>
        <v>22.990167180206452</v>
      </c>
      <c r="G20" s="591">
        <f t="shared" si="1"/>
        <v>0.51708337412658667</v>
      </c>
      <c r="H20" s="554">
        <f t="shared" si="2"/>
        <v>-80941.56</v>
      </c>
      <c r="J20" s="7"/>
      <c r="K20" s="8"/>
    </row>
    <row r="21" spans="1:13">
      <c r="A21" s="647" t="s">
        <v>43</v>
      </c>
      <c r="B21" s="647" t="s">
        <v>44</v>
      </c>
      <c r="C21" s="643">
        <v>2841.2999999999997</v>
      </c>
      <c r="D21" s="643">
        <v>1224</v>
      </c>
      <c r="E21" s="643">
        <v>4257</v>
      </c>
      <c r="F21" s="592">
        <f t="shared" si="0"/>
        <v>44.947735191637634</v>
      </c>
      <c r="G21" s="591">
        <f t="shared" si="1"/>
        <v>0.43078872347165037</v>
      </c>
      <c r="H21" s="554">
        <f t="shared" si="2"/>
        <v>-2639.7000000000003</v>
      </c>
      <c r="K21" s="8"/>
    </row>
    <row r="22" spans="1:13">
      <c r="A22" s="647" t="s">
        <v>45</v>
      </c>
      <c r="B22" s="647" t="s">
        <v>46</v>
      </c>
      <c r="C22" s="643">
        <v>1866.1499999999999</v>
      </c>
      <c r="D22" s="643">
        <v>846</v>
      </c>
      <c r="E22" s="643">
        <v>5589</v>
      </c>
      <c r="F22" s="592">
        <f t="shared" si="0"/>
        <v>89.848082951531225</v>
      </c>
      <c r="G22" s="591">
        <f t="shared" si="1"/>
        <v>0.45333976368459128</v>
      </c>
      <c r="H22" s="554">
        <f t="shared" si="2"/>
        <v>-4568.8500000000004</v>
      </c>
      <c r="K22" s="8"/>
    </row>
    <row r="23" spans="1:13">
      <c r="A23" s="647" t="s">
        <v>47</v>
      </c>
      <c r="B23" s="647" t="s">
        <v>48</v>
      </c>
      <c r="C23" s="643">
        <v>1065.6000000000001</v>
      </c>
      <c r="D23" s="643">
        <v>315</v>
      </c>
      <c r="E23" s="643">
        <v>3132</v>
      </c>
      <c r="F23" s="592">
        <f t="shared" si="0"/>
        <v>88.175675675675663</v>
      </c>
      <c r="G23" s="591">
        <f t="shared" si="1"/>
        <v>0.29560810810810806</v>
      </c>
      <c r="H23" s="554">
        <f t="shared" si="2"/>
        <v>-2381.3999999999996</v>
      </c>
      <c r="K23" s="8"/>
    </row>
    <row r="24" spans="1:13">
      <c r="A24" s="647" t="s">
        <v>90</v>
      </c>
      <c r="B24" s="647" t="s">
        <v>91</v>
      </c>
      <c r="C24" s="643">
        <v>23595.200000000001</v>
      </c>
      <c r="D24" s="643">
        <v>15000</v>
      </c>
      <c r="E24" s="643">
        <v>68170</v>
      </c>
      <c r="F24" s="592">
        <f t="shared" si="0"/>
        <v>86.674408354241535</v>
      </c>
      <c r="G24" s="591">
        <f t="shared" si="1"/>
        <v>0.63572251983454264</v>
      </c>
      <c r="H24" s="554">
        <f t="shared" si="2"/>
        <v>-59574.8</v>
      </c>
      <c r="K24" s="8"/>
    </row>
    <row r="25" spans="1:13">
      <c r="A25" s="647" t="s">
        <v>71</v>
      </c>
      <c r="B25" s="647" t="s">
        <v>72</v>
      </c>
      <c r="C25" s="643">
        <v>187506.72</v>
      </c>
      <c r="D25" s="643">
        <v>96276</v>
      </c>
      <c r="E25" s="643">
        <v>231348</v>
      </c>
      <c r="F25" s="592">
        <f t="shared" si="0"/>
        <v>37.014353405573942</v>
      </c>
      <c r="G25" s="591">
        <f t="shared" si="1"/>
        <v>0.513453597823054</v>
      </c>
      <c r="H25" s="554">
        <f t="shared" si="2"/>
        <v>-140117.28</v>
      </c>
      <c r="K25" s="8"/>
    </row>
    <row r="26" spans="1:13">
      <c r="A26" s="647" t="s">
        <v>74</v>
      </c>
      <c r="B26" s="647" t="s">
        <v>75</v>
      </c>
      <c r="C26" s="643">
        <v>43360.800000000003</v>
      </c>
      <c r="D26" s="643">
        <v>23568</v>
      </c>
      <c r="E26" s="643">
        <v>58728</v>
      </c>
      <c r="F26" s="592">
        <f t="shared" si="0"/>
        <v>40.63209165882548</v>
      </c>
      <c r="G26" s="591">
        <f t="shared" si="1"/>
        <v>0.54353240715115958</v>
      </c>
      <c r="H26" s="554">
        <f t="shared" si="2"/>
        <v>-38935.199999999997</v>
      </c>
      <c r="J26" s="7"/>
      <c r="K26" s="8"/>
    </row>
    <row r="27" spans="1:13">
      <c r="A27" s="647" t="s">
        <v>24</v>
      </c>
      <c r="B27" s="647" t="s">
        <v>25</v>
      </c>
      <c r="C27" s="643">
        <v>834183.4800000001</v>
      </c>
      <c r="D27" s="643">
        <v>524808</v>
      </c>
      <c r="E27" s="643">
        <v>610680</v>
      </c>
      <c r="F27" s="592">
        <f t="shared" si="0"/>
        <v>21.962074818360104</v>
      </c>
      <c r="G27" s="591">
        <f t="shared" si="1"/>
        <v>0.62912777893899308</v>
      </c>
      <c r="H27" s="554">
        <f t="shared" si="2"/>
        <v>-301304.5199999999</v>
      </c>
      <c r="J27" s="7"/>
      <c r="K27" s="8"/>
    </row>
    <row r="28" spans="1:13">
      <c r="A28" s="647" t="s">
        <v>49</v>
      </c>
      <c r="B28" s="647" t="s">
        <v>50</v>
      </c>
      <c r="C28" s="643">
        <v>7060.41</v>
      </c>
      <c r="D28" s="643">
        <v>3339</v>
      </c>
      <c r="E28" s="643">
        <v>8712</v>
      </c>
      <c r="F28" s="592">
        <f t="shared" si="0"/>
        <v>37.017680276357886</v>
      </c>
      <c r="G28" s="591">
        <f t="shared" si="1"/>
        <v>0.47291871151958598</v>
      </c>
      <c r="H28" s="554">
        <f t="shared" si="2"/>
        <v>-4990.59</v>
      </c>
    </row>
    <row r="29" spans="1:13">
      <c r="A29" s="647" t="s">
        <v>78</v>
      </c>
      <c r="B29" s="647" t="s">
        <v>79</v>
      </c>
      <c r="C29" s="643">
        <v>14102.4</v>
      </c>
      <c r="D29" s="643">
        <v>8352</v>
      </c>
      <c r="E29" s="643">
        <v>20808</v>
      </c>
      <c r="F29" s="592">
        <f t="shared" si="0"/>
        <v>44.264805990469711</v>
      </c>
      <c r="G29" s="591">
        <f t="shared" si="1"/>
        <v>0.59223961878829134</v>
      </c>
      <c r="H29" s="554">
        <f t="shared" si="2"/>
        <v>-15057.6</v>
      </c>
      <c r="L29" s="35"/>
    </row>
    <row r="30" spans="1:13">
      <c r="A30" s="647" t="s">
        <v>80</v>
      </c>
      <c r="B30" s="647" t="s">
        <v>81</v>
      </c>
      <c r="C30" s="643">
        <v>71094.48000000001</v>
      </c>
      <c r="D30" s="643">
        <v>35940</v>
      </c>
      <c r="E30" s="643">
        <v>109296</v>
      </c>
      <c r="F30" s="592">
        <f t="shared" si="0"/>
        <v>46.12003632349515</v>
      </c>
      <c r="G30" s="591">
        <f t="shared" si="1"/>
        <v>0.50552447953765178</v>
      </c>
      <c r="H30" s="554">
        <f t="shared" si="2"/>
        <v>-74141.51999999999</v>
      </c>
    </row>
    <row r="31" spans="1:13">
      <c r="A31" s="647" t="s">
        <v>84</v>
      </c>
      <c r="B31" s="4" t="s">
        <v>1222</v>
      </c>
      <c r="C31" s="643">
        <v>23933.16</v>
      </c>
      <c r="D31" s="643">
        <v>10140</v>
      </c>
      <c r="E31" s="643">
        <v>26532</v>
      </c>
      <c r="F31" s="592">
        <f t="shared" si="0"/>
        <v>33.257622478602904</v>
      </c>
      <c r="G31" s="591">
        <f t="shared" si="1"/>
        <v>0.42367994865700975</v>
      </c>
      <c r="H31" s="554">
        <f t="shared" si="2"/>
        <v>-12738.84</v>
      </c>
    </row>
    <row r="32" spans="1:13">
      <c r="A32" s="647" t="s">
        <v>146</v>
      </c>
      <c r="B32" s="4" t="s">
        <v>902</v>
      </c>
      <c r="C32" s="643">
        <v>132859.56</v>
      </c>
      <c r="D32" s="643">
        <v>70704</v>
      </c>
      <c r="E32" s="643">
        <v>148104</v>
      </c>
      <c r="F32" s="592">
        <f t="shared" si="0"/>
        <v>33.442230276842707</v>
      </c>
      <c r="G32" s="591">
        <f t="shared" si="1"/>
        <v>0.53217096308312328</v>
      </c>
      <c r="H32" s="554">
        <f t="shared" si="2"/>
        <v>-85948.44</v>
      </c>
    </row>
    <row r="33" spans="1:8">
      <c r="A33" s="647" t="s">
        <v>149</v>
      </c>
      <c r="B33" s="647" t="s">
        <v>150</v>
      </c>
      <c r="C33" s="643">
        <v>65197.200000000004</v>
      </c>
      <c r="D33" s="643">
        <v>45288</v>
      </c>
      <c r="E33" s="643">
        <v>66264</v>
      </c>
      <c r="F33" s="592">
        <f t="shared" si="0"/>
        <v>30.490879976440702</v>
      </c>
      <c r="G33" s="591">
        <f t="shared" si="1"/>
        <v>0.69463105777548728</v>
      </c>
      <c r="H33" s="554">
        <f t="shared" si="2"/>
        <v>-46354.799999999996</v>
      </c>
    </row>
    <row r="34" spans="1:8">
      <c r="A34" s="647" t="s">
        <v>167</v>
      </c>
      <c r="B34" s="647" t="s">
        <v>168</v>
      </c>
      <c r="C34" s="643">
        <v>41683.19999999999</v>
      </c>
      <c r="D34" s="643">
        <v>20172</v>
      </c>
      <c r="E34" s="643">
        <v>24214</v>
      </c>
      <c r="F34" s="592">
        <f t="shared" si="0"/>
        <v>17.427164900967302</v>
      </c>
      <c r="G34" s="591">
        <f t="shared" si="1"/>
        <v>0.48393597420543538</v>
      </c>
      <c r="H34" s="554">
        <f t="shared" si="2"/>
        <v>-2702.8000000000102</v>
      </c>
    </row>
    <row r="35" spans="1:8">
      <c r="A35" s="647" t="s">
        <v>180</v>
      </c>
      <c r="B35" s="648" t="s">
        <v>181</v>
      </c>
      <c r="C35" s="643">
        <v>31988.28</v>
      </c>
      <c r="D35" s="643">
        <v>17880</v>
      </c>
      <c r="E35" s="643">
        <v>84108</v>
      </c>
      <c r="F35" s="592">
        <f t="shared" si="0"/>
        <v>78.880139851220505</v>
      </c>
      <c r="G35" s="591">
        <f t="shared" si="1"/>
        <v>0.55895471716516176</v>
      </c>
      <c r="H35" s="554">
        <f t="shared" si="2"/>
        <v>-69999.72</v>
      </c>
    </row>
    <row r="36" spans="1:8">
      <c r="A36" s="647" t="s">
        <v>189</v>
      </c>
      <c r="B36" s="4" t="s">
        <v>190</v>
      </c>
      <c r="C36" s="643">
        <v>17559.36</v>
      </c>
      <c r="D36" s="643">
        <v>6168</v>
      </c>
      <c r="E36" s="643">
        <v>12792</v>
      </c>
      <c r="F36" s="592">
        <f t="shared" si="0"/>
        <v>21.85501066098081</v>
      </c>
      <c r="G36" s="591">
        <f t="shared" si="1"/>
        <v>0.35126564977311242</v>
      </c>
      <c r="H36" s="554">
        <f t="shared" si="2"/>
        <v>-1400.6399999999994</v>
      </c>
    </row>
    <row r="37" spans="1:8">
      <c r="A37" s="647" t="s">
        <v>194</v>
      </c>
      <c r="B37" s="4" t="s">
        <v>195</v>
      </c>
      <c r="C37" s="643">
        <v>76083.600000000006</v>
      </c>
      <c r="D37" s="643">
        <v>34536</v>
      </c>
      <c r="E37" s="643">
        <v>81444</v>
      </c>
      <c r="F37" s="592">
        <f t="shared" si="0"/>
        <v>32.113622383798869</v>
      </c>
      <c r="G37" s="591">
        <f t="shared" si="1"/>
        <v>0.453921738718988</v>
      </c>
      <c r="H37" s="554">
        <f t="shared" si="2"/>
        <v>-39896.399999999994</v>
      </c>
    </row>
    <row r="38" spans="1:8">
      <c r="A38" s="647" t="s">
        <v>198</v>
      </c>
      <c r="B38" s="4" t="s">
        <v>199</v>
      </c>
      <c r="C38" s="643">
        <v>106652.04000000001</v>
      </c>
      <c r="D38" s="643">
        <v>48468</v>
      </c>
      <c r="E38" s="643">
        <v>70128</v>
      </c>
      <c r="F38" s="592">
        <f t="shared" si="0"/>
        <v>19.72620495585457</v>
      </c>
      <c r="G38" s="591">
        <f t="shared" si="1"/>
        <v>0.45444981643107807</v>
      </c>
      <c r="H38" s="554">
        <f t="shared" si="2"/>
        <v>-11943.959999999992</v>
      </c>
    </row>
    <row r="39" spans="1:8">
      <c r="A39" s="647" t="s">
        <v>906</v>
      </c>
      <c r="B39" s="4" t="s">
        <v>912</v>
      </c>
      <c r="C39" s="643">
        <v>77387.88</v>
      </c>
      <c r="D39" s="643">
        <v>45456</v>
      </c>
      <c r="E39" s="643">
        <v>93264</v>
      </c>
      <c r="F39" s="592">
        <f t="shared" si="0"/>
        <v>36.154498611410467</v>
      </c>
      <c r="G39" s="591">
        <f t="shared" si="1"/>
        <v>0.58737879885067268</v>
      </c>
      <c r="H39" s="554">
        <f t="shared" si="2"/>
        <v>-61332.119999999995</v>
      </c>
    </row>
    <row r="40" spans="1:8">
      <c r="A40" s="647" t="s">
        <v>1004</v>
      </c>
      <c r="B40" s="4" t="s">
        <v>1005</v>
      </c>
      <c r="C40" s="643">
        <v>35359.699999999997</v>
      </c>
      <c r="D40" s="643">
        <v>4200</v>
      </c>
      <c r="E40" s="643">
        <v>50860</v>
      </c>
      <c r="F40" s="592">
        <f t="shared" si="0"/>
        <v>43.150818587261774</v>
      </c>
      <c r="G40" s="591">
        <f t="shared" si="1"/>
        <v>0.11877928828581691</v>
      </c>
      <c r="H40" s="554">
        <f t="shared" si="2"/>
        <v>-19700.300000000003</v>
      </c>
    </row>
    <row r="41" spans="1:8">
      <c r="A41" s="647" t="s">
        <v>1007</v>
      </c>
      <c r="B41" s="4" t="s">
        <v>1009</v>
      </c>
      <c r="C41" s="643">
        <v>35276.87999999999</v>
      </c>
      <c r="D41" s="643">
        <v>11880</v>
      </c>
      <c r="E41" s="643">
        <v>10164</v>
      </c>
      <c r="F41" s="592">
        <f t="shared" si="0"/>
        <v>8.643621544762464</v>
      </c>
      <c r="G41" s="591">
        <f t="shared" si="1"/>
        <v>0.33676447576996615</v>
      </c>
      <c r="H41" s="554">
        <f t="shared" si="2"/>
        <v>13232.87999999999</v>
      </c>
    </row>
    <row r="42" spans="1:8">
      <c r="A42" s="647" t="s">
        <v>1006</v>
      </c>
      <c r="B42" s="4" t="s">
        <v>1008</v>
      </c>
      <c r="C42" s="643">
        <v>33412.32</v>
      </c>
      <c r="D42" s="643">
        <v>18864</v>
      </c>
      <c r="E42" s="643">
        <v>47700</v>
      </c>
      <c r="F42" s="592">
        <f t="shared" si="0"/>
        <v>42.828513554281777</v>
      </c>
      <c r="G42" s="591">
        <f t="shared" si="1"/>
        <v>0.5645821660992113</v>
      </c>
      <c r="H42" s="554">
        <f t="shared" si="2"/>
        <v>-33151.68</v>
      </c>
    </row>
    <row r="43" spans="1:8">
      <c r="A43" s="647" t="s">
        <v>1037</v>
      </c>
      <c r="B43" s="4" t="s">
        <v>1038</v>
      </c>
      <c r="C43" s="643">
        <v>34110.959999999999</v>
      </c>
      <c r="D43" s="643">
        <v>10500</v>
      </c>
      <c r="E43" s="643">
        <v>75120</v>
      </c>
      <c r="F43" s="592">
        <f t="shared" si="0"/>
        <v>66.066742184916521</v>
      </c>
      <c r="G43" s="591">
        <f t="shared" si="1"/>
        <v>0.30781895320448327</v>
      </c>
      <c r="H43" s="554">
        <f t="shared" si="2"/>
        <v>-51509.04</v>
      </c>
    </row>
    <row r="44" spans="1:8">
      <c r="A44" s="647" t="s">
        <v>778</v>
      </c>
      <c r="B44" s="4" t="s">
        <v>780</v>
      </c>
      <c r="C44" s="643">
        <v>0</v>
      </c>
      <c r="D44" s="643">
        <v>1128</v>
      </c>
      <c r="E44" s="643">
        <v>3612</v>
      </c>
      <c r="F44" s="592" t="e">
        <f t="shared" si="0"/>
        <v>#DIV/0!</v>
      </c>
      <c r="G44" s="591" t="e">
        <f t="shared" si="1"/>
        <v>#DIV/0!</v>
      </c>
      <c r="H44" s="554">
        <f t="shared" si="2"/>
        <v>-4740</v>
      </c>
    </row>
    <row r="45" spans="1:8">
      <c r="A45" s="647" t="s">
        <v>1176</v>
      </c>
      <c r="B45" s="4" t="s">
        <v>1182</v>
      </c>
      <c r="C45" s="643">
        <v>60</v>
      </c>
      <c r="D45" s="643">
        <v>48</v>
      </c>
      <c r="E45" s="643">
        <v>19884</v>
      </c>
      <c r="F45" s="592">
        <f t="shared" si="0"/>
        <v>9942</v>
      </c>
      <c r="G45" s="591">
        <f t="shared" si="1"/>
        <v>0.8</v>
      </c>
      <c r="H45" s="554">
        <f t="shared" si="2"/>
        <v>-19872</v>
      </c>
    </row>
    <row r="46" spans="1:8">
      <c r="A46" s="647" t="s">
        <v>1184</v>
      </c>
      <c r="B46" s="4" t="s">
        <v>1224</v>
      </c>
      <c r="C46" s="643">
        <v>1368.84</v>
      </c>
      <c r="D46" s="643">
        <v>756</v>
      </c>
      <c r="E46" s="643">
        <v>4080</v>
      </c>
      <c r="F46" s="592">
        <f t="shared" si="0"/>
        <v>89.418777943368113</v>
      </c>
      <c r="G46" s="591">
        <f t="shared" si="1"/>
        <v>0.55229245200315602</v>
      </c>
      <c r="H46" s="554">
        <f t="shared" si="2"/>
        <v>-3467.16</v>
      </c>
    </row>
    <row r="47" spans="1:8">
      <c r="A47" s="647" t="s">
        <v>88</v>
      </c>
      <c r="B47" s="4" t="s">
        <v>89</v>
      </c>
      <c r="C47" s="643">
        <v>3176.9999999999995</v>
      </c>
      <c r="D47" s="643">
        <v>2736</v>
      </c>
      <c r="E47" s="643">
        <v>4032</v>
      </c>
      <c r="F47" s="592">
        <f>E47/(C47/30)</f>
        <v>38.073654390934848</v>
      </c>
      <c r="G47" s="591">
        <f t="shared" si="1"/>
        <v>0.86118980169971682</v>
      </c>
      <c r="H47" s="554">
        <f t="shared" si="2"/>
        <v>-3591.0000000000005</v>
      </c>
    </row>
    <row r="48" spans="1:8">
      <c r="A48" s="647" t="s">
        <v>1188</v>
      </c>
      <c r="B48" s="4" t="s">
        <v>1223</v>
      </c>
      <c r="C48" s="643">
        <v>6945.1200000000008</v>
      </c>
      <c r="D48" s="643">
        <v>0</v>
      </c>
      <c r="E48" s="643">
        <v>0</v>
      </c>
      <c r="F48" s="592">
        <f>E48/(C48/30)</f>
        <v>0</v>
      </c>
      <c r="G48" s="591">
        <f t="shared" ref="G48:G54" si="3">D48/C48</f>
        <v>0</v>
      </c>
      <c r="H48" s="554">
        <f t="shared" ref="H48:H54" si="4">C48-D48-E48</f>
        <v>6945.1200000000008</v>
      </c>
    </row>
    <row r="49" spans="1:8">
      <c r="A49" s="647" t="s">
        <v>1194</v>
      </c>
      <c r="B49" s="4" t="s">
        <v>1225</v>
      </c>
      <c r="C49" s="643">
        <v>5410.68</v>
      </c>
      <c r="D49" s="643">
        <v>10440</v>
      </c>
      <c r="E49" s="643">
        <v>0</v>
      </c>
      <c r="F49" s="592">
        <f t="shared" ref="F49:F54" si="5">E49/(C49/30)</f>
        <v>0</v>
      </c>
      <c r="G49" s="591">
        <f t="shared" si="3"/>
        <v>1.9295171771385482</v>
      </c>
      <c r="H49" s="554">
        <f t="shared" si="4"/>
        <v>-5029.32</v>
      </c>
    </row>
    <row r="50" spans="1:8">
      <c r="A50" s="647" t="s">
        <v>144</v>
      </c>
      <c r="B50" s="4" t="s">
        <v>145</v>
      </c>
      <c r="C50" s="643">
        <v>450.24</v>
      </c>
      <c r="D50" s="643">
        <v>0</v>
      </c>
      <c r="E50" s="643">
        <v>0</v>
      </c>
      <c r="F50" s="592">
        <f t="shared" si="5"/>
        <v>0</v>
      </c>
      <c r="G50" s="591">
        <f t="shared" si="3"/>
        <v>0</v>
      </c>
      <c r="H50" s="554">
        <f t="shared" si="4"/>
        <v>450.24</v>
      </c>
    </row>
    <row r="51" spans="1:8">
      <c r="A51" s="647" t="s">
        <v>1025</v>
      </c>
      <c r="B51" s="4" t="s">
        <v>1026</v>
      </c>
      <c r="C51" s="643">
        <v>591.72</v>
      </c>
      <c r="D51" s="643">
        <v>0</v>
      </c>
      <c r="E51" s="643">
        <v>0</v>
      </c>
      <c r="F51" s="592">
        <f t="shared" si="5"/>
        <v>0</v>
      </c>
      <c r="G51" s="591">
        <f t="shared" si="3"/>
        <v>0</v>
      </c>
      <c r="H51" s="554">
        <f t="shared" si="4"/>
        <v>591.72</v>
      </c>
    </row>
    <row r="52" spans="1:8">
      <c r="A52" s="647" t="s">
        <v>1231</v>
      </c>
      <c r="B52" s="4" t="s">
        <v>1236</v>
      </c>
      <c r="C52" s="643">
        <v>0</v>
      </c>
      <c r="D52" s="643">
        <v>0</v>
      </c>
      <c r="E52" s="643">
        <v>432</v>
      </c>
      <c r="F52" s="592" t="e">
        <f t="shared" si="5"/>
        <v>#DIV/0!</v>
      </c>
      <c r="G52" s="591" t="e">
        <f t="shared" si="3"/>
        <v>#DIV/0!</v>
      </c>
      <c r="H52" s="554">
        <f t="shared" si="4"/>
        <v>-432</v>
      </c>
    </row>
    <row r="53" spans="1:8">
      <c r="A53" s="647" t="s">
        <v>1232</v>
      </c>
      <c r="B53" s="4" t="s">
        <v>1237</v>
      </c>
      <c r="C53" s="643">
        <v>450.24</v>
      </c>
      <c r="D53" s="643">
        <v>0</v>
      </c>
      <c r="E53" s="643">
        <v>1524</v>
      </c>
      <c r="F53" s="592">
        <f>E53/(C53/30)</f>
        <v>101.54584221748401</v>
      </c>
      <c r="G53" s="591">
        <f t="shared" si="3"/>
        <v>0</v>
      </c>
      <c r="H53" s="554">
        <f t="shared" si="4"/>
        <v>-1073.76</v>
      </c>
    </row>
    <row r="54" spans="1:8">
      <c r="A54" s="647" t="s">
        <v>183</v>
      </c>
      <c r="B54" s="4" t="s">
        <v>184</v>
      </c>
      <c r="C54" s="643">
        <v>128.63999999999999</v>
      </c>
      <c r="D54" s="643">
        <v>0</v>
      </c>
      <c r="E54" s="643">
        <v>0</v>
      </c>
      <c r="F54" s="592">
        <f t="shared" si="5"/>
        <v>0</v>
      </c>
      <c r="G54" s="591">
        <f t="shared" si="3"/>
        <v>0</v>
      </c>
      <c r="H54" s="554">
        <f t="shared" si="4"/>
        <v>128.63999999999999</v>
      </c>
    </row>
    <row r="55" spans="1:8">
      <c r="A55" s="647" t="s">
        <v>1153</v>
      </c>
      <c r="B55" s="4" t="s">
        <v>1154</v>
      </c>
      <c r="C55" s="643">
        <v>0</v>
      </c>
      <c r="D55" s="643">
        <v>0</v>
      </c>
      <c r="E55" s="643">
        <v>216</v>
      </c>
      <c r="F55" s="592" t="e">
        <f t="shared" ref="F55:F57" si="6">E55/(C55/30)</f>
        <v>#DIV/0!</v>
      </c>
      <c r="G55" s="591" t="e">
        <f t="shared" ref="G55:G57" si="7">D55/C55</f>
        <v>#DIV/0!</v>
      </c>
      <c r="H55" s="554">
        <f t="shared" ref="H55:H57" si="8">C55-D55-E55</f>
        <v>-216</v>
      </c>
    </row>
    <row r="56" spans="1:8">
      <c r="A56" s="647" t="s">
        <v>1243</v>
      </c>
      <c r="B56" s="4" t="s">
        <v>1244</v>
      </c>
      <c r="C56" s="643">
        <v>0</v>
      </c>
      <c r="D56" s="643">
        <v>0</v>
      </c>
      <c r="E56" s="643">
        <v>1164</v>
      </c>
      <c r="F56" s="592" t="e">
        <f t="shared" si="6"/>
        <v>#DIV/0!</v>
      </c>
      <c r="G56" s="591" t="e">
        <f t="shared" si="7"/>
        <v>#DIV/0!</v>
      </c>
      <c r="H56" s="554">
        <f t="shared" si="8"/>
        <v>-1164</v>
      </c>
    </row>
    <row r="57" spans="1:8">
      <c r="A57" s="647" t="s">
        <v>855</v>
      </c>
      <c r="B57" s="4" t="s">
        <v>856</v>
      </c>
      <c r="C57" s="643">
        <v>0</v>
      </c>
      <c r="D57" s="643">
        <v>0</v>
      </c>
      <c r="E57" s="643">
        <v>240</v>
      </c>
      <c r="F57" s="592" t="e">
        <f t="shared" si="6"/>
        <v>#DIV/0!</v>
      </c>
      <c r="G57" s="591" t="e">
        <f t="shared" si="7"/>
        <v>#DIV/0!</v>
      </c>
      <c r="H57" s="554">
        <f t="shared" si="8"/>
        <v>-240</v>
      </c>
    </row>
    <row r="58" spans="1:8">
      <c r="A58" s="647" t="s">
        <v>118</v>
      </c>
      <c r="B58" s="647"/>
      <c r="C58" s="644">
        <v>6240121.9300000016</v>
      </c>
      <c r="D58" s="644">
        <v>3542684</v>
      </c>
      <c r="E58" s="645">
        <v>5197669</v>
      </c>
      <c r="F58" s="592">
        <f t="shared" ref="F58" si="9">E58/(C58/30)</f>
        <v>24.988304996149324</v>
      </c>
      <c r="G58" s="591">
        <f t="shared" ref="G58" si="10">D58/C58</f>
        <v>0.56772672709618022</v>
      </c>
      <c r="H58" s="554">
        <f t="shared" ref="H58" si="11">C58-D58-E58</f>
        <v>-2500231.0699999984</v>
      </c>
    </row>
    <row r="59" spans="1:8" ht="15">
      <c r="A59"/>
      <c r="B59"/>
      <c r="C59"/>
      <c r="D59"/>
      <c r="E59"/>
    </row>
    <row r="60" spans="1:8" ht="15">
      <c r="A60"/>
      <c r="B60"/>
      <c r="C60"/>
      <c r="D60"/>
      <c r="E60"/>
    </row>
    <row r="61" spans="1:8" ht="15">
      <c r="A61"/>
      <c r="B61"/>
      <c r="C61"/>
      <c r="D61"/>
      <c r="E61"/>
    </row>
    <row r="62" spans="1:8" ht="15">
      <c r="A62"/>
      <c r="B62"/>
      <c r="C62"/>
      <c r="D62"/>
      <c r="E62"/>
    </row>
    <row r="63" spans="1:8" ht="15">
      <c r="A63"/>
      <c r="B63"/>
      <c r="C63"/>
      <c r="D63"/>
      <c r="E63"/>
    </row>
    <row r="64" spans="1:8" ht="15">
      <c r="A64"/>
      <c r="B64"/>
      <c r="C64"/>
      <c r="D64"/>
      <c r="E64"/>
    </row>
  </sheetData>
  <conditionalFormatting sqref="F5:F58">
    <cfRule type="cellIs" dxfId="2191" priority="5" operator="lessThan">
      <formula>15</formula>
    </cfRule>
  </conditionalFormatting>
  <conditionalFormatting sqref="G5:G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48E8-BB78-4684-B16A-257F93CE7A57}">
  <dimension ref="A1:I53"/>
  <sheetViews>
    <sheetView workbookViewId="0">
      <pane ySplit="1" topLeftCell="A34" activePane="bottomLeft" state="frozen"/>
      <selection pane="bottomLeft" activeCell="A55" sqref="A55"/>
    </sheetView>
  </sheetViews>
  <sheetFormatPr defaultRowHeight="10.5"/>
  <cols>
    <col min="1" max="1" width="10.5703125" style="599" bestFit="1" customWidth="1"/>
    <col min="2" max="2" width="39" style="599" bestFit="1" customWidth="1"/>
    <col min="3" max="8" width="11.7109375" style="599" customWidth="1"/>
    <col min="9" max="9" width="12.5703125" style="616" customWidth="1"/>
    <col min="10" max="16384" width="9.140625" style="599"/>
  </cols>
  <sheetData>
    <row r="1" spans="1:9" s="598" customFormat="1" ht="32.25" customHeight="1" thickBot="1">
      <c r="A1" s="606" t="s">
        <v>2</v>
      </c>
      <c r="B1" s="607" t="s">
        <v>4</v>
      </c>
      <c r="C1" s="607" t="s">
        <v>1241</v>
      </c>
      <c r="D1" s="607" t="s">
        <v>142</v>
      </c>
      <c r="E1" s="607" t="s">
        <v>157</v>
      </c>
      <c r="F1" s="607" t="s">
        <v>161</v>
      </c>
      <c r="G1" s="607" t="s">
        <v>159</v>
      </c>
      <c r="H1" s="607" t="s">
        <v>116</v>
      </c>
      <c r="I1" s="607" t="s">
        <v>1242</v>
      </c>
    </row>
    <row r="2" spans="1:9">
      <c r="A2" s="603" t="s">
        <v>51</v>
      </c>
      <c r="B2" s="604" t="s">
        <v>903</v>
      </c>
      <c r="C2" s="605">
        <f>VLOOKUP(A2,'Item wise'!A:H,3,)</f>
        <v>1088745.6000000001</v>
      </c>
      <c r="D2" s="605">
        <f>VLOOKUP(A2,'Item wise'!A:H,4,)</f>
        <v>631428</v>
      </c>
      <c r="E2" s="605">
        <f>VLOOKUP(A2,'Item wise'!A:H,5,)</f>
        <v>489132</v>
      </c>
      <c r="F2" s="605">
        <f t="shared" ref="F2:F33" si="0">E2/(C2/30)</f>
        <v>13.477859290545007</v>
      </c>
      <c r="G2" s="608">
        <f t="shared" ref="G2:G33" si="1">D2/C2</f>
        <v>0.5799591750359312</v>
      </c>
      <c r="H2" s="605">
        <f t="shared" ref="H2:H33" si="2">C2-D2-E2</f>
        <v>-31814.399999999907</v>
      </c>
      <c r="I2" s="617">
        <f t="shared" ref="I2:I33" si="3">H2/C2</f>
        <v>-2.9221151387431466E-2</v>
      </c>
    </row>
    <row r="3" spans="1:9">
      <c r="A3" s="602" t="s">
        <v>22</v>
      </c>
      <c r="B3" s="600" t="s">
        <v>23</v>
      </c>
      <c r="C3" s="601">
        <f>VLOOKUP(A3,'Item wise'!A:H,3,)</f>
        <v>857921.03999999992</v>
      </c>
      <c r="D3" s="601">
        <f>VLOOKUP(A3,'Item wise'!A:H,4,)</f>
        <v>540564</v>
      </c>
      <c r="E3" s="601">
        <f>VLOOKUP(A3,'Item wise'!A:H,5,)</f>
        <v>671700</v>
      </c>
      <c r="F3" s="601">
        <f t="shared" si="0"/>
        <v>23.488175555176966</v>
      </c>
      <c r="G3" s="609">
        <f t="shared" si="1"/>
        <v>0.63008595756084973</v>
      </c>
      <c r="H3" s="601">
        <f t="shared" si="2"/>
        <v>-354342.96000000008</v>
      </c>
      <c r="I3" s="615">
        <f t="shared" si="3"/>
        <v>-0.41302514273341534</v>
      </c>
    </row>
    <row r="4" spans="1:9">
      <c r="A4" s="602" t="s">
        <v>24</v>
      </c>
      <c r="B4" s="600" t="s">
        <v>25</v>
      </c>
      <c r="C4" s="601">
        <f>VLOOKUP(A4,'Item wise'!A:H,3,)</f>
        <v>834183.4800000001</v>
      </c>
      <c r="D4" s="601">
        <f>VLOOKUP(A4,'Item wise'!A:H,4,)</f>
        <v>524808</v>
      </c>
      <c r="E4" s="601">
        <f>VLOOKUP(A4,'Item wise'!A:H,5,)</f>
        <v>610680</v>
      </c>
      <c r="F4" s="601">
        <f t="shared" si="0"/>
        <v>21.962074818360104</v>
      </c>
      <c r="G4" s="609">
        <f t="shared" si="1"/>
        <v>0.62912777893899308</v>
      </c>
      <c r="H4" s="601">
        <f t="shared" si="2"/>
        <v>-301304.5199999999</v>
      </c>
      <c r="I4" s="615">
        <f t="shared" si="3"/>
        <v>-0.36119693955099647</v>
      </c>
    </row>
    <row r="5" spans="1:9">
      <c r="A5" s="602" t="s">
        <v>19</v>
      </c>
      <c r="B5" s="600" t="s">
        <v>20</v>
      </c>
      <c r="C5" s="601">
        <f>VLOOKUP(A5,'Item wise'!A:H,3,)</f>
        <v>707016.72000000009</v>
      </c>
      <c r="D5" s="601">
        <f>VLOOKUP(A5,'Item wise'!A:H,4,)</f>
        <v>376728</v>
      </c>
      <c r="E5" s="601">
        <f>VLOOKUP(A5,'Item wise'!A:H,5,)</f>
        <v>661020</v>
      </c>
      <c r="F5" s="601">
        <f t="shared" si="0"/>
        <v>28.048275859727898</v>
      </c>
      <c r="G5" s="609">
        <f t="shared" si="1"/>
        <v>0.53284171271083935</v>
      </c>
      <c r="H5" s="601">
        <f t="shared" si="2"/>
        <v>-330731.27999999991</v>
      </c>
      <c r="I5" s="615">
        <f t="shared" si="3"/>
        <v>-0.46778424136843594</v>
      </c>
    </row>
    <row r="6" spans="1:9">
      <c r="A6" s="602" t="s">
        <v>28</v>
      </c>
      <c r="B6" s="600" t="s">
        <v>29</v>
      </c>
      <c r="C6" s="601">
        <f>VLOOKUP(A6,'Item wise'!A:H,3,)</f>
        <v>317299.56</v>
      </c>
      <c r="D6" s="601">
        <f>VLOOKUP(A6,'Item wise'!A:H,4,)</f>
        <v>160128</v>
      </c>
      <c r="E6" s="601">
        <f>VLOOKUP(A6,'Item wise'!A:H,5,)</f>
        <v>188004</v>
      </c>
      <c r="F6" s="601">
        <f t="shared" si="0"/>
        <v>17.775379203173177</v>
      </c>
      <c r="G6" s="609">
        <f t="shared" si="1"/>
        <v>0.50465875212685452</v>
      </c>
      <c r="H6" s="601">
        <f t="shared" si="2"/>
        <v>-30832.440000000002</v>
      </c>
      <c r="I6" s="615">
        <f t="shared" si="3"/>
        <v>-9.7171392232627121E-2</v>
      </c>
    </row>
    <row r="7" spans="1:9">
      <c r="A7" s="602" t="s">
        <v>55</v>
      </c>
      <c r="B7" s="600" t="s">
        <v>56</v>
      </c>
      <c r="C7" s="601">
        <f>VLOOKUP(A7,'Item wise'!A:H,3,)</f>
        <v>306618.95999999996</v>
      </c>
      <c r="D7" s="601">
        <f>VLOOKUP(A7,'Item wise'!A:H,4,)</f>
        <v>176112</v>
      </c>
      <c r="E7" s="601">
        <f>VLOOKUP(A7,'Item wise'!A:H,5,)</f>
        <v>335568</v>
      </c>
      <c r="F7" s="601">
        <f t="shared" si="0"/>
        <v>32.832411929125321</v>
      </c>
      <c r="G7" s="609">
        <f t="shared" si="1"/>
        <v>0.57436761249206514</v>
      </c>
      <c r="H7" s="601">
        <f t="shared" si="2"/>
        <v>-205061.04000000004</v>
      </c>
      <c r="I7" s="615">
        <f t="shared" si="3"/>
        <v>-0.66878134346290929</v>
      </c>
    </row>
    <row r="8" spans="1:9">
      <c r="A8" s="602" t="s">
        <v>69</v>
      </c>
      <c r="B8" s="600" t="s">
        <v>70</v>
      </c>
      <c r="C8" s="601">
        <f>VLOOKUP(A8,'Item wise'!A:H,3,)</f>
        <v>285586.44</v>
      </c>
      <c r="D8" s="601">
        <f>VLOOKUP(A8,'Item wise'!A:H,4,)</f>
        <v>147672</v>
      </c>
      <c r="E8" s="601">
        <f>VLOOKUP(A8,'Item wise'!A:H,5,)</f>
        <v>218856</v>
      </c>
      <c r="F8" s="601">
        <f t="shared" si="0"/>
        <v>22.990167180206452</v>
      </c>
      <c r="G8" s="609">
        <f t="shared" si="1"/>
        <v>0.51708337412658667</v>
      </c>
      <c r="H8" s="601">
        <f t="shared" si="2"/>
        <v>-80941.56</v>
      </c>
      <c r="I8" s="615">
        <f t="shared" si="3"/>
        <v>-0.28342228013346848</v>
      </c>
    </row>
    <row r="9" spans="1:9">
      <c r="A9" s="602" t="s">
        <v>61</v>
      </c>
      <c r="B9" s="600" t="s">
        <v>62</v>
      </c>
      <c r="C9" s="601">
        <f>VLOOKUP(A9,'Item wise'!A:H,3,)</f>
        <v>203547.36</v>
      </c>
      <c r="D9" s="601">
        <f>VLOOKUP(A9,'Item wise'!A:H,4,)</f>
        <v>111756</v>
      </c>
      <c r="E9" s="601">
        <f>VLOOKUP(A9,'Item wise'!A:H,5,)</f>
        <v>194472</v>
      </c>
      <c r="F9" s="601">
        <f t="shared" si="0"/>
        <v>28.662420382165607</v>
      </c>
      <c r="G9" s="609">
        <f t="shared" si="1"/>
        <v>0.5490417561790043</v>
      </c>
      <c r="H9" s="601">
        <f t="shared" si="2"/>
        <v>-102680.64000000001</v>
      </c>
      <c r="I9" s="615">
        <f t="shared" si="3"/>
        <v>-0.50445576891785782</v>
      </c>
    </row>
    <row r="10" spans="1:9">
      <c r="A10" s="602" t="s">
        <v>71</v>
      </c>
      <c r="B10" s="600" t="s">
        <v>72</v>
      </c>
      <c r="C10" s="601">
        <f>VLOOKUP(A10,'Item wise'!A:H,3,)</f>
        <v>187506.72</v>
      </c>
      <c r="D10" s="601">
        <f>VLOOKUP(A10,'Item wise'!A:H,4,)</f>
        <v>96276</v>
      </c>
      <c r="E10" s="601">
        <f>VLOOKUP(A10,'Item wise'!A:H,5,)</f>
        <v>231348</v>
      </c>
      <c r="F10" s="601">
        <f t="shared" si="0"/>
        <v>37.014353405573942</v>
      </c>
      <c r="G10" s="609">
        <f t="shared" si="1"/>
        <v>0.513453597823054</v>
      </c>
      <c r="H10" s="601">
        <f t="shared" si="2"/>
        <v>-140117.28</v>
      </c>
      <c r="I10" s="615">
        <f t="shared" si="3"/>
        <v>-0.74726537800885218</v>
      </c>
    </row>
    <row r="11" spans="1:9">
      <c r="A11" s="602" t="s">
        <v>146</v>
      </c>
      <c r="B11" s="600" t="s">
        <v>902</v>
      </c>
      <c r="C11" s="601">
        <f>VLOOKUP(A11,'Item wise'!A:H,3,)</f>
        <v>132859.56</v>
      </c>
      <c r="D11" s="601">
        <f>VLOOKUP(A11,'Item wise'!A:H,4,)</f>
        <v>70704</v>
      </c>
      <c r="E11" s="601">
        <f>VLOOKUP(A11,'Item wise'!A:H,5,)</f>
        <v>148104</v>
      </c>
      <c r="F11" s="601">
        <f t="shared" si="0"/>
        <v>33.442230276842707</v>
      </c>
      <c r="G11" s="609">
        <f t="shared" si="1"/>
        <v>0.53217096308312328</v>
      </c>
      <c r="H11" s="601">
        <f t="shared" si="2"/>
        <v>-85948.44</v>
      </c>
      <c r="I11" s="615">
        <f t="shared" si="3"/>
        <v>-0.64691197231121345</v>
      </c>
    </row>
    <row r="12" spans="1:9">
      <c r="A12" s="602" t="s">
        <v>53</v>
      </c>
      <c r="B12" s="600" t="s">
        <v>54</v>
      </c>
      <c r="C12" s="601">
        <f>VLOOKUP(A12,'Item wise'!A:H,3,)</f>
        <v>129866.16</v>
      </c>
      <c r="D12" s="601">
        <f>VLOOKUP(A12,'Item wise'!A:H,4,)</f>
        <v>84420</v>
      </c>
      <c r="E12" s="601">
        <f>VLOOKUP(A12,'Item wise'!A:H,5,)</f>
        <v>90168</v>
      </c>
      <c r="F12" s="601">
        <f t="shared" si="0"/>
        <v>20.829444714466032</v>
      </c>
      <c r="G12" s="609">
        <f t="shared" si="1"/>
        <v>0.65005387084672406</v>
      </c>
      <c r="H12" s="601">
        <f t="shared" si="2"/>
        <v>-44721.84</v>
      </c>
      <c r="I12" s="615">
        <f t="shared" si="3"/>
        <v>-0.34436869466225839</v>
      </c>
    </row>
    <row r="13" spans="1:9">
      <c r="A13" s="602" t="s">
        <v>198</v>
      </c>
      <c r="B13" s="600" t="s">
        <v>199</v>
      </c>
      <c r="C13" s="601">
        <f>VLOOKUP(A13,'Item wise'!A:H,3,)</f>
        <v>106652.04000000001</v>
      </c>
      <c r="D13" s="601">
        <f>VLOOKUP(A13,'Item wise'!A:H,4,)</f>
        <v>48468</v>
      </c>
      <c r="E13" s="601">
        <f>VLOOKUP(A13,'Item wise'!A:H,5,)</f>
        <v>70128</v>
      </c>
      <c r="F13" s="601">
        <f t="shared" si="0"/>
        <v>19.72620495585457</v>
      </c>
      <c r="G13" s="609">
        <f t="shared" si="1"/>
        <v>0.45444981643107807</v>
      </c>
      <c r="H13" s="601">
        <f t="shared" si="2"/>
        <v>-11943.959999999992</v>
      </c>
      <c r="I13" s="615">
        <f t="shared" si="3"/>
        <v>-0.11198998162623042</v>
      </c>
    </row>
    <row r="14" spans="1:9">
      <c r="A14" s="602" t="s">
        <v>59</v>
      </c>
      <c r="B14" s="600" t="s">
        <v>60</v>
      </c>
      <c r="C14" s="601">
        <f>VLOOKUP(A14,'Item wise'!A:H,3,)</f>
        <v>100813.44</v>
      </c>
      <c r="D14" s="601">
        <f>VLOOKUP(A14,'Item wise'!A:H,4,)</f>
        <v>59328</v>
      </c>
      <c r="E14" s="601">
        <f>VLOOKUP(A14,'Item wise'!A:H,5,)</f>
        <v>89208</v>
      </c>
      <c r="F14" s="601">
        <f t="shared" si="0"/>
        <v>26.546460471937078</v>
      </c>
      <c r="G14" s="609">
        <f t="shared" si="1"/>
        <v>0.58849296284304953</v>
      </c>
      <c r="H14" s="601">
        <f t="shared" si="2"/>
        <v>-47722.559999999998</v>
      </c>
      <c r="I14" s="615">
        <f t="shared" si="3"/>
        <v>-0.47337497857428529</v>
      </c>
    </row>
    <row r="15" spans="1:9">
      <c r="A15" s="602" t="s">
        <v>67</v>
      </c>
      <c r="B15" s="600" t="s">
        <v>68</v>
      </c>
      <c r="C15" s="601">
        <f>VLOOKUP(A15,'Item wise'!A:H,3,)</f>
        <v>87218.64</v>
      </c>
      <c r="D15" s="601">
        <f>VLOOKUP(A15,'Item wise'!A:H,4,)</f>
        <v>48744</v>
      </c>
      <c r="E15" s="601">
        <f>VLOOKUP(A15,'Item wise'!A:H,5,)</f>
        <v>59124</v>
      </c>
      <c r="F15" s="601">
        <f t="shared" si="0"/>
        <v>20.33647853257056</v>
      </c>
      <c r="G15" s="609">
        <f t="shared" si="1"/>
        <v>0.55887136052568576</v>
      </c>
      <c r="H15" s="601">
        <f t="shared" si="2"/>
        <v>-20649.36</v>
      </c>
      <c r="I15" s="615">
        <f t="shared" si="3"/>
        <v>-0.23675397827803782</v>
      </c>
    </row>
    <row r="16" spans="1:9">
      <c r="A16" s="602" t="s">
        <v>65</v>
      </c>
      <c r="B16" s="600" t="s">
        <v>66</v>
      </c>
      <c r="C16" s="601">
        <f>VLOOKUP(A16,'Item wise'!A:H,3,)</f>
        <v>82430.399999999994</v>
      </c>
      <c r="D16" s="601">
        <f>VLOOKUP(A16,'Item wise'!A:H,4,)</f>
        <v>48192</v>
      </c>
      <c r="E16" s="601">
        <f>VLOOKUP(A16,'Item wise'!A:H,5,)</f>
        <v>72216</v>
      </c>
      <c r="F16" s="601">
        <f t="shared" si="0"/>
        <v>26.282536539917313</v>
      </c>
      <c r="G16" s="609">
        <f t="shared" si="1"/>
        <v>0.58463867699295413</v>
      </c>
      <c r="H16" s="601">
        <f t="shared" si="2"/>
        <v>-37977.600000000006</v>
      </c>
      <c r="I16" s="615">
        <f t="shared" si="3"/>
        <v>-0.46072322832353124</v>
      </c>
    </row>
    <row r="17" spans="1:9">
      <c r="A17" s="602" t="s">
        <v>906</v>
      </c>
      <c r="B17" s="600" t="s">
        <v>912</v>
      </c>
      <c r="C17" s="601">
        <f>VLOOKUP(A17,'Item wise'!A:H,3,)</f>
        <v>77387.88</v>
      </c>
      <c r="D17" s="601">
        <f>VLOOKUP(A17,'Item wise'!A:H,4,)</f>
        <v>45456</v>
      </c>
      <c r="E17" s="601">
        <f>VLOOKUP(A17,'Item wise'!A:H,5,)</f>
        <v>93264</v>
      </c>
      <c r="F17" s="601">
        <f t="shared" si="0"/>
        <v>36.154498611410467</v>
      </c>
      <c r="G17" s="609">
        <f t="shared" si="1"/>
        <v>0.58737879885067268</v>
      </c>
      <c r="H17" s="601">
        <f t="shared" si="2"/>
        <v>-61332.119999999995</v>
      </c>
      <c r="I17" s="615">
        <f t="shared" si="3"/>
        <v>-0.79252875256435495</v>
      </c>
    </row>
    <row r="18" spans="1:9">
      <c r="A18" s="602" t="s">
        <v>80</v>
      </c>
      <c r="B18" s="600" t="s">
        <v>81</v>
      </c>
      <c r="C18" s="601">
        <f>VLOOKUP(A18,'Item wise'!A:H,3,)</f>
        <v>71094.48000000001</v>
      </c>
      <c r="D18" s="601">
        <f>VLOOKUP(A18,'Item wise'!A:H,4,)</f>
        <v>35940</v>
      </c>
      <c r="E18" s="601">
        <f>VLOOKUP(A18,'Item wise'!A:H,5,)</f>
        <v>109296</v>
      </c>
      <c r="F18" s="601">
        <f t="shared" si="0"/>
        <v>46.12003632349515</v>
      </c>
      <c r="G18" s="609">
        <f t="shared" si="1"/>
        <v>0.50552447953765178</v>
      </c>
      <c r="H18" s="601">
        <f t="shared" si="2"/>
        <v>-74141.51999999999</v>
      </c>
      <c r="I18" s="615">
        <f t="shared" si="3"/>
        <v>-1.0428590236541568</v>
      </c>
    </row>
    <row r="19" spans="1:9">
      <c r="A19" s="602" t="s">
        <v>15</v>
      </c>
      <c r="B19" s="600" t="s">
        <v>16</v>
      </c>
      <c r="C19" s="601">
        <f>VLOOKUP(A19,'Item wise'!A:H,3,)</f>
        <v>67239.240000000005</v>
      </c>
      <c r="D19" s="601">
        <f>VLOOKUP(A19,'Item wise'!A:H,4,)</f>
        <v>35424</v>
      </c>
      <c r="E19" s="601">
        <f>VLOOKUP(A19,'Item wise'!A:H,5,)</f>
        <v>52440</v>
      </c>
      <c r="F19" s="601">
        <f t="shared" si="0"/>
        <v>23.397052078518438</v>
      </c>
      <c r="G19" s="609">
        <f t="shared" si="1"/>
        <v>0.52683522300371033</v>
      </c>
      <c r="H19" s="601">
        <f t="shared" si="2"/>
        <v>-20624.759999999995</v>
      </c>
      <c r="I19" s="615">
        <f t="shared" si="3"/>
        <v>-0.30673695895432479</v>
      </c>
    </row>
    <row r="20" spans="1:9">
      <c r="A20" s="602" t="s">
        <v>194</v>
      </c>
      <c r="B20" s="600" t="s">
        <v>195</v>
      </c>
      <c r="C20" s="601">
        <f>VLOOKUP(A20,'Item wise'!A:H,3,)</f>
        <v>76083.600000000006</v>
      </c>
      <c r="D20" s="601">
        <f>VLOOKUP(A20,'Item wise'!A:H,4,)</f>
        <v>34536</v>
      </c>
      <c r="E20" s="601">
        <f>VLOOKUP(A20,'Item wise'!A:H,5,)</f>
        <v>81444</v>
      </c>
      <c r="F20" s="601">
        <f t="shared" si="0"/>
        <v>32.113622383798869</v>
      </c>
      <c r="G20" s="609">
        <f t="shared" si="1"/>
        <v>0.453921738718988</v>
      </c>
      <c r="H20" s="601">
        <f t="shared" si="2"/>
        <v>-39896.399999999994</v>
      </c>
      <c r="I20" s="615">
        <f t="shared" si="3"/>
        <v>-0.5243758181789504</v>
      </c>
    </row>
    <row r="21" spans="1:9">
      <c r="A21" s="602" t="s">
        <v>149</v>
      </c>
      <c r="B21" s="600" t="s">
        <v>150</v>
      </c>
      <c r="C21" s="601">
        <f>VLOOKUP(A21,'Item wise'!A:H,3,)</f>
        <v>65197.200000000004</v>
      </c>
      <c r="D21" s="601">
        <f>VLOOKUP(A21,'Item wise'!A:H,4,)</f>
        <v>45288</v>
      </c>
      <c r="E21" s="601">
        <f>VLOOKUP(A21,'Item wise'!A:H,5,)</f>
        <v>66264</v>
      </c>
      <c r="F21" s="601">
        <f t="shared" si="0"/>
        <v>30.490879976440702</v>
      </c>
      <c r="G21" s="609">
        <f t="shared" si="1"/>
        <v>0.69463105777548728</v>
      </c>
      <c r="H21" s="601">
        <f t="shared" si="2"/>
        <v>-46354.799999999996</v>
      </c>
      <c r="I21" s="615">
        <f t="shared" si="3"/>
        <v>-0.71099372365684399</v>
      </c>
    </row>
    <row r="22" spans="1:9">
      <c r="A22" s="602" t="s">
        <v>37</v>
      </c>
      <c r="B22" s="600" t="s">
        <v>38</v>
      </c>
      <c r="C22" s="601">
        <f>VLOOKUP(A22,'Item wise'!A:H,3,)</f>
        <v>51974.7</v>
      </c>
      <c r="D22" s="601">
        <f>VLOOKUP(A22,'Item wise'!A:H,4,)</f>
        <v>32680</v>
      </c>
      <c r="E22" s="601">
        <f>VLOOKUP(A22,'Item wise'!A:H,5,)</f>
        <v>68680</v>
      </c>
      <c r="F22" s="601">
        <f t="shared" si="0"/>
        <v>39.642364458092111</v>
      </c>
      <c r="G22" s="609">
        <f t="shared" si="1"/>
        <v>0.62876745801322576</v>
      </c>
      <c r="H22" s="601">
        <f t="shared" si="2"/>
        <v>-49385.3</v>
      </c>
      <c r="I22" s="615">
        <f t="shared" si="3"/>
        <v>-0.95017960661629608</v>
      </c>
    </row>
    <row r="23" spans="1:9">
      <c r="A23" s="602" t="s">
        <v>74</v>
      </c>
      <c r="B23" s="600" t="s">
        <v>75</v>
      </c>
      <c r="C23" s="601">
        <f>VLOOKUP(A23,'Item wise'!A:H,3,)</f>
        <v>43360.800000000003</v>
      </c>
      <c r="D23" s="601">
        <f>VLOOKUP(A23,'Item wise'!A:H,4,)</f>
        <v>23568</v>
      </c>
      <c r="E23" s="601">
        <f>VLOOKUP(A23,'Item wise'!A:H,5,)</f>
        <v>58728</v>
      </c>
      <c r="F23" s="601">
        <f t="shared" si="0"/>
        <v>40.63209165882548</v>
      </c>
      <c r="G23" s="609">
        <f t="shared" si="1"/>
        <v>0.54353240715115958</v>
      </c>
      <c r="H23" s="601">
        <f t="shared" si="2"/>
        <v>-38935.199999999997</v>
      </c>
      <c r="I23" s="615">
        <f t="shared" si="3"/>
        <v>-0.89793546244534217</v>
      </c>
    </row>
    <row r="24" spans="1:9">
      <c r="A24" s="602" t="s">
        <v>167</v>
      </c>
      <c r="B24" s="600" t="s">
        <v>168</v>
      </c>
      <c r="C24" s="601">
        <f>VLOOKUP(A24,'Item wise'!A:H,3,)</f>
        <v>41683.19999999999</v>
      </c>
      <c r="D24" s="601">
        <f>VLOOKUP(A24,'Item wise'!A:H,4,)</f>
        <v>20172</v>
      </c>
      <c r="E24" s="601">
        <f>VLOOKUP(A24,'Item wise'!A:H,5,)</f>
        <v>24214</v>
      </c>
      <c r="F24" s="601">
        <f t="shared" si="0"/>
        <v>17.427164900967302</v>
      </c>
      <c r="G24" s="609">
        <f t="shared" si="1"/>
        <v>0.48393597420543538</v>
      </c>
      <c r="H24" s="601">
        <f t="shared" si="2"/>
        <v>-2702.8000000000102</v>
      </c>
      <c r="I24" s="615">
        <f t="shared" si="3"/>
        <v>-6.4841470904345416E-2</v>
      </c>
    </row>
    <row r="25" spans="1:9">
      <c r="A25" s="602" t="s">
        <v>1004</v>
      </c>
      <c r="B25" s="600" t="s">
        <v>1005</v>
      </c>
      <c r="C25" s="601">
        <f>VLOOKUP(A25,'Item wise'!A:H,3,)</f>
        <v>35359.699999999997</v>
      </c>
      <c r="D25" s="601">
        <f>VLOOKUP(A25,'Item wise'!A:H,4,)</f>
        <v>4200</v>
      </c>
      <c r="E25" s="601">
        <f>VLOOKUP(A25,'Item wise'!A:H,5,)</f>
        <v>50860</v>
      </c>
      <c r="F25" s="601">
        <f t="shared" si="0"/>
        <v>43.150818587261774</v>
      </c>
      <c r="G25" s="609">
        <f t="shared" si="1"/>
        <v>0.11877928828581691</v>
      </c>
      <c r="H25" s="601">
        <f t="shared" si="2"/>
        <v>-19700.300000000003</v>
      </c>
      <c r="I25" s="615">
        <f t="shared" si="3"/>
        <v>-0.55713990786120937</v>
      </c>
    </row>
    <row r="26" spans="1:9">
      <c r="A26" s="602" t="s">
        <v>1037</v>
      </c>
      <c r="B26" s="600" t="s">
        <v>1038</v>
      </c>
      <c r="C26" s="601">
        <f>VLOOKUP(A26,'Item wise'!A:H,3,)</f>
        <v>34110.959999999999</v>
      </c>
      <c r="D26" s="601">
        <f>VLOOKUP(A26,'Item wise'!A:H,4,)</f>
        <v>10500</v>
      </c>
      <c r="E26" s="601">
        <f>VLOOKUP(A26,'Item wise'!A:H,5,)</f>
        <v>75120</v>
      </c>
      <c r="F26" s="601">
        <f t="shared" si="0"/>
        <v>66.066742184916521</v>
      </c>
      <c r="G26" s="609">
        <f t="shared" si="1"/>
        <v>0.30781895320448327</v>
      </c>
      <c r="H26" s="601">
        <f t="shared" si="2"/>
        <v>-51509.04</v>
      </c>
      <c r="I26" s="615">
        <f t="shared" si="3"/>
        <v>-1.5100436927017007</v>
      </c>
    </row>
    <row r="27" spans="1:9">
      <c r="A27" s="602" t="s">
        <v>1006</v>
      </c>
      <c r="B27" s="600" t="s">
        <v>1008</v>
      </c>
      <c r="C27" s="601">
        <f>VLOOKUP(A27,'Item wise'!A:H,3,)</f>
        <v>33412.32</v>
      </c>
      <c r="D27" s="601">
        <f>VLOOKUP(A27,'Item wise'!A:H,4,)</f>
        <v>18864</v>
      </c>
      <c r="E27" s="601">
        <f>VLOOKUP(A27,'Item wise'!A:H,5,)</f>
        <v>47700</v>
      </c>
      <c r="F27" s="601">
        <f t="shared" si="0"/>
        <v>42.828513554281777</v>
      </c>
      <c r="G27" s="609">
        <f t="shared" si="1"/>
        <v>0.5645821660992113</v>
      </c>
      <c r="H27" s="601">
        <f t="shared" si="2"/>
        <v>-33151.68</v>
      </c>
      <c r="I27" s="615">
        <f t="shared" si="3"/>
        <v>-0.9921992845752704</v>
      </c>
    </row>
    <row r="28" spans="1:9">
      <c r="A28" s="602" t="s">
        <v>1007</v>
      </c>
      <c r="B28" s="600" t="s">
        <v>1009</v>
      </c>
      <c r="C28" s="601">
        <f>VLOOKUP(A28,'Item wise'!A:H,3,)</f>
        <v>35276.87999999999</v>
      </c>
      <c r="D28" s="601">
        <f>VLOOKUP(A28,'Item wise'!A:H,4,)</f>
        <v>11880</v>
      </c>
      <c r="E28" s="601">
        <f>VLOOKUP(A28,'Item wise'!A:H,5,)</f>
        <v>10164</v>
      </c>
      <c r="F28" s="601">
        <f t="shared" si="0"/>
        <v>8.643621544762464</v>
      </c>
      <c r="G28" s="609">
        <f t="shared" si="1"/>
        <v>0.33676447576996615</v>
      </c>
      <c r="H28" s="601">
        <f t="shared" si="2"/>
        <v>13232.87999999999</v>
      </c>
      <c r="I28" s="615">
        <f t="shared" si="3"/>
        <v>0.37511480607128506</v>
      </c>
    </row>
    <row r="29" spans="1:9">
      <c r="A29" s="602" t="s">
        <v>180</v>
      </c>
      <c r="B29" s="600" t="s">
        <v>181</v>
      </c>
      <c r="C29" s="601">
        <f>VLOOKUP(A29,'Item wise'!A:H,3,)</f>
        <v>31988.28</v>
      </c>
      <c r="D29" s="601">
        <f>VLOOKUP(A29,'Item wise'!A:H,4,)</f>
        <v>17880</v>
      </c>
      <c r="E29" s="601">
        <f>VLOOKUP(A29,'Item wise'!A:H,5,)</f>
        <v>84108</v>
      </c>
      <c r="F29" s="601">
        <f t="shared" si="0"/>
        <v>78.880139851220505</v>
      </c>
      <c r="G29" s="609">
        <f t="shared" si="1"/>
        <v>0.55895471716516176</v>
      </c>
      <c r="H29" s="601">
        <f t="shared" si="2"/>
        <v>-69999.72</v>
      </c>
      <c r="I29" s="615">
        <f t="shared" si="3"/>
        <v>-2.1882927122058455</v>
      </c>
    </row>
    <row r="30" spans="1:9">
      <c r="A30" s="602" t="s">
        <v>84</v>
      </c>
      <c r="B30" s="600" t="s">
        <v>1222</v>
      </c>
      <c r="C30" s="601">
        <f>VLOOKUP(A30,'Item wise'!A:H,3,)</f>
        <v>23933.16</v>
      </c>
      <c r="D30" s="601">
        <f>VLOOKUP(A30,'Item wise'!A:H,4,)</f>
        <v>10140</v>
      </c>
      <c r="E30" s="601">
        <f>VLOOKUP(A30,'Item wise'!A:H,5,)</f>
        <v>26532</v>
      </c>
      <c r="F30" s="601">
        <f t="shared" si="0"/>
        <v>33.257622478602904</v>
      </c>
      <c r="G30" s="609">
        <f t="shared" si="1"/>
        <v>0.42367994865700975</v>
      </c>
      <c r="H30" s="601">
        <f t="shared" si="2"/>
        <v>-12738.84</v>
      </c>
      <c r="I30" s="615">
        <f t="shared" si="3"/>
        <v>-0.53226736461044011</v>
      </c>
    </row>
    <row r="31" spans="1:9">
      <c r="A31" s="602" t="s">
        <v>90</v>
      </c>
      <c r="B31" s="600" t="s">
        <v>91</v>
      </c>
      <c r="C31" s="601">
        <f>VLOOKUP(A31,'Item wise'!A:H,3,)</f>
        <v>23595.200000000001</v>
      </c>
      <c r="D31" s="601">
        <f>VLOOKUP(A31,'Item wise'!A:H,4,)</f>
        <v>15000</v>
      </c>
      <c r="E31" s="601">
        <f>VLOOKUP(A31,'Item wise'!A:H,5,)</f>
        <v>68170</v>
      </c>
      <c r="F31" s="601">
        <f t="shared" si="0"/>
        <v>86.674408354241535</v>
      </c>
      <c r="G31" s="609">
        <f t="shared" si="1"/>
        <v>0.63572251983454264</v>
      </c>
      <c r="H31" s="601">
        <f t="shared" si="2"/>
        <v>-59574.8</v>
      </c>
      <c r="I31" s="615">
        <f t="shared" si="3"/>
        <v>-2.5248694649759273</v>
      </c>
    </row>
    <row r="32" spans="1:9">
      <c r="A32" s="602" t="s">
        <v>41</v>
      </c>
      <c r="B32" s="600" t="s">
        <v>42</v>
      </c>
      <c r="C32" s="601">
        <f>VLOOKUP(A32,'Item wise'!A:H,3,)</f>
        <v>18270.600000000002</v>
      </c>
      <c r="D32" s="601">
        <f>VLOOKUP(A32,'Item wise'!A:H,4,)</f>
        <v>10420</v>
      </c>
      <c r="E32" s="601">
        <f>VLOOKUP(A32,'Item wise'!A:H,5,)</f>
        <v>26190</v>
      </c>
      <c r="F32" s="601">
        <f t="shared" si="0"/>
        <v>43.00351384190995</v>
      </c>
      <c r="G32" s="609">
        <f t="shared" si="1"/>
        <v>0.57031515111709519</v>
      </c>
      <c r="H32" s="601">
        <f t="shared" si="2"/>
        <v>-18339.399999999998</v>
      </c>
      <c r="I32" s="615">
        <f t="shared" si="3"/>
        <v>-1.0037656125140935</v>
      </c>
    </row>
    <row r="33" spans="1:9">
      <c r="A33" s="602" t="s">
        <v>189</v>
      </c>
      <c r="B33" s="600" t="s">
        <v>190</v>
      </c>
      <c r="C33" s="601">
        <f>VLOOKUP(A33,'Item wise'!A:H,3,)</f>
        <v>17559.36</v>
      </c>
      <c r="D33" s="601">
        <f>VLOOKUP(A33,'Item wise'!A:H,4,)</f>
        <v>6168</v>
      </c>
      <c r="E33" s="601">
        <f>VLOOKUP(A33,'Item wise'!A:H,5,)</f>
        <v>12792</v>
      </c>
      <c r="F33" s="601">
        <f t="shared" si="0"/>
        <v>21.85501066098081</v>
      </c>
      <c r="G33" s="609">
        <f t="shared" si="1"/>
        <v>0.35126564977311242</v>
      </c>
      <c r="H33" s="601">
        <f t="shared" si="2"/>
        <v>-1400.6399999999994</v>
      </c>
      <c r="I33" s="615">
        <f t="shared" si="3"/>
        <v>-7.9766005139139437E-2</v>
      </c>
    </row>
    <row r="34" spans="1:9">
      <c r="A34" s="602" t="s">
        <v>78</v>
      </c>
      <c r="B34" s="600" t="s">
        <v>79</v>
      </c>
      <c r="C34" s="601">
        <f>VLOOKUP(A34,'Item wise'!A:H,3,)</f>
        <v>14102.4</v>
      </c>
      <c r="D34" s="601">
        <f>VLOOKUP(A34,'Item wise'!A:H,4,)</f>
        <v>8352</v>
      </c>
      <c r="E34" s="601">
        <f>VLOOKUP(A34,'Item wise'!A:H,5,)</f>
        <v>20808</v>
      </c>
      <c r="F34" s="601">
        <f t="shared" ref="F34:F52" si="4">E34/(C34/30)</f>
        <v>44.264805990469711</v>
      </c>
      <c r="G34" s="609">
        <f t="shared" ref="G34:G52" si="5">D34/C34</f>
        <v>0.59223961878829134</v>
      </c>
      <c r="H34" s="601">
        <f t="shared" ref="H34:H52" si="6">C34-D34-E34</f>
        <v>-15057.6</v>
      </c>
      <c r="I34" s="615">
        <f t="shared" ref="I34:I52" si="7">H34/C34</f>
        <v>-1.0677331518039483</v>
      </c>
    </row>
    <row r="35" spans="1:9">
      <c r="A35" s="602" t="s">
        <v>57</v>
      </c>
      <c r="B35" s="600" t="s">
        <v>58</v>
      </c>
      <c r="C35" s="601">
        <f>VLOOKUP(A35,'Item wise'!A:H,3,)</f>
        <v>15687.719999999998</v>
      </c>
      <c r="D35" s="601">
        <f>VLOOKUP(A35,'Item wise'!A:H,4,)</f>
        <v>8040</v>
      </c>
      <c r="E35" s="601">
        <f>VLOOKUP(A35,'Item wise'!A:H,5,)</f>
        <v>29028</v>
      </c>
      <c r="F35" s="601">
        <f t="shared" si="4"/>
        <v>55.510934667370414</v>
      </c>
      <c r="G35" s="609">
        <f t="shared" si="5"/>
        <v>0.51250277286948021</v>
      </c>
      <c r="H35" s="601">
        <f t="shared" si="6"/>
        <v>-21380.280000000002</v>
      </c>
      <c r="I35" s="615">
        <f t="shared" si="7"/>
        <v>-1.3628672617818272</v>
      </c>
    </row>
    <row r="36" spans="1:9">
      <c r="A36" s="602" t="s">
        <v>49</v>
      </c>
      <c r="B36" s="600" t="s">
        <v>50</v>
      </c>
      <c r="C36" s="601">
        <f>VLOOKUP(A36,'Item wise'!A:H,3,)</f>
        <v>7060.41</v>
      </c>
      <c r="D36" s="601">
        <f>VLOOKUP(A36,'Item wise'!A:H,4,)</f>
        <v>3339</v>
      </c>
      <c r="E36" s="601">
        <f>VLOOKUP(A36,'Item wise'!A:H,5,)</f>
        <v>8712</v>
      </c>
      <c r="F36" s="601">
        <f t="shared" si="4"/>
        <v>37.017680276357886</v>
      </c>
      <c r="G36" s="609">
        <f t="shared" si="5"/>
        <v>0.47291871151958598</v>
      </c>
      <c r="H36" s="601">
        <f t="shared" si="6"/>
        <v>-4990.59</v>
      </c>
      <c r="I36" s="615">
        <f t="shared" si="7"/>
        <v>-0.70684138739818225</v>
      </c>
    </row>
    <row r="37" spans="1:9">
      <c r="A37" s="602" t="s">
        <v>1188</v>
      </c>
      <c r="B37" s="600" t="s">
        <v>1223</v>
      </c>
      <c r="C37" s="601">
        <f>VLOOKUP(A37,'Item wise'!A:H,3,)</f>
        <v>6945.1200000000008</v>
      </c>
      <c r="D37" s="601">
        <f>VLOOKUP(A37,'Item wise'!A:H,4,)</f>
        <v>0</v>
      </c>
      <c r="E37" s="601">
        <f>VLOOKUP(A37,'Item wise'!A:H,5,)</f>
        <v>0</v>
      </c>
      <c r="F37" s="601">
        <f t="shared" si="4"/>
        <v>0</v>
      </c>
      <c r="G37" s="609">
        <f t="shared" si="5"/>
        <v>0</v>
      </c>
      <c r="H37" s="601">
        <f t="shared" si="6"/>
        <v>6945.1200000000008</v>
      </c>
      <c r="I37" s="615">
        <f t="shared" si="7"/>
        <v>1</v>
      </c>
    </row>
    <row r="38" spans="1:9">
      <c r="A38" s="602" t="s">
        <v>1194</v>
      </c>
      <c r="B38" s="600" t="s">
        <v>1225</v>
      </c>
      <c r="C38" s="601">
        <f>VLOOKUP(A38,'Item wise'!A:H,3,)</f>
        <v>5410.68</v>
      </c>
      <c r="D38" s="601">
        <f>VLOOKUP(A38,'Item wise'!A:H,4,)</f>
        <v>10440</v>
      </c>
      <c r="E38" s="601">
        <f>VLOOKUP(A38,'Item wise'!A:H,5,)</f>
        <v>0</v>
      </c>
      <c r="F38" s="601">
        <f t="shared" si="4"/>
        <v>0</v>
      </c>
      <c r="G38" s="609">
        <f t="shared" si="5"/>
        <v>1.9295171771385482</v>
      </c>
      <c r="H38" s="601">
        <f t="shared" si="6"/>
        <v>-5029.32</v>
      </c>
      <c r="I38" s="615">
        <f t="shared" si="7"/>
        <v>-0.92951717713854809</v>
      </c>
    </row>
    <row r="39" spans="1:9">
      <c r="A39" s="602" t="s">
        <v>88</v>
      </c>
      <c r="B39" s="600" t="s">
        <v>89</v>
      </c>
      <c r="C39" s="601">
        <f>VLOOKUP(A39,'Item wise'!A:H,3,)</f>
        <v>3176.9999999999995</v>
      </c>
      <c r="D39" s="601">
        <f>VLOOKUP(A39,'Item wise'!A:H,4,)</f>
        <v>2736</v>
      </c>
      <c r="E39" s="601">
        <f>VLOOKUP(A39,'Item wise'!A:H,5,)</f>
        <v>4032</v>
      </c>
      <c r="F39" s="601">
        <f t="shared" si="4"/>
        <v>38.073654390934848</v>
      </c>
      <c r="G39" s="609">
        <f t="shared" si="5"/>
        <v>0.86118980169971682</v>
      </c>
      <c r="H39" s="601">
        <f t="shared" si="6"/>
        <v>-3591.0000000000005</v>
      </c>
      <c r="I39" s="615">
        <f t="shared" si="7"/>
        <v>-1.1303116147308785</v>
      </c>
    </row>
    <row r="40" spans="1:9">
      <c r="A40" s="602" t="s">
        <v>43</v>
      </c>
      <c r="B40" s="600" t="s">
        <v>44</v>
      </c>
      <c r="C40" s="601">
        <f>VLOOKUP(A40,'Item wise'!A:H,3,)</f>
        <v>2841.2999999999997</v>
      </c>
      <c r="D40" s="601">
        <f>VLOOKUP(A40,'Item wise'!A:H,4,)</f>
        <v>1224</v>
      </c>
      <c r="E40" s="601">
        <f>VLOOKUP(A40,'Item wise'!A:H,5,)</f>
        <v>4257</v>
      </c>
      <c r="F40" s="601">
        <f t="shared" si="4"/>
        <v>44.947735191637634</v>
      </c>
      <c r="G40" s="609">
        <f t="shared" si="5"/>
        <v>0.43078872347165037</v>
      </c>
      <c r="H40" s="601">
        <f t="shared" si="6"/>
        <v>-2639.7000000000003</v>
      </c>
      <c r="I40" s="615">
        <f t="shared" si="7"/>
        <v>-0.9290465631929048</v>
      </c>
    </row>
    <row r="41" spans="1:9">
      <c r="A41" s="602" t="s">
        <v>34</v>
      </c>
      <c r="B41" s="600" t="s">
        <v>35</v>
      </c>
      <c r="C41" s="601">
        <f>VLOOKUP(A41,'Item wise'!A:H,3,)</f>
        <v>3122.19</v>
      </c>
      <c r="D41" s="601">
        <f>VLOOKUP(A41,'Item wise'!A:H,4,)</f>
        <v>2016</v>
      </c>
      <c r="E41" s="601">
        <f>VLOOKUP(A41,'Item wise'!A:H,5,)</f>
        <v>5265</v>
      </c>
      <c r="F41" s="601">
        <f t="shared" si="4"/>
        <v>50.589490069470465</v>
      </c>
      <c r="G41" s="609">
        <f t="shared" si="5"/>
        <v>0.64570061399210166</v>
      </c>
      <c r="H41" s="601">
        <f t="shared" si="6"/>
        <v>-4158.8099999999995</v>
      </c>
      <c r="I41" s="615">
        <f t="shared" si="7"/>
        <v>-1.3320169496411172</v>
      </c>
    </row>
    <row r="42" spans="1:9">
      <c r="A42" s="602" t="s">
        <v>45</v>
      </c>
      <c r="B42" s="600" t="s">
        <v>46</v>
      </c>
      <c r="C42" s="601">
        <f>VLOOKUP(A42,'Item wise'!A:H,3,)</f>
        <v>1866.1499999999999</v>
      </c>
      <c r="D42" s="601">
        <f>VLOOKUP(A42,'Item wise'!A:H,4,)</f>
        <v>846</v>
      </c>
      <c r="E42" s="601">
        <f>VLOOKUP(A42,'Item wise'!A:H,5,)</f>
        <v>5589</v>
      </c>
      <c r="F42" s="601">
        <f t="shared" si="4"/>
        <v>89.848082951531225</v>
      </c>
      <c r="G42" s="609">
        <f t="shared" si="5"/>
        <v>0.45333976368459128</v>
      </c>
      <c r="H42" s="601">
        <f t="shared" si="6"/>
        <v>-4568.8500000000004</v>
      </c>
      <c r="I42" s="615">
        <f t="shared" si="7"/>
        <v>-2.4482758620689657</v>
      </c>
    </row>
    <row r="43" spans="1:9">
      <c r="A43" s="602" t="s">
        <v>1184</v>
      </c>
      <c r="B43" s="600" t="s">
        <v>1224</v>
      </c>
      <c r="C43" s="601">
        <f>VLOOKUP(A43,'Item wise'!A:H,3,)</f>
        <v>1368.84</v>
      </c>
      <c r="D43" s="601">
        <f>VLOOKUP(A43,'Item wise'!A:H,4,)</f>
        <v>756</v>
      </c>
      <c r="E43" s="601">
        <f>VLOOKUP(A43,'Item wise'!A:H,5,)</f>
        <v>4080</v>
      </c>
      <c r="F43" s="601">
        <f t="shared" si="4"/>
        <v>89.418777943368113</v>
      </c>
      <c r="G43" s="609">
        <f t="shared" si="5"/>
        <v>0.55229245200315602</v>
      </c>
      <c r="H43" s="601">
        <f t="shared" si="6"/>
        <v>-3467.16</v>
      </c>
      <c r="I43" s="615">
        <f t="shared" si="7"/>
        <v>-2.5329183834487594</v>
      </c>
    </row>
    <row r="44" spans="1:9">
      <c r="A44" s="602" t="s">
        <v>47</v>
      </c>
      <c r="B44" s="600" t="s">
        <v>48</v>
      </c>
      <c r="C44" s="601">
        <f>VLOOKUP(A44,'Item wise'!A:H,3,)</f>
        <v>1065.6000000000001</v>
      </c>
      <c r="D44" s="601">
        <f>VLOOKUP(A44,'Item wise'!A:H,4,)</f>
        <v>315</v>
      </c>
      <c r="E44" s="601">
        <f>VLOOKUP(A44,'Item wise'!A:H,5,)</f>
        <v>3132</v>
      </c>
      <c r="F44" s="601">
        <f t="shared" si="4"/>
        <v>88.175675675675663</v>
      </c>
      <c r="G44" s="609">
        <f t="shared" si="5"/>
        <v>0.29560810810810806</v>
      </c>
      <c r="H44" s="601">
        <f t="shared" si="6"/>
        <v>-2381.3999999999996</v>
      </c>
      <c r="I44" s="615">
        <f t="shared" si="7"/>
        <v>-2.2347972972972965</v>
      </c>
    </row>
    <row r="45" spans="1:9">
      <c r="A45" s="602" t="s">
        <v>1025</v>
      </c>
      <c r="B45" s="600" t="s">
        <v>1026</v>
      </c>
      <c r="C45" s="601">
        <f>VLOOKUP(A45,'Item wise'!A:H,3,)</f>
        <v>591.72</v>
      </c>
      <c r="D45" s="601">
        <f>VLOOKUP(A45,'Item wise'!A:H,4,)</f>
        <v>0</v>
      </c>
      <c r="E45" s="601">
        <f>VLOOKUP(A45,'Item wise'!A:H,5,)</f>
        <v>0</v>
      </c>
      <c r="F45" s="601">
        <f t="shared" si="4"/>
        <v>0</v>
      </c>
      <c r="G45" s="609">
        <f t="shared" si="5"/>
        <v>0</v>
      </c>
      <c r="H45" s="601">
        <f t="shared" si="6"/>
        <v>591.72</v>
      </c>
      <c r="I45" s="615">
        <f t="shared" si="7"/>
        <v>1</v>
      </c>
    </row>
    <row r="46" spans="1:9">
      <c r="A46" s="602" t="s">
        <v>1232</v>
      </c>
      <c r="B46" s="600" t="s">
        <v>1237</v>
      </c>
      <c r="C46" s="601">
        <f>VLOOKUP(A46,'Item wise'!A:H,3,)</f>
        <v>450.24</v>
      </c>
      <c r="D46" s="601">
        <f>VLOOKUP(A46,'Item wise'!A:H,4,)</f>
        <v>0</v>
      </c>
      <c r="E46" s="601">
        <f>VLOOKUP(A46,'Item wise'!A:H,5,)</f>
        <v>1524</v>
      </c>
      <c r="F46" s="601">
        <f t="shared" si="4"/>
        <v>101.54584221748401</v>
      </c>
      <c r="G46" s="609">
        <f t="shared" si="5"/>
        <v>0</v>
      </c>
      <c r="H46" s="601">
        <f t="shared" si="6"/>
        <v>-1073.76</v>
      </c>
      <c r="I46" s="615">
        <f t="shared" si="7"/>
        <v>-2.3848614072494669</v>
      </c>
    </row>
    <row r="47" spans="1:9">
      <c r="A47" s="602" t="s">
        <v>144</v>
      </c>
      <c r="B47" s="600" t="s">
        <v>145</v>
      </c>
      <c r="C47" s="601">
        <f>VLOOKUP(A47,'Item wise'!A:H,3,)</f>
        <v>450.24</v>
      </c>
      <c r="D47" s="601">
        <f>VLOOKUP(A47,'Item wise'!A:H,4,)</f>
        <v>0</v>
      </c>
      <c r="E47" s="601">
        <f>VLOOKUP(A47,'Item wise'!A:H,5,)</f>
        <v>0</v>
      </c>
      <c r="F47" s="601">
        <f t="shared" si="4"/>
        <v>0</v>
      </c>
      <c r="G47" s="609">
        <f t="shared" si="5"/>
        <v>0</v>
      </c>
      <c r="H47" s="601">
        <f t="shared" si="6"/>
        <v>450.24</v>
      </c>
      <c r="I47" s="615">
        <f t="shared" si="7"/>
        <v>1</v>
      </c>
    </row>
    <row r="48" spans="1:9">
      <c r="A48" s="602" t="s">
        <v>183</v>
      </c>
      <c r="B48" s="600" t="s">
        <v>184</v>
      </c>
      <c r="C48" s="601">
        <f>VLOOKUP(A48,'Item wise'!A:H,3,)</f>
        <v>128.63999999999999</v>
      </c>
      <c r="D48" s="601">
        <f>VLOOKUP(A48,'Item wise'!A:H,4,)</f>
        <v>0</v>
      </c>
      <c r="E48" s="601">
        <f>VLOOKUP(A48,'Item wise'!A:H,5,)</f>
        <v>0</v>
      </c>
      <c r="F48" s="601">
        <f t="shared" si="4"/>
        <v>0</v>
      </c>
      <c r="G48" s="609">
        <f t="shared" si="5"/>
        <v>0</v>
      </c>
      <c r="H48" s="601">
        <f t="shared" si="6"/>
        <v>128.63999999999999</v>
      </c>
      <c r="I48" s="615">
        <f t="shared" si="7"/>
        <v>1</v>
      </c>
    </row>
    <row r="49" spans="1:9">
      <c r="A49" s="602" t="s">
        <v>1176</v>
      </c>
      <c r="B49" s="600" t="s">
        <v>1182</v>
      </c>
      <c r="C49" s="601">
        <f>VLOOKUP(A49,'Item wise'!A:H,3,)</f>
        <v>60</v>
      </c>
      <c r="D49" s="601">
        <f>VLOOKUP(A49,'Item wise'!A:H,4,)</f>
        <v>48</v>
      </c>
      <c r="E49" s="601">
        <f>VLOOKUP(A49,'Item wise'!A:H,5,)</f>
        <v>19884</v>
      </c>
      <c r="F49" s="601">
        <f t="shared" si="4"/>
        <v>9942</v>
      </c>
      <c r="G49" s="609">
        <f t="shared" si="5"/>
        <v>0.8</v>
      </c>
      <c r="H49" s="601">
        <f t="shared" si="6"/>
        <v>-19872</v>
      </c>
      <c r="I49" s="615">
        <f t="shared" si="7"/>
        <v>-331.2</v>
      </c>
    </row>
    <row r="50" spans="1:9">
      <c r="A50" s="602" t="s">
        <v>778</v>
      </c>
      <c r="B50" s="600" t="s">
        <v>780</v>
      </c>
      <c r="C50" s="601">
        <f>VLOOKUP(A50,'Item wise'!A:H,3,)</f>
        <v>0</v>
      </c>
      <c r="D50" s="601">
        <f>VLOOKUP(A50,'Item wise'!A:H,4,)</f>
        <v>1128</v>
      </c>
      <c r="E50" s="601">
        <f>VLOOKUP(A50,'Item wise'!A:H,5,)</f>
        <v>3612</v>
      </c>
      <c r="F50" s="601" t="e">
        <f t="shared" si="4"/>
        <v>#DIV/0!</v>
      </c>
      <c r="G50" s="609" t="e">
        <f t="shared" si="5"/>
        <v>#DIV/0!</v>
      </c>
      <c r="H50" s="601">
        <f t="shared" si="6"/>
        <v>-4740</v>
      </c>
      <c r="I50" s="615" t="e">
        <f t="shared" si="7"/>
        <v>#DIV/0!</v>
      </c>
    </row>
    <row r="51" spans="1:9">
      <c r="A51" s="602" t="s">
        <v>1231</v>
      </c>
      <c r="B51" s="600" t="s">
        <v>1236</v>
      </c>
      <c r="C51" s="601">
        <f>VLOOKUP(A51,'Item wise'!A:H,3,)</f>
        <v>0</v>
      </c>
      <c r="D51" s="601">
        <f>VLOOKUP(A51,'Item wise'!A:H,4,)</f>
        <v>0</v>
      </c>
      <c r="E51" s="601">
        <f>VLOOKUP(A51,'Item wise'!A:H,5,)</f>
        <v>432</v>
      </c>
      <c r="F51" s="601" t="e">
        <f t="shared" si="4"/>
        <v>#DIV/0!</v>
      </c>
      <c r="G51" s="609" t="e">
        <f t="shared" si="5"/>
        <v>#DIV/0!</v>
      </c>
      <c r="H51" s="601">
        <f t="shared" si="6"/>
        <v>-432</v>
      </c>
      <c r="I51" s="615" t="e">
        <f t="shared" si="7"/>
        <v>#DIV/0!</v>
      </c>
    </row>
    <row r="52" spans="1:9" ht="11.25" thickBot="1">
      <c r="A52" s="611" t="s">
        <v>1153</v>
      </c>
      <c r="B52" s="612" t="s">
        <v>1154</v>
      </c>
      <c r="C52" s="613">
        <f>VLOOKUP(A52,'Item wise'!A:H,3,)</f>
        <v>0</v>
      </c>
      <c r="D52" s="613">
        <f>VLOOKUP(A52,'Item wise'!A:H,4,)</f>
        <v>0</v>
      </c>
      <c r="E52" s="613">
        <f>VLOOKUP(A52,'Item wise'!A:H,5,)</f>
        <v>216</v>
      </c>
      <c r="F52" s="613" t="e">
        <f t="shared" si="4"/>
        <v>#DIV/0!</v>
      </c>
      <c r="G52" s="614" t="e">
        <f t="shared" si="5"/>
        <v>#DIV/0!</v>
      </c>
      <c r="H52" s="613">
        <f t="shared" si="6"/>
        <v>-216</v>
      </c>
      <c r="I52" s="615" t="e">
        <f t="shared" si="7"/>
        <v>#DIV/0!</v>
      </c>
    </row>
    <row r="53" spans="1:9" s="598" customFormat="1" ht="30.75" customHeight="1" thickBot="1">
      <c r="A53" s="636" t="s">
        <v>118</v>
      </c>
      <c r="B53" s="637"/>
      <c r="C53" s="610">
        <f>SUM(C2:C52)</f>
        <v>6240121.9300000025</v>
      </c>
      <c r="D53" s="610">
        <f>SUM(D2:D52)</f>
        <v>3542684</v>
      </c>
      <c r="E53" s="610">
        <f>SUM(E2:E52)</f>
        <v>5196265</v>
      </c>
      <c r="F53" s="610"/>
      <c r="G53" s="618">
        <f t="shared" ref="G53" si="8">D53/C53</f>
        <v>0.56772672709618011</v>
      </c>
      <c r="H53" s="638"/>
      <c r="I53" s="639"/>
    </row>
  </sheetData>
  <sortState xmlns:xlrd2="http://schemas.microsoft.com/office/spreadsheetml/2017/richdata2" ref="A2:I52">
    <sortCondition descending="1" ref="C2:C52"/>
    <sortCondition ref="I2:I52"/>
  </sortState>
  <mergeCells count="2">
    <mergeCell ref="A53:B53"/>
    <mergeCell ref="H53:I53"/>
  </mergeCells>
  <conditionalFormatting sqref="F2:F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5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5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3C22-461E-49C4-91C3-50C7D3FCDDCE}">
  <dimension ref="A1:BH97"/>
  <sheetViews>
    <sheetView showGridLines="0" zoomScale="85" zoomScaleNormal="85" workbookViewId="0">
      <selection activeCell="E8" sqref="E8"/>
    </sheetView>
  </sheetViews>
  <sheetFormatPr defaultColWidth="9.140625" defaultRowHeight="12"/>
  <cols>
    <col min="1" max="1" width="15.85546875" style="4" bestFit="1" customWidth="1"/>
    <col min="2" max="2" width="33.42578125" style="4" bestFit="1" customWidth="1"/>
    <col min="3" max="3" width="8.5703125" style="4" bestFit="1" customWidth="1"/>
    <col min="4" max="19" width="19.5703125" style="3" bestFit="1" customWidth="1"/>
    <col min="20" max="21" width="19.5703125" style="4" bestFit="1" customWidth="1"/>
    <col min="22" max="23" width="12.42578125" style="4" bestFit="1" customWidth="1"/>
    <col min="24" max="39" width="15.85546875" style="4" bestFit="1" customWidth="1"/>
    <col min="40" max="40" width="12.28515625" style="4" bestFit="1" customWidth="1"/>
    <col min="41" max="41" width="15" style="4" bestFit="1" customWidth="1"/>
    <col min="42" max="57" width="15.85546875" style="4" bestFit="1" customWidth="1"/>
    <col min="58" max="58" width="8.42578125" style="4" bestFit="1" customWidth="1"/>
    <col min="59" max="60" width="8.28515625" style="4" bestFit="1" customWidth="1"/>
    <col min="61" max="16384" width="9.140625" style="4"/>
  </cols>
  <sheetData>
    <row r="1" spans="1:60"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U1" s="3">
        <v>21</v>
      </c>
    </row>
    <row r="2" spans="1:60">
      <c r="D2" s="3" t="s">
        <v>109</v>
      </c>
      <c r="E2" s="3" t="s">
        <v>107</v>
      </c>
      <c r="F2" s="3" t="s">
        <v>103</v>
      </c>
      <c r="G2" s="3" t="s">
        <v>101</v>
      </c>
      <c r="H2" s="3" t="s">
        <v>27</v>
      </c>
      <c r="I2" s="3" t="s">
        <v>14</v>
      </c>
      <c r="J2" s="3" t="s">
        <v>111</v>
      </c>
      <c r="K2" s="3" t="s">
        <v>113</v>
      </c>
      <c r="L2" s="3" t="s">
        <v>99</v>
      </c>
      <c r="M2" s="3" t="s">
        <v>95</v>
      </c>
      <c r="N2" s="3" t="s">
        <v>105</v>
      </c>
      <c r="O2" s="3" t="s">
        <v>87</v>
      </c>
      <c r="P2" s="3" t="s">
        <v>97</v>
      </c>
      <c r="Q2" s="3" t="s">
        <v>153</v>
      </c>
      <c r="R2" s="3" t="s">
        <v>175</v>
      </c>
      <c r="S2" s="3" t="s">
        <v>716</v>
      </c>
      <c r="T2" s="4" t="s">
        <v>186</v>
      </c>
      <c r="U2" s="4" t="s">
        <v>961</v>
      </c>
    </row>
    <row r="3" spans="1:60" ht="15">
      <c r="A3" s="9" t="s">
        <v>119</v>
      </c>
      <c r="D3" s="2" t="s">
        <v>1</v>
      </c>
      <c r="T3" s="3"/>
      <c r="U3" s="3"/>
      <c r="V3" s="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0" s="17" customFormat="1" ht="15">
      <c r="A4" s="44" t="s">
        <v>2</v>
      </c>
      <c r="B4" s="44" t="s">
        <v>4</v>
      </c>
      <c r="C4" s="44" t="s">
        <v>5</v>
      </c>
      <c r="D4" s="24" t="s">
        <v>109</v>
      </c>
      <c r="E4" s="24" t="s">
        <v>107</v>
      </c>
      <c r="F4" s="24" t="s">
        <v>103</v>
      </c>
      <c r="G4" s="24" t="s">
        <v>101</v>
      </c>
      <c r="H4" s="24" t="s">
        <v>27</v>
      </c>
      <c r="I4" s="24" t="s">
        <v>14</v>
      </c>
      <c r="J4" s="24" t="s">
        <v>111</v>
      </c>
      <c r="K4" s="24" t="s">
        <v>113</v>
      </c>
      <c r="L4" s="24" t="s">
        <v>99</v>
      </c>
      <c r="M4" s="24" t="s">
        <v>95</v>
      </c>
      <c r="N4" s="24" t="s">
        <v>105</v>
      </c>
      <c r="O4" s="24" t="s">
        <v>87</v>
      </c>
      <c r="P4" s="24" t="s">
        <v>97</v>
      </c>
      <c r="Q4" s="24" t="s">
        <v>153</v>
      </c>
      <c r="R4" s="45" t="s">
        <v>175</v>
      </c>
      <c r="S4" s="45" t="s">
        <v>716</v>
      </c>
      <c r="T4" s="24" t="s">
        <v>186</v>
      </c>
      <c r="U4" s="24" t="s">
        <v>961</v>
      </c>
      <c r="V4" s="24" t="s">
        <v>118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 ht="15">
      <c r="A5" s="4" t="s">
        <v>51</v>
      </c>
      <c r="B5" s="4" t="s">
        <v>903</v>
      </c>
      <c r="C5" s="4" t="s">
        <v>17</v>
      </c>
      <c r="D5" s="8">
        <v>13663.200000000012</v>
      </c>
      <c r="E5" s="8">
        <v>-15716.04</v>
      </c>
      <c r="F5" s="8"/>
      <c r="G5" s="8">
        <v>-14290.919999999998</v>
      </c>
      <c r="H5" s="8">
        <v>2520.4800000000032</v>
      </c>
      <c r="I5" s="8">
        <v>5266.08</v>
      </c>
      <c r="J5" s="8">
        <v>11456.040000000008</v>
      </c>
      <c r="K5" s="8">
        <v>14091.96</v>
      </c>
      <c r="L5" s="8">
        <v>0</v>
      </c>
      <c r="M5" s="8">
        <v>-17594.64</v>
      </c>
      <c r="N5" s="8">
        <v>-893.39999999999418</v>
      </c>
      <c r="O5" s="8">
        <v>-8828.7600000000093</v>
      </c>
      <c r="P5" s="8">
        <v>-6212.0400000000009</v>
      </c>
      <c r="Q5" s="8">
        <v>-3748.7999999999993</v>
      </c>
      <c r="R5" s="8">
        <v>-70.559999999997672</v>
      </c>
      <c r="S5" s="8">
        <v>-10200.959999999999</v>
      </c>
      <c r="T5" s="8">
        <v>0</v>
      </c>
      <c r="U5" s="8">
        <v>-1256.0400000000009</v>
      </c>
      <c r="V5" s="8">
        <v>-31814.399999999976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 ht="15">
      <c r="A6" s="4" t="s">
        <v>53</v>
      </c>
      <c r="B6" s="4" t="s">
        <v>54</v>
      </c>
      <c r="C6" s="4" t="s">
        <v>17</v>
      </c>
      <c r="D6" s="8">
        <v>-3527.16</v>
      </c>
      <c r="E6" s="8">
        <v>-59.159999999999854</v>
      </c>
      <c r="F6" s="8"/>
      <c r="G6" s="8">
        <v>-1478.04</v>
      </c>
      <c r="H6" s="8">
        <v>-4774.4400000000005</v>
      </c>
      <c r="I6" s="8"/>
      <c r="J6" s="8">
        <v>-6913.5600000000013</v>
      </c>
      <c r="K6" s="8">
        <v>-2064</v>
      </c>
      <c r="L6" s="8">
        <v>-1255.5600000000004</v>
      </c>
      <c r="M6" s="8">
        <v>-1552.8</v>
      </c>
      <c r="N6" s="8">
        <v>-6022.08</v>
      </c>
      <c r="O6" s="8">
        <v>-7806.119999999999</v>
      </c>
      <c r="P6" s="8">
        <v>-1044</v>
      </c>
      <c r="Q6" s="8">
        <v>-4351.2</v>
      </c>
      <c r="R6" s="8">
        <v>-789.3599999999999</v>
      </c>
      <c r="S6" s="8">
        <v>-1468.3200000000002</v>
      </c>
      <c r="T6" s="8"/>
      <c r="U6" s="8">
        <v>-1616.04</v>
      </c>
      <c r="V6" s="8">
        <v>-44721.84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0" ht="15">
      <c r="A7" s="4" t="s">
        <v>15</v>
      </c>
      <c r="B7" s="4" t="s">
        <v>16</v>
      </c>
      <c r="C7" s="4" t="s">
        <v>17</v>
      </c>
      <c r="D7" s="8">
        <v>-1051.3199999999997</v>
      </c>
      <c r="E7" s="8">
        <v>-704.52</v>
      </c>
      <c r="F7" s="8"/>
      <c r="G7" s="8">
        <v>-253.32000000000005</v>
      </c>
      <c r="H7" s="8">
        <v>-392.64000000000033</v>
      </c>
      <c r="I7" s="8">
        <v>550.20000000000005</v>
      </c>
      <c r="J7" s="8">
        <v>-918.11999999999989</v>
      </c>
      <c r="K7" s="8">
        <v>-2876.04</v>
      </c>
      <c r="L7" s="8">
        <v>-3005.76</v>
      </c>
      <c r="M7" s="8">
        <v>-1317.12</v>
      </c>
      <c r="N7" s="8">
        <v>-711.36000000000013</v>
      </c>
      <c r="O7" s="8">
        <v>-4966.7999999999993</v>
      </c>
      <c r="P7" s="8">
        <v>-840</v>
      </c>
      <c r="Q7" s="8">
        <v>-1965</v>
      </c>
      <c r="R7" s="8">
        <v>-5.0399999999999636</v>
      </c>
      <c r="S7" s="8">
        <v>-1351.92</v>
      </c>
      <c r="T7" s="8"/>
      <c r="U7" s="8">
        <v>-816</v>
      </c>
      <c r="V7" s="8">
        <v>-20624.760000000002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 ht="15">
      <c r="A8" s="4" t="s">
        <v>55</v>
      </c>
      <c r="B8" s="4" t="s">
        <v>56</v>
      </c>
      <c r="C8" s="4" t="s">
        <v>17</v>
      </c>
      <c r="D8" s="8">
        <v>-32178.959999999999</v>
      </c>
      <c r="E8" s="14">
        <v>-5392.7999999999993</v>
      </c>
      <c r="F8" s="8"/>
      <c r="G8" s="8">
        <v>-1263.96</v>
      </c>
      <c r="H8" s="8">
        <v>-8620.68</v>
      </c>
      <c r="I8" s="8">
        <v>54.3599999999999</v>
      </c>
      <c r="J8" s="8">
        <v>-2409.9599999999991</v>
      </c>
      <c r="K8" s="8">
        <v>-4368</v>
      </c>
      <c r="L8" s="8">
        <v>-1063.7999999999993</v>
      </c>
      <c r="M8" s="8">
        <v>-2501.16</v>
      </c>
      <c r="N8" s="8">
        <v>-110868</v>
      </c>
      <c r="O8" s="8">
        <v>-16238.279999999999</v>
      </c>
      <c r="P8" s="8">
        <v>-3132</v>
      </c>
      <c r="Q8" s="8">
        <v>-2682.12</v>
      </c>
      <c r="R8" s="8">
        <v>-210.72000000000003</v>
      </c>
      <c r="S8" s="8">
        <v>-3088.92</v>
      </c>
      <c r="T8" s="8"/>
      <c r="U8" s="8">
        <v>-11096.039999999994</v>
      </c>
      <c r="V8" s="8">
        <v>-205061.03999999998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 ht="15">
      <c r="A9" s="4" t="s">
        <v>57</v>
      </c>
      <c r="B9" s="4" t="s">
        <v>58</v>
      </c>
      <c r="C9" s="4" t="s">
        <v>17</v>
      </c>
      <c r="D9" s="8">
        <v>82.559999999999945</v>
      </c>
      <c r="E9" s="8">
        <v>-65.759999999999991</v>
      </c>
      <c r="F9" s="8"/>
      <c r="G9" s="8">
        <v>1125.1199999999999</v>
      </c>
      <c r="H9" s="8">
        <v>-467.28</v>
      </c>
      <c r="I9" s="8">
        <v>-3624</v>
      </c>
      <c r="J9" s="8">
        <v>-28.560000000000002</v>
      </c>
      <c r="K9" s="8">
        <v>-2784</v>
      </c>
      <c r="L9" s="8">
        <v>-480</v>
      </c>
      <c r="M9" s="8"/>
      <c r="N9" s="8">
        <v>-15036</v>
      </c>
      <c r="O9" s="8">
        <v>-76.920000000000016</v>
      </c>
      <c r="P9" s="8">
        <v>-24</v>
      </c>
      <c r="Q9" s="8">
        <v>-1.4399999999999977</v>
      </c>
      <c r="R9" s="8"/>
      <c r="S9" s="8"/>
      <c r="T9" s="8"/>
      <c r="U9" s="8"/>
      <c r="V9" s="8">
        <v>-21380.279999999995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60" ht="15">
      <c r="A10" s="4" t="s">
        <v>59</v>
      </c>
      <c r="B10" s="4" t="s">
        <v>60</v>
      </c>
      <c r="C10" s="4" t="s">
        <v>17</v>
      </c>
      <c r="D10" s="8">
        <v>-1794.6000000000004</v>
      </c>
      <c r="E10" s="8">
        <v>-52.5600000000004</v>
      </c>
      <c r="F10" s="8"/>
      <c r="G10" s="8">
        <v>-433.68000000000006</v>
      </c>
      <c r="H10" s="8">
        <v>-6892.68</v>
      </c>
      <c r="I10" s="8"/>
      <c r="J10" s="8">
        <v>-3683.28</v>
      </c>
      <c r="K10" s="8">
        <v>-7804.0800000000017</v>
      </c>
      <c r="L10" s="8">
        <v>-96.239999999999782</v>
      </c>
      <c r="M10" s="8">
        <v>-5761.2</v>
      </c>
      <c r="N10" s="8">
        <v>-1644</v>
      </c>
      <c r="O10" s="8">
        <v>-5334.2400000000016</v>
      </c>
      <c r="P10" s="8">
        <v>-984</v>
      </c>
      <c r="Q10" s="8">
        <v>-7108.68</v>
      </c>
      <c r="R10" s="8">
        <v>-504</v>
      </c>
      <c r="S10" s="8">
        <v>-4181.28</v>
      </c>
      <c r="T10" s="8"/>
      <c r="U10" s="8">
        <v>-1448.04</v>
      </c>
      <c r="V10" s="8">
        <v>-47722.560000000005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 ht="15">
      <c r="A11" s="4" t="s">
        <v>19</v>
      </c>
      <c r="B11" s="4" t="s">
        <v>20</v>
      </c>
      <c r="C11" s="4" t="s">
        <v>17</v>
      </c>
      <c r="D11" s="8">
        <v>-32952</v>
      </c>
      <c r="E11" s="8">
        <v>-15032.64</v>
      </c>
      <c r="F11" s="8"/>
      <c r="G11" s="8">
        <v>-2489.64</v>
      </c>
      <c r="H11" s="8">
        <v>-17929.559999999998</v>
      </c>
      <c r="I11" s="8">
        <v>5526.96</v>
      </c>
      <c r="J11" s="8">
        <v>-21795</v>
      </c>
      <c r="K11" s="8">
        <v>-19074.239999999998</v>
      </c>
      <c r="L11" s="8">
        <v>-15092.400000000001</v>
      </c>
      <c r="M11" s="8">
        <v>-30022.800000000003</v>
      </c>
      <c r="N11" s="8">
        <v>-73307.16</v>
      </c>
      <c r="O11" s="8">
        <v>-26913</v>
      </c>
      <c r="P11" s="8">
        <v>-19792.080000000002</v>
      </c>
      <c r="Q11" s="8">
        <v>-14590.68</v>
      </c>
      <c r="R11" s="8">
        <v>-2316.2399999999998</v>
      </c>
      <c r="S11" s="8">
        <v>-11014.8</v>
      </c>
      <c r="T11" s="8"/>
      <c r="U11" s="8">
        <v>-33936</v>
      </c>
      <c r="V11" s="8">
        <v>-330731.27999999997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 ht="15">
      <c r="A12" s="4" t="s">
        <v>61</v>
      </c>
      <c r="B12" s="4" t="s">
        <v>62</v>
      </c>
      <c r="C12" s="4" t="s">
        <v>17</v>
      </c>
      <c r="D12" s="8">
        <v>-15342.119999999999</v>
      </c>
      <c r="E12" s="8">
        <v>-7022.76</v>
      </c>
      <c r="F12" s="8"/>
      <c r="G12" s="8">
        <v>-2338.3200000000002</v>
      </c>
      <c r="H12" s="8">
        <v>-5992.4400000000005</v>
      </c>
      <c r="I12" s="8">
        <v>-2172</v>
      </c>
      <c r="J12" s="8">
        <v>-5372.76</v>
      </c>
      <c r="K12" s="8">
        <v>-648</v>
      </c>
      <c r="L12" s="8">
        <v>-5307.48</v>
      </c>
      <c r="M12" s="8">
        <v>-5410.32</v>
      </c>
      <c r="N12" s="8">
        <v>-13201.439999999999</v>
      </c>
      <c r="O12" s="8">
        <v>-17130.72</v>
      </c>
      <c r="P12" s="8">
        <v>-2964</v>
      </c>
      <c r="Q12" s="8">
        <v>-6760.4400000000005</v>
      </c>
      <c r="R12" s="8">
        <v>-5076</v>
      </c>
      <c r="S12" s="8">
        <v>-3725.76</v>
      </c>
      <c r="T12" s="8"/>
      <c r="U12" s="8">
        <v>-4216.0800000000017</v>
      </c>
      <c r="V12" s="8">
        <v>-102680.64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 ht="15">
      <c r="A13" s="4" t="s">
        <v>22</v>
      </c>
      <c r="B13" s="4" t="s">
        <v>23</v>
      </c>
      <c r="C13" s="4" t="s">
        <v>17</v>
      </c>
      <c r="D13" s="8">
        <v>-39369.360000000001</v>
      </c>
      <c r="E13" s="8">
        <v>-10682.879999999997</v>
      </c>
      <c r="F13" s="8"/>
      <c r="G13" s="8"/>
      <c r="H13" s="8">
        <v>-13057.8</v>
      </c>
      <c r="I13" s="8">
        <v>-16514.28</v>
      </c>
      <c r="J13" s="8">
        <v>-2426.6399999999994</v>
      </c>
      <c r="K13" s="8">
        <v>-102488.04000000001</v>
      </c>
      <c r="L13" s="8">
        <v>-60</v>
      </c>
      <c r="M13" s="8">
        <v>-7869.7199999999993</v>
      </c>
      <c r="N13" s="8">
        <v>-87224.04</v>
      </c>
      <c r="O13" s="8">
        <v>-34595.520000000004</v>
      </c>
      <c r="P13" s="8">
        <v>-4560</v>
      </c>
      <c r="Q13" s="8">
        <v>-9004.4399999999987</v>
      </c>
      <c r="R13" s="8"/>
      <c r="S13" s="8">
        <v>-21334.199999999997</v>
      </c>
      <c r="T13" s="8"/>
      <c r="U13" s="8">
        <v>-5156.0399999999936</v>
      </c>
      <c r="V13" s="8">
        <v>-354342.96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 ht="15">
      <c r="A14" s="4" t="s">
        <v>65</v>
      </c>
      <c r="B14" s="4" t="s">
        <v>66</v>
      </c>
      <c r="C14" s="4" t="s">
        <v>17</v>
      </c>
      <c r="D14" s="8">
        <v>-1569.2399999999998</v>
      </c>
      <c r="E14" s="8">
        <v>-1492.92</v>
      </c>
      <c r="F14" s="8"/>
      <c r="G14" s="8">
        <v>-32.039999999999964</v>
      </c>
      <c r="H14" s="8">
        <v>-2771.8799999999992</v>
      </c>
      <c r="I14" s="8">
        <v>-48</v>
      </c>
      <c r="J14" s="8">
        <v>-4395.24</v>
      </c>
      <c r="K14" s="8">
        <v>-836.76</v>
      </c>
      <c r="L14" s="8">
        <v>-1207.5600000000004</v>
      </c>
      <c r="M14" s="8">
        <v>-2633.6400000000003</v>
      </c>
      <c r="N14" s="8">
        <v>-6052.08</v>
      </c>
      <c r="O14" s="8">
        <v>-3025.4399999999996</v>
      </c>
      <c r="P14" s="8">
        <v>-3016.08</v>
      </c>
      <c r="Q14" s="8">
        <v>-5066.6400000000003</v>
      </c>
      <c r="R14" s="8">
        <v>-122.03999999999996</v>
      </c>
      <c r="S14" s="8">
        <v>-4476</v>
      </c>
      <c r="T14" s="8"/>
      <c r="U14" s="8">
        <v>-1232.04</v>
      </c>
      <c r="V14" s="8">
        <v>-37977.599999999999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 ht="15">
      <c r="A15" s="4" t="s">
        <v>67</v>
      </c>
      <c r="B15" s="4" t="s">
        <v>68</v>
      </c>
      <c r="C15" s="4" t="s">
        <v>17</v>
      </c>
      <c r="D15" s="8">
        <v>-635.88000000000011</v>
      </c>
      <c r="E15" s="8">
        <v>118.68000000000006</v>
      </c>
      <c r="F15" s="8"/>
      <c r="G15" s="8">
        <v>-907.92000000000007</v>
      </c>
      <c r="H15" s="8">
        <v>-0.11999999999989086</v>
      </c>
      <c r="I15" s="8">
        <v>-36</v>
      </c>
      <c r="J15" s="8">
        <v>-58.319999999999709</v>
      </c>
      <c r="K15" s="8">
        <v>-2904.24</v>
      </c>
      <c r="L15" s="8">
        <v>-1011.1200000000008</v>
      </c>
      <c r="M15" s="8">
        <v>-861.48</v>
      </c>
      <c r="N15" s="8">
        <v>-12846.48</v>
      </c>
      <c r="O15" s="8">
        <v>-2589.9599999999991</v>
      </c>
      <c r="P15" s="8">
        <v>-12</v>
      </c>
      <c r="Q15" s="8">
        <v>-417.48</v>
      </c>
      <c r="R15" s="8">
        <v>-18.7199999999998</v>
      </c>
      <c r="S15" s="8">
        <v>947.76000000000022</v>
      </c>
      <c r="T15" s="8"/>
      <c r="U15" s="8">
        <v>583.92000000000007</v>
      </c>
      <c r="V15" s="8">
        <v>-20649.36</v>
      </c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 ht="15">
      <c r="A16" s="4" t="s">
        <v>90</v>
      </c>
      <c r="B16" s="4" t="s">
        <v>91</v>
      </c>
      <c r="C16" s="4" t="s">
        <v>17</v>
      </c>
      <c r="D16" s="8"/>
      <c r="E16" s="8"/>
      <c r="F16" s="8"/>
      <c r="G16" s="8"/>
      <c r="H16" s="8"/>
      <c r="I16" s="8">
        <v>-220</v>
      </c>
      <c r="J16" s="8"/>
      <c r="K16" s="8">
        <v>-13254.8</v>
      </c>
      <c r="L16" s="8"/>
      <c r="M16" s="8"/>
      <c r="N16" s="8">
        <v>-39920</v>
      </c>
      <c r="O16" s="8">
        <v>-6180</v>
      </c>
      <c r="P16" s="8"/>
      <c r="Q16" s="8"/>
      <c r="R16" s="8"/>
      <c r="S16" s="8"/>
      <c r="T16" s="8"/>
      <c r="U16" s="8"/>
      <c r="V16" s="8">
        <v>-59574.8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ht="15">
      <c r="A17" s="4" t="s">
        <v>24</v>
      </c>
      <c r="B17" s="4" t="s">
        <v>25</v>
      </c>
      <c r="C17" s="4" t="s">
        <v>17</v>
      </c>
      <c r="D17" s="8">
        <v>-36207.72</v>
      </c>
      <c r="E17" s="8">
        <v>-5017.32</v>
      </c>
      <c r="F17" s="8"/>
      <c r="G17" s="8">
        <v>-6255.1200000000008</v>
      </c>
      <c r="H17" s="8">
        <v>-16716.120000000003</v>
      </c>
      <c r="I17" s="8">
        <v>1567.8</v>
      </c>
      <c r="J17" s="8">
        <v>-33542.759999999995</v>
      </c>
      <c r="K17" s="8">
        <v>-20900.04</v>
      </c>
      <c r="L17" s="8">
        <v>-27810.720000000001</v>
      </c>
      <c r="M17" s="8">
        <v>-40515.479999999996</v>
      </c>
      <c r="N17" s="8">
        <v>447.11999999999534</v>
      </c>
      <c r="O17" s="8">
        <v>-37991.64</v>
      </c>
      <c r="P17" s="8">
        <v>-15248.04</v>
      </c>
      <c r="Q17" s="8">
        <v>-33036.120000000003</v>
      </c>
      <c r="R17" s="8">
        <v>-8062.8000000000029</v>
      </c>
      <c r="S17" s="8">
        <v>-18895.559999999998</v>
      </c>
      <c r="T17" s="8"/>
      <c r="U17" s="8">
        <v>-3120</v>
      </c>
      <c r="V17" s="8">
        <v>-301304.52</v>
      </c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ht="15">
      <c r="A18" s="4" t="s">
        <v>78</v>
      </c>
      <c r="B18" s="4" t="s">
        <v>79</v>
      </c>
      <c r="C18" s="4" t="s">
        <v>17</v>
      </c>
      <c r="D18" s="8">
        <v>-561.12</v>
      </c>
      <c r="E18" s="8">
        <v>-616.55999999999995</v>
      </c>
      <c r="F18" s="8"/>
      <c r="G18" s="8">
        <v>-702.72</v>
      </c>
      <c r="H18" s="8">
        <v>-308.88000000000011</v>
      </c>
      <c r="I18" s="8">
        <v>-180</v>
      </c>
      <c r="J18" s="8">
        <v>-380.52</v>
      </c>
      <c r="K18" s="8">
        <v>-526.55999999999995</v>
      </c>
      <c r="L18" s="8">
        <v>-17.639999999999873</v>
      </c>
      <c r="M18" s="8">
        <v>-6860.88</v>
      </c>
      <c r="N18" s="8">
        <v>-396</v>
      </c>
      <c r="O18" s="8">
        <v>-2768.88</v>
      </c>
      <c r="P18" s="8">
        <v>-204</v>
      </c>
      <c r="Q18" s="8">
        <v>-187.68</v>
      </c>
      <c r="R18" s="8">
        <v>-3.3600000000000136</v>
      </c>
      <c r="S18" s="8">
        <v>-234.72000000000003</v>
      </c>
      <c r="T18" s="8"/>
      <c r="U18" s="8">
        <v>-1108.08</v>
      </c>
      <c r="V18" s="8">
        <v>-15057.599999999999</v>
      </c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ht="15">
      <c r="A19" s="4" t="s">
        <v>80</v>
      </c>
      <c r="B19" s="4" t="s">
        <v>81</v>
      </c>
      <c r="C19" s="4" t="s">
        <v>17</v>
      </c>
      <c r="D19" s="8">
        <v>-1211.52</v>
      </c>
      <c r="E19" s="8">
        <v>-3.1200000000000045</v>
      </c>
      <c r="F19" s="8"/>
      <c r="G19" s="8">
        <v>-1121.6399999999999</v>
      </c>
      <c r="H19" s="8">
        <v>-5127.96</v>
      </c>
      <c r="I19" s="8"/>
      <c r="J19" s="8">
        <v>-83.28</v>
      </c>
      <c r="K19" s="8">
        <v>-1219.2</v>
      </c>
      <c r="L19" s="8">
        <v>-1296.2399999999998</v>
      </c>
      <c r="M19" s="8">
        <v>-31861.68</v>
      </c>
      <c r="N19" s="8">
        <v>-8712</v>
      </c>
      <c r="O19" s="8">
        <v>-4912.7999999999993</v>
      </c>
      <c r="P19" s="8">
        <v>-5424</v>
      </c>
      <c r="Q19" s="8">
        <v>-5763.96</v>
      </c>
      <c r="R19" s="8">
        <v>-958.44</v>
      </c>
      <c r="S19" s="8">
        <v>-2513.64</v>
      </c>
      <c r="T19" s="8"/>
      <c r="U19" s="8">
        <v>-3932.04</v>
      </c>
      <c r="V19" s="8">
        <v>-74141.52</v>
      </c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ht="15">
      <c r="A20" s="4" t="s">
        <v>84</v>
      </c>
      <c r="B20" s="4" t="s">
        <v>1222</v>
      </c>
      <c r="C20" s="4" t="s">
        <v>17</v>
      </c>
      <c r="D20" s="8">
        <v>-3245.4</v>
      </c>
      <c r="E20" s="8">
        <v>-120</v>
      </c>
      <c r="F20" s="8"/>
      <c r="G20" s="8">
        <v>-219.36</v>
      </c>
      <c r="H20" s="8">
        <v>-93.3599999999999</v>
      </c>
      <c r="I20" s="8"/>
      <c r="J20" s="8">
        <v>1.4399999999999977</v>
      </c>
      <c r="K20" s="8">
        <v>-255.60000000000002</v>
      </c>
      <c r="L20" s="8">
        <v>-86.039999999999964</v>
      </c>
      <c r="M20" s="8">
        <v>-203.04</v>
      </c>
      <c r="N20" s="8">
        <v>-2864.04</v>
      </c>
      <c r="O20" s="8">
        <v>-3700.92</v>
      </c>
      <c r="P20" s="8">
        <v>-368.03999999999996</v>
      </c>
      <c r="Q20" s="8">
        <v>-381</v>
      </c>
      <c r="R20" s="8">
        <v>-835.08</v>
      </c>
      <c r="S20" s="8">
        <v>-328.32000000000016</v>
      </c>
      <c r="T20" s="8"/>
      <c r="U20" s="8">
        <v>-40.079999999999927</v>
      </c>
      <c r="V20" s="8">
        <v>-12738.84</v>
      </c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ht="15">
      <c r="A21" s="4" t="s">
        <v>69</v>
      </c>
      <c r="B21" s="4" t="s">
        <v>70</v>
      </c>
      <c r="C21" s="4" t="s">
        <v>17</v>
      </c>
      <c r="D21" s="8">
        <v>-4152.4799999999996</v>
      </c>
      <c r="E21" s="8">
        <v>-1410.4799999999996</v>
      </c>
      <c r="F21" s="8"/>
      <c r="G21" s="8">
        <v>-9168</v>
      </c>
      <c r="H21" s="8">
        <v>891.59999999999854</v>
      </c>
      <c r="I21" s="8"/>
      <c r="J21" s="8">
        <v>-719.52</v>
      </c>
      <c r="K21" s="8">
        <v>-27092.04</v>
      </c>
      <c r="L21" s="8">
        <v>-1681.6800000000003</v>
      </c>
      <c r="M21" s="8">
        <v>-4450.08</v>
      </c>
      <c r="N21" s="8">
        <v>-4129.5599999999995</v>
      </c>
      <c r="O21" s="8">
        <v>-20747.160000000003</v>
      </c>
      <c r="P21" s="8">
        <v>4515.9599999999991</v>
      </c>
      <c r="Q21" s="8">
        <v>-6007.32</v>
      </c>
      <c r="R21" s="8">
        <v>-6466.7999999999993</v>
      </c>
      <c r="S21" s="8"/>
      <c r="T21" s="8"/>
      <c r="U21" s="8">
        <v>-324</v>
      </c>
      <c r="V21" s="8">
        <v>-80941.560000000012</v>
      </c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ht="15">
      <c r="A22" s="4" t="s">
        <v>74</v>
      </c>
      <c r="B22" s="4" t="s">
        <v>75</v>
      </c>
      <c r="C22" s="4" t="s">
        <v>17</v>
      </c>
      <c r="D22" s="8">
        <v>-15547.2</v>
      </c>
      <c r="E22" s="8">
        <v>-410.28</v>
      </c>
      <c r="F22" s="8"/>
      <c r="G22" s="8"/>
      <c r="H22" s="8">
        <v>-1693.1999999999998</v>
      </c>
      <c r="I22" s="8">
        <v>-36</v>
      </c>
      <c r="J22" s="8">
        <v>-114.72</v>
      </c>
      <c r="K22" s="8">
        <v>-58.68</v>
      </c>
      <c r="L22" s="8">
        <v>-799.08</v>
      </c>
      <c r="M22" s="8">
        <v>-480</v>
      </c>
      <c r="N22" s="8">
        <v>-12396</v>
      </c>
      <c r="O22" s="8">
        <v>-2119.9199999999983</v>
      </c>
      <c r="P22" s="8">
        <v>-720</v>
      </c>
      <c r="Q22" s="8">
        <v>-3012.12</v>
      </c>
      <c r="R22" s="8"/>
      <c r="S22" s="8">
        <v>-252</v>
      </c>
      <c r="T22" s="8"/>
      <c r="U22" s="8">
        <v>-1296</v>
      </c>
      <c r="V22" s="8">
        <v>-38935.200000000004</v>
      </c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ht="15">
      <c r="A23" s="4" t="s">
        <v>146</v>
      </c>
      <c r="B23" s="4" t="s">
        <v>902</v>
      </c>
      <c r="C23" s="4" t="s">
        <v>17</v>
      </c>
      <c r="D23" s="8">
        <v>-8836.68</v>
      </c>
      <c r="E23" s="8">
        <v>-2930.16</v>
      </c>
      <c r="F23" s="8"/>
      <c r="G23" s="8">
        <v>-2880</v>
      </c>
      <c r="H23" s="8">
        <v>-8613.84</v>
      </c>
      <c r="I23" s="8">
        <v>-144</v>
      </c>
      <c r="J23" s="8">
        <v>-5665.7999999999993</v>
      </c>
      <c r="K23" s="8">
        <v>-10931.76</v>
      </c>
      <c r="L23" s="8">
        <v>-104.15999999999985</v>
      </c>
      <c r="M23" s="8">
        <v>-3733.44</v>
      </c>
      <c r="N23" s="8">
        <v>-21936</v>
      </c>
      <c r="O23" s="8">
        <v>-15683.04</v>
      </c>
      <c r="P23" s="8"/>
      <c r="Q23" s="8"/>
      <c r="R23" s="8">
        <v>-1315.5600000000004</v>
      </c>
      <c r="S23" s="8">
        <v>-2133.96</v>
      </c>
      <c r="T23" s="8"/>
      <c r="U23" s="8">
        <v>-1040.04</v>
      </c>
      <c r="V23" s="8">
        <v>-85948.44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ht="15">
      <c r="A24" s="4" t="s">
        <v>180</v>
      </c>
      <c r="B24" s="4" t="s">
        <v>181</v>
      </c>
      <c r="C24" s="4" t="s">
        <v>17</v>
      </c>
      <c r="D24" s="8">
        <v>-3.2399999999999949</v>
      </c>
      <c r="E24" s="8">
        <v>-783.96</v>
      </c>
      <c r="F24" s="8"/>
      <c r="G24" s="8"/>
      <c r="H24" s="8">
        <v>-1606.56</v>
      </c>
      <c r="I24" s="8">
        <v>-108</v>
      </c>
      <c r="J24" s="8">
        <v>-59.4</v>
      </c>
      <c r="K24" s="8">
        <v>-579.24</v>
      </c>
      <c r="L24" s="8">
        <v>-5397.36</v>
      </c>
      <c r="M24" s="8"/>
      <c r="N24" s="8">
        <v>-51420</v>
      </c>
      <c r="O24" s="8">
        <v>-1690.6799999999998</v>
      </c>
      <c r="P24" s="8"/>
      <c r="Q24" s="8"/>
      <c r="R24" s="8">
        <v>-2553.4799999999996</v>
      </c>
      <c r="S24" s="8">
        <v>-2285.7600000000002</v>
      </c>
      <c r="T24" s="8"/>
      <c r="U24" s="8">
        <v>-3512.0400000000009</v>
      </c>
      <c r="V24" s="8">
        <v>-69999.72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ht="15">
      <c r="A25" s="4" t="s">
        <v>189</v>
      </c>
      <c r="B25" s="4" t="s">
        <v>190</v>
      </c>
      <c r="C25" s="4" t="s">
        <v>17</v>
      </c>
      <c r="D25" s="8">
        <v>-18.840000000000146</v>
      </c>
      <c r="E25" s="8">
        <v>-192.24</v>
      </c>
      <c r="F25" s="8"/>
      <c r="G25" s="8">
        <v>-3.3600000000000136</v>
      </c>
      <c r="H25" s="8">
        <v>-42.720000000000027</v>
      </c>
      <c r="I25" s="8">
        <v>-144</v>
      </c>
      <c r="J25" s="8">
        <v>-299.76</v>
      </c>
      <c r="K25" s="8">
        <v>368.76000000000022</v>
      </c>
      <c r="L25" s="8">
        <v>108.60000000000002</v>
      </c>
      <c r="M25" s="8">
        <v>-106.32</v>
      </c>
      <c r="N25" s="8">
        <v>24</v>
      </c>
      <c r="O25" s="8">
        <v>-713.63999999999987</v>
      </c>
      <c r="P25" s="8">
        <v>-84</v>
      </c>
      <c r="Q25" s="8">
        <v>-114.72000000000003</v>
      </c>
      <c r="R25" s="8">
        <v>-568.67999999999995</v>
      </c>
      <c r="S25" s="8">
        <v>162.36000000000013</v>
      </c>
      <c r="T25" s="8"/>
      <c r="U25" s="8">
        <v>223.92000000000007</v>
      </c>
      <c r="V25" s="8">
        <v>-1400.6399999999994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ht="15">
      <c r="A26" s="4" t="s">
        <v>194</v>
      </c>
      <c r="B26" s="4" t="s">
        <v>195</v>
      </c>
      <c r="C26" s="4" t="s">
        <v>17</v>
      </c>
      <c r="D26" s="8">
        <v>-1370.0400000000009</v>
      </c>
      <c r="E26" s="8">
        <v>-18.600000000000364</v>
      </c>
      <c r="F26" s="8"/>
      <c r="G26" s="8">
        <v>-3153.96</v>
      </c>
      <c r="H26" s="8">
        <v>4.0799999999999272</v>
      </c>
      <c r="I26" s="8"/>
      <c r="J26" s="8">
        <v>3074.5200000000004</v>
      </c>
      <c r="K26" s="8">
        <v>-4736.0400000000009</v>
      </c>
      <c r="L26" s="8">
        <v>-364.92000000000007</v>
      </c>
      <c r="M26" s="8">
        <v>-33036</v>
      </c>
      <c r="N26" s="8">
        <v>2106</v>
      </c>
      <c r="O26" s="8">
        <v>-96</v>
      </c>
      <c r="P26" s="8"/>
      <c r="Q26" s="8">
        <v>-2359.92</v>
      </c>
      <c r="R26" s="8">
        <v>-178.44000000000005</v>
      </c>
      <c r="S26" s="8">
        <v>424.91999999999996</v>
      </c>
      <c r="T26" s="8"/>
      <c r="U26" s="8">
        <v>-192</v>
      </c>
      <c r="V26" s="8">
        <v>-39896.400000000001</v>
      </c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ht="15">
      <c r="A27" s="4" t="s">
        <v>28</v>
      </c>
      <c r="B27" s="4" t="s">
        <v>29</v>
      </c>
      <c r="C27" s="4" t="s">
        <v>30</v>
      </c>
      <c r="D27" s="8">
        <v>700.55999999999767</v>
      </c>
      <c r="E27" s="8">
        <v>-10335.36</v>
      </c>
      <c r="F27" s="8"/>
      <c r="G27" s="8">
        <v>256.4399999999996</v>
      </c>
      <c r="H27" s="8">
        <v>2769.4800000000032</v>
      </c>
      <c r="I27" s="8"/>
      <c r="J27" s="8">
        <v>6219</v>
      </c>
      <c r="K27" s="8">
        <v>-4.0799999999999272</v>
      </c>
      <c r="L27" s="8">
        <v>-5765.16</v>
      </c>
      <c r="M27" s="8">
        <v>-6857.76</v>
      </c>
      <c r="N27" s="8">
        <v>3063.9599999999991</v>
      </c>
      <c r="O27" s="8">
        <v>419.27999999999884</v>
      </c>
      <c r="P27" s="8">
        <v>-4580.0400000000009</v>
      </c>
      <c r="Q27" s="8">
        <v>-7164.3600000000006</v>
      </c>
      <c r="R27" s="8">
        <v>-9132</v>
      </c>
      <c r="S27" s="8">
        <v>9097.68</v>
      </c>
      <c r="T27" s="8"/>
      <c r="U27" s="8">
        <v>-9520.0800000000017</v>
      </c>
      <c r="V27" s="8">
        <v>-30832.440000000006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ht="15">
      <c r="A28" s="4" t="s">
        <v>167</v>
      </c>
      <c r="B28" s="4" t="s">
        <v>168</v>
      </c>
      <c r="C28" s="4" t="s">
        <v>169</v>
      </c>
      <c r="D28" s="8">
        <v>-2304.6000000000004</v>
      </c>
      <c r="E28" s="8">
        <v>-1239.8400000000001</v>
      </c>
      <c r="F28" s="8"/>
      <c r="G28" s="8">
        <v>154.32</v>
      </c>
      <c r="H28" s="8">
        <v>448.32</v>
      </c>
      <c r="I28" s="8"/>
      <c r="J28" s="8">
        <v>-2629.4399999999996</v>
      </c>
      <c r="K28" s="8">
        <v>4299.9599999999991</v>
      </c>
      <c r="L28" s="8">
        <v>-67.440000000000055</v>
      </c>
      <c r="M28" s="8">
        <v>1202.6400000000001</v>
      </c>
      <c r="N28" s="8">
        <v>1423.92</v>
      </c>
      <c r="O28" s="8">
        <v>-3261.96</v>
      </c>
      <c r="P28" s="8">
        <v>282</v>
      </c>
      <c r="Q28" s="8">
        <v>-407.6400000000001</v>
      </c>
      <c r="R28" s="8">
        <v>-1000.9200000000001</v>
      </c>
      <c r="S28" s="8">
        <v>153.96000000000004</v>
      </c>
      <c r="T28" s="8"/>
      <c r="U28" s="8">
        <v>243.92000000000007</v>
      </c>
      <c r="V28" s="8">
        <v>-2702.8000000000006</v>
      </c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ht="15">
      <c r="A29" s="4" t="s">
        <v>34</v>
      </c>
      <c r="B29" s="4" t="s">
        <v>35</v>
      </c>
      <c r="C29" s="4" t="s">
        <v>36</v>
      </c>
      <c r="D29" s="8">
        <v>-294.20999999999998</v>
      </c>
      <c r="E29" s="8">
        <v>-12.420000000000002</v>
      </c>
      <c r="F29" s="8"/>
      <c r="G29" s="8">
        <v>-86.039999999999992</v>
      </c>
      <c r="H29" s="8">
        <v>-22.32</v>
      </c>
      <c r="I29" s="8"/>
      <c r="J29" s="8">
        <v>-101.07</v>
      </c>
      <c r="K29" s="8">
        <v>-162.63</v>
      </c>
      <c r="L29" s="8">
        <v>-774</v>
      </c>
      <c r="M29" s="8">
        <v>-1191.42</v>
      </c>
      <c r="N29" s="8">
        <v>-189</v>
      </c>
      <c r="O29" s="8">
        <v>-5.5799999999999841</v>
      </c>
      <c r="P29" s="8">
        <v>-45</v>
      </c>
      <c r="Q29" s="8">
        <v>-200.52</v>
      </c>
      <c r="R29" s="8">
        <v>-329.58</v>
      </c>
      <c r="S29" s="8">
        <v>-358.02</v>
      </c>
      <c r="T29" s="8"/>
      <c r="U29" s="8">
        <v>-387</v>
      </c>
      <c r="V29" s="8">
        <v>-4158.8099999999995</v>
      </c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ht="15">
      <c r="A30" s="4" t="s">
        <v>37</v>
      </c>
      <c r="B30" s="4" t="s">
        <v>38</v>
      </c>
      <c r="C30" s="4" t="s">
        <v>36</v>
      </c>
      <c r="D30" s="8">
        <v>-4794.6000000000004</v>
      </c>
      <c r="E30" s="8">
        <v>-65.199999999999818</v>
      </c>
      <c r="F30" s="8"/>
      <c r="G30" s="8">
        <v>78.100000000000023</v>
      </c>
      <c r="H30" s="8">
        <v>-6118.4</v>
      </c>
      <c r="I30" s="8"/>
      <c r="J30" s="8">
        <v>-6094</v>
      </c>
      <c r="K30" s="8">
        <v>-1891.5</v>
      </c>
      <c r="L30" s="8">
        <v>-1202.1999999999998</v>
      </c>
      <c r="M30" s="8">
        <v>-16635.099999999999</v>
      </c>
      <c r="N30" s="8">
        <v>-3950</v>
      </c>
      <c r="O30" s="8">
        <v>244.89999999999964</v>
      </c>
      <c r="P30" s="8">
        <v>-900</v>
      </c>
      <c r="Q30" s="8">
        <v>-1567.3000000000002</v>
      </c>
      <c r="R30" s="8">
        <v>-1990</v>
      </c>
      <c r="S30" s="8">
        <v>-2040</v>
      </c>
      <c r="T30" s="8"/>
      <c r="U30" s="8">
        <v>-2460</v>
      </c>
      <c r="V30" s="8">
        <v>-49385.299999999996</v>
      </c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ht="15">
      <c r="A31" s="4" t="s">
        <v>41</v>
      </c>
      <c r="B31" s="4" t="s">
        <v>42</v>
      </c>
      <c r="C31" s="4" t="s">
        <v>36</v>
      </c>
      <c r="D31" s="8">
        <v>-1253.8</v>
      </c>
      <c r="E31" s="8">
        <v>2.8000000000000114</v>
      </c>
      <c r="F31" s="8"/>
      <c r="G31" s="8">
        <v>-311.8</v>
      </c>
      <c r="H31" s="8">
        <v>-175.39999999999998</v>
      </c>
      <c r="I31" s="8"/>
      <c r="J31" s="8">
        <v>-891.1</v>
      </c>
      <c r="K31" s="8">
        <v>-88</v>
      </c>
      <c r="L31" s="8">
        <v>-610.70000000000005</v>
      </c>
      <c r="M31" s="8">
        <v>-13020.4</v>
      </c>
      <c r="N31" s="8">
        <v>-240</v>
      </c>
      <c r="O31" s="8">
        <v>1200.8000000000002</v>
      </c>
      <c r="P31" s="8">
        <v>80</v>
      </c>
      <c r="Q31" s="8">
        <v>-203.20000000000005</v>
      </c>
      <c r="R31" s="8">
        <v>-288.59999999999991</v>
      </c>
      <c r="S31" s="8">
        <v>-1030</v>
      </c>
      <c r="T31" s="8"/>
      <c r="U31" s="8">
        <v>-1510</v>
      </c>
      <c r="V31" s="8">
        <v>-18339.400000000001</v>
      </c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ht="15">
      <c r="A32" s="4" t="s">
        <v>43</v>
      </c>
      <c r="B32" s="4" t="s">
        <v>44</v>
      </c>
      <c r="C32" s="4" t="s">
        <v>36</v>
      </c>
      <c r="D32" s="8">
        <v>-237.42</v>
      </c>
      <c r="E32" s="8">
        <v>-4.2300000000000004</v>
      </c>
      <c r="F32" s="8"/>
      <c r="G32" s="8">
        <v>0</v>
      </c>
      <c r="H32" s="8">
        <v>-4.4099999999999966</v>
      </c>
      <c r="I32" s="8"/>
      <c r="J32" s="8">
        <v>-53.55</v>
      </c>
      <c r="K32" s="8">
        <v>-13.14</v>
      </c>
      <c r="L32" s="8">
        <v>131.31</v>
      </c>
      <c r="M32" s="8">
        <v>-1268.19</v>
      </c>
      <c r="N32" s="8">
        <v>-27</v>
      </c>
      <c r="O32" s="8">
        <v>3.1499999999999773</v>
      </c>
      <c r="P32" s="8">
        <v>-63</v>
      </c>
      <c r="Q32" s="8">
        <v>-242.19</v>
      </c>
      <c r="R32" s="8">
        <v>-236.97</v>
      </c>
      <c r="S32" s="8">
        <v>-390.06</v>
      </c>
      <c r="T32" s="8"/>
      <c r="U32" s="8">
        <v>-234</v>
      </c>
      <c r="V32" s="8">
        <v>-2639.7000000000003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ht="15">
      <c r="A33" s="4" t="s">
        <v>45</v>
      </c>
      <c r="B33" s="4" t="s">
        <v>46</v>
      </c>
      <c r="C33" s="4" t="s">
        <v>36</v>
      </c>
      <c r="D33" s="8">
        <v>-101.97</v>
      </c>
      <c r="E33" s="8">
        <v>19.350000000000001</v>
      </c>
      <c r="F33" s="8"/>
      <c r="G33" s="8">
        <v>-59.58</v>
      </c>
      <c r="H33" s="8">
        <v>-6.9300000000000068</v>
      </c>
      <c r="I33" s="8"/>
      <c r="J33" s="8"/>
      <c r="K33" s="8"/>
      <c r="L33" s="8">
        <v>-86.039999999999992</v>
      </c>
      <c r="M33" s="8">
        <v>-3428.64</v>
      </c>
      <c r="N33" s="8">
        <v>-225</v>
      </c>
      <c r="O33" s="8">
        <v>-72.180000000000007</v>
      </c>
      <c r="P33" s="8">
        <v>-81</v>
      </c>
      <c r="Q33" s="8">
        <v>-61.83</v>
      </c>
      <c r="R33" s="8">
        <v>-182.97</v>
      </c>
      <c r="S33" s="8">
        <v>-3.0600000000000023</v>
      </c>
      <c r="T33" s="8"/>
      <c r="U33" s="8">
        <v>-279</v>
      </c>
      <c r="V33" s="8">
        <v>-4568.8500000000004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1:60" ht="15">
      <c r="A34" s="4" t="s">
        <v>47</v>
      </c>
      <c r="B34" s="4" t="s">
        <v>48</v>
      </c>
      <c r="C34" s="4" t="s">
        <v>36</v>
      </c>
      <c r="D34" s="8">
        <v>-79.11</v>
      </c>
      <c r="E34" s="8">
        <v>-13.23</v>
      </c>
      <c r="F34" s="8"/>
      <c r="G34" s="8">
        <v>-76.77</v>
      </c>
      <c r="H34" s="8"/>
      <c r="I34" s="8"/>
      <c r="J34" s="8"/>
      <c r="K34" s="8"/>
      <c r="L34" s="8">
        <v>-116.55000000000001</v>
      </c>
      <c r="M34" s="8">
        <v>-1602</v>
      </c>
      <c r="N34" s="8">
        <v>-369</v>
      </c>
      <c r="O34" s="8">
        <v>-1.4399999999999977</v>
      </c>
      <c r="P34" s="8"/>
      <c r="Q34" s="8">
        <v>-28.26</v>
      </c>
      <c r="R34" s="8">
        <v>-2.9699999999999989</v>
      </c>
      <c r="S34" s="8">
        <v>-92.07</v>
      </c>
      <c r="T34" s="8"/>
      <c r="U34" s="8"/>
      <c r="V34" s="8">
        <v>-2381.4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1:60" ht="15">
      <c r="A35" s="4" t="s">
        <v>49</v>
      </c>
      <c r="B35" s="4" t="s">
        <v>50</v>
      </c>
      <c r="C35" s="4" t="s">
        <v>36</v>
      </c>
      <c r="D35" s="8">
        <v>-520.38</v>
      </c>
      <c r="E35" s="8">
        <v>-5.4900000000000091</v>
      </c>
      <c r="F35" s="8"/>
      <c r="G35" s="8">
        <v>-140.57999999999998</v>
      </c>
      <c r="H35" s="8">
        <v>-557.54999999999995</v>
      </c>
      <c r="I35" s="8"/>
      <c r="J35" s="8">
        <v>-210.6</v>
      </c>
      <c r="K35" s="8">
        <v>-255.33</v>
      </c>
      <c r="L35" s="8">
        <v>-96.029999999999973</v>
      </c>
      <c r="M35" s="8">
        <v>-1930.41</v>
      </c>
      <c r="N35" s="8">
        <v>-441</v>
      </c>
      <c r="O35" s="8">
        <v>-83.519999999999982</v>
      </c>
      <c r="P35" s="8">
        <v>-144</v>
      </c>
      <c r="Q35" s="8">
        <v>-177.92999999999995</v>
      </c>
      <c r="R35" s="8">
        <v>-8.9999999999974989E-2</v>
      </c>
      <c r="S35" s="8">
        <v>-4.67999999999995</v>
      </c>
      <c r="T35" s="8"/>
      <c r="U35" s="8">
        <v>-423</v>
      </c>
      <c r="V35" s="8">
        <v>-4990.59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1:60" ht="15">
      <c r="A36" s="4" t="s">
        <v>71</v>
      </c>
      <c r="B36" s="4" t="s">
        <v>72</v>
      </c>
      <c r="C36" s="4" t="s">
        <v>73</v>
      </c>
      <c r="D36" s="8">
        <v>-11385.599999999999</v>
      </c>
      <c r="E36" s="8">
        <v>-3961.92</v>
      </c>
      <c r="F36" s="8"/>
      <c r="G36" s="8">
        <v>-521.63999999999987</v>
      </c>
      <c r="H36" s="8">
        <v>-3466.92</v>
      </c>
      <c r="I36" s="8"/>
      <c r="J36" s="8">
        <v>-4641.7199999999993</v>
      </c>
      <c r="K36" s="8">
        <v>-1224</v>
      </c>
      <c r="L36" s="8">
        <v>-3439.7999999999993</v>
      </c>
      <c r="M36" s="8">
        <v>-49303.32</v>
      </c>
      <c r="N36" s="8">
        <v>-8249.4000000000015</v>
      </c>
      <c r="O36" s="8">
        <v>-12191.880000000001</v>
      </c>
      <c r="P36" s="8">
        <v>-10436.040000000001</v>
      </c>
      <c r="Q36" s="8">
        <v>-4580.6400000000003</v>
      </c>
      <c r="R36" s="8">
        <v>-5514.5999999999985</v>
      </c>
      <c r="S36" s="8">
        <v>-8407.7999999999993</v>
      </c>
      <c r="T36" s="8"/>
      <c r="U36" s="8">
        <v>-12792</v>
      </c>
      <c r="V36" s="8">
        <v>-140117.28000000003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1:60" ht="15">
      <c r="A37" s="4" t="s">
        <v>149</v>
      </c>
      <c r="B37" s="4" t="s">
        <v>150</v>
      </c>
      <c r="C37" s="4" t="s">
        <v>73</v>
      </c>
      <c r="D37" s="8">
        <v>-866.8799999999992</v>
      </c>
      <c r="E37" s="8">
        <v>-327.72</v>
      </c>
      <c r="F37" s="8"/>
      <c r="G37" s="8">
        <v>-277.68000000000006</v>
      </c>
      <c r="H37" s="8">
        <v>-5021.16</v>
      </c>
      <c r="I37" s="8"/>
      <c r="J37" s="8">
        <v>-1148.04</v>
      </c>
      <c r="K37" s="8">
        <v>-2568</v>
      </c>
      <c r="L37" s="8">
        <v>-1209.3599999999999</v>
      </c>
      <c r="M37" s="8">
        <v>-5538.24</v>
      </c>
      <c r="N37" s="8">
        <v>-7972.08</v>
      </c>
      <c r="O37" s="8">
        <v>-2461.3199999999997</v>
      </c>
      <c r="P37" s="8">
        <v>-4840.08</v>
      </c>
      <c r="Q37" s="8">
        <v>-3078.24</v>
      </c>
      <c r="R37" s="8">
        <v>-861.3599999999999</v>
      </c>
      <c r="S37" s="8">
        <v>-1620.6</v>
      </c>
      <c r="T37" s="8"/>
      <c r="U37" s="8">
        <v>-8564.0400000000009</v>
      </c>
      <c r="V37" s="8">
        <v>-46354.8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ht="15">
      <c r="A38" s="4" t="s">
        <v>198</v>
      </c>
      <c r="B38" s="4" t="s">
        <v>199</v>
      </c>
      <c r="C38" s="4" t="s">
        <v>30</v>
      </c>
      <c r="D38" s="8">
        <v>-10973.52</v>
      </c>
      <c r="E38" s="8">
        <v>-915</v>
      </c>
      <c r="F38" s="8"/>
      <c r="G38" s="8">
        <v>-1139.6400000000001</v>
      </c>
      <c r="H38" s="8">
        <v>-2796</v>
      </c>
      <c r="I38" s="8"/>
      <c r="J38" s="8">
        <v>-8180.2800000000007</v>
      </c>
      <c r="K38" s="8">
        <v>3712.6800000000003</v>
      </c>
      <c r="L38" s="8">
        <v>2767.08</v>
      </c>
      <c r="M38" s="8">
        <v>-11812.08</v>
      </c>
      <c r="N38" s="8">
        <v>5587.92</v>
      </c>
      <c r="O38" s="8">
        <v>7327.9199999999983</v>
      </c>
      <c r="P38" s="8">
        <v>1176</v>
      </c>
      <c r="Q38" s="8">
        <v>3175.92</v>
      </c>
      <c r="R38" s="8">
        <v>-1540.3200000000002</v>
      </c>
      <c r="S38" s="8">
        <v>2165.5200000000004</v>
      </c>
      <c r="T38" s="8"/>
      <c r="U38" s="8">
        <v>-500.15999999999985</v>
      </c>
      <c r="V38" s="8">
        <v>-11943.960000000005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1:60" ht="15">
      <c r="A39" s="4" t="s">
        <v>906</v>
      </c>
      <c r="B39" s="4" t="s">
        <v>912</v>
      </c>
      <c r="C39" s="4" t="s">
        <v>17</v>
      </c>
      <c r="D39" s="8">
        <v>-25210.68</v>
      </c>
      <c r="E39" s="316">
        <v>-1139.6399999999999</v>
      </c>
      <c r="F39" s="8"/>
      <c r="G39" s="8">
        <v>-19.5600000000004</v>
      </c>
      <c r="H39" s="8">
        <v>-2649.3599999999997</v>
      </c>
      <c r="I39" s="8"/>
      <c r="J39" s="8">
        <v>-3030</v>
      </c>
      <c r="K39" s="8">
        <v>-1332</v>
      </c>
      <c r="L39" s="8">
        <v>-1202.5200000000004</v>
      </c>
      <c r="M39" s="8">
        <v>-3445.2</v>
      </c>
      <c r="N39" s="8">
        <v>-1147.08</v>
      </c>
      <c r="O39" s="8">
        <v>-3637.6800000000003</v>
      </c>
      <c r="P39" s="8">
        <v>-2488.08</v>
      </c>
      <c r="Q39" s="8">
        <v>-4147.8</v>
      </c>
      <c r="R39" s="8">
        <v>-2428.44</v>
      </c>
      <c r="S39" s="8">
        <v>-3417.96</v>
      </c>
      <c r="T39" s="8"/>
      <c r="U39" s="8">
        <v>-6036.119999999999</v>
      </c>
      <c r="V39" s="8">
        <v>-61332.12000000001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1:60" ht="15">
      <c r="A40" s="4" t="s">
        <v>1004</v>
      </c>
      <c r="B40" s="4" t="s">
        <v>1005</v>
      </c>
      <c r="C40" s="4" t="s">
        <v>17</v>
      </c>
      <c r="D40" s="8"/>
      <c r="E40" s="8">
        <v>-3520.3000000000029</v>
      </c>
      <c r="F40" s="8"/>
      <c r="G40" s="8"/>
      <c r="H40" s="8"/>
      <c r="I40" s="8"/>
      <c r="J40" s="8"/>
      <c r="K40" s="8"/>
      <c r="L40" s="8"/>
      <c r="M40" s="8"/>
      <c r="N40" s="8">
        <v>-16180</v>
      </c>
      <c r="O40" s="8"/>
      <c r="P40" s="8"/>
      <c r="Q40" s="8"/>
      <c r="R40" s="8"/>
      <c r="S40" s="8"/>
      <c r="T40" s="8"/>
      <c r="U40" s="8"/>
      <c r="V40" s="8">
        <v>-19700.300000000003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1:60" ht="15">
      <c r="A41" s="4" t="s">
        <v>1007</v>
      </c>
      <c r="B41" s="4" t="s">
        <v>1009</v>
      </c>
      <c r="C41" s="4" t="s">
        <v>17</v>
      </c>
      <c r="D41" s="8">
        <v>3679.92</v>
      </c>
      <c r="E41" s="8">
        <v>718.92000000000007</v>
      </c>
      <c r="F41" s="8"/>
      <c r="G41" s="8">
        <v>-113.63999999999987</v>
      </c>
      <c r="H41" s="8">
        <v>-338.4</v>
      </c>
      <c r="I41" s="8"/>
      <c r="J41" s="8">
        <v>432.72</v>
      </c>
      <c r="K41" s="8">
        <v>1299.96</v>
      </c>
      <c r="L41" s="8">
        <v>3292.4399999999996</v>
      </c>
      <c r="M41" s="8">
        <v>42</v>
      </c>
      <c r="N41" s="8">
        <v>1185.5999999999999</v>
      </c>
      <c r="O41" s="8">
        <v>3531.7199999999993</v>
      </c>
      <c r="P41" s="8">
        <v>-312</v>
      </c>
      <c r="Q41" s="8">
        <v>-172.2</v>
      </c>
      <c r="R41" s="8">
        <v>-108.72000000000003</v>
      </c>
      <c r="S41" s="8">
        <v>50.6400000000001</v>
      </c>
      <c r="T41" s="8"/>
      <c r="U41" s="8">
        <v>43.919999999999959</v>
      </c>
      <c r="V41" s="8">
        <v>13232.88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1:60" ht="15">
      <c r="A42" s="4" t="s">
        <v>1006</v>
      </c>
      <c r="B42" s="4" t="s">
        <v>1008</v>
      </c>
      <c r="C42" s="4" t="s">
        <v>17</v>
      </c>
      <c r="D42" s="8">
        <v>-4569.4799999999996</v>
      </c>
      <c r="E42" s="8">
        <v>-1337.52</v>
      </c>
      <c r="F42" s="8"/>
      <c r="G42" s="8">
        <v>-1546.3200000000002</v>
      </c>
      <c r="H42" s="8">
        <v>-291.72000000000003</v>
      </c>
      <c r="I42" s="8">
        <v>-12</v>
      </c>
      <c r="J42" s="8">
        <v>-2374.56</v>
      </c>
      <c r="K42" s="8">
        <v>-427.20000000000005</v>
      </c>
      <c r="L42" s="8">
        <v>-5012.16</v>
      </c>
      <c r="M42" s="8">
        <v>-180</v>
      </c>
      <c r="N42" s="8">
        <v>-8196</v>
      </c>
      <c r="O42" s="8">
        <v>-4253.04</v>
      </c>
      <c r="P42" s="8">
        <v>-3024</v>
      </c>
      <c r="Q42" s="8"/>
      <c r="R42" s="8">
        <v>-21.3599999999999</v>
      </c>
      <c r="S42" s="8">
        <v>-862.32000000000016</v>
      </c>
      <c r="T42" s="8"/>
      <c r="U42" s="8">
        <v>-1044</v>
      </c>
      <c r="V42" s="8">
        <v>-33151.68</v>
      </c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1:60" ht="15">
      <c r="A43" s="4" t="s">
        <v>1037</v>
      </c>
      <c r="B43" s="4" t="s">
        <v>1038</v>
      </c>
      <c r="C43" s="4" t="s">
        <v>17</v>
      </c>
      <c r="D43" s="8">
        <v>-32.039999999999964</v>
      </c>
      <c r="E43" s="8">
        <v>39.480000000000018</v>
      </c>
      <c r="F43" s="8"/>
      <c r="G43" s="8">
        <v>-161.63999999999987</v>
      </c>
      <c r="H43" s="8">
        <v>-1128</v>
      </c>
      <c r="I43" s="8"/>
      <c r="J43" s="8">
        <v>-7.6800000000000637</v>
      </c>
      <c r="K43" s="8">
        <v>-666.36000000000013</v>
      </c>
      <c r="L43" s="8">
        <v>-8.0399999999999636</v>
      </c>
      <c r="M43" s="8">
        <v>-38520</v>
      </c>
      <c r="N43" s="8">
        <v>-1200</v>
      </c>
      <c r="O43" s="8">
        <v>-6104.2800000000007</v>
      </c>
      <c r="P43" s="8">
        <v>-1020</v>
      </c>
      <c r="Q43" s="8">
        <v>-1123.08</v>
      </c>
      <c r="R43" s="8">
        <v>-21.3599999999999</v>
      </c>
      <c r="S43" s="8">
        <v>-92.039999999999964</v>
      </c>
      <c r="T43" s="8"/>
      <c r="U43" s="8">
        <v>-1464</v>
      </c>
      <c r="V43" s="8">
        <v>-51509.04</v>
      </c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1:60" ht="15">
      <c r="A44" s="4" t="s">
        <v>778</v>
      </c>
      <c r="B44" s="4" t="s">
        <v>780</v>
      </c>
      <c r="C44" s="4" t="s">
        <v>17</v>
      </c>
      <c r="D44" s="8">
        <v>-1020</v>
      </c>
      <c r="E44" s="8"/>
      <c r="F44" s="8"/>
      <c r="G44" s="8"/>
      <c r="H44" s="8"/>
      <c r="I44" s="8"/>
      <c r="J44" s="8">
        <v>-1128</v>
      </c>
      <c r="K44" s="8"/>
      <c r="L44" s="8"/>
      <c r="M44" s="8"/>
      <c r="N44" s="8">
        <v>-1356</v>
      </c>
      <c r="O44" s="8">
        <v>-1116</v>
      </c>
      <c r="P44" s="8"/>
      <c r="Q44" s="8"/>
      <c r="R44" s="8"/>
      <c r="S44" s="8"/>
      <c r="T44" s="8"/>
      <c r="U44" s="8">
        <v>-120</v>
      </c>
      <c r="V44" s="8">
        <v>-4740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1:60" ht="15">
      <c r="A45" s="4" t="s">
        <v>1176</v>
      </c>
      <c r="B45" s="4" t="s">
        <v>1182</v>
      </c>
      <c r="C45" s="4" t="s">
        <v>17</v>
      </c>
      <c r="D45" s="8">
        <v>-924</v>
      </c>
      <c r="E45" s="8"/>
      <c r="F45" s="8"/>
      <c r="G45" s="8">
        <v>-228</v>
      </c>
      <c r="H45" s="8">
        <v>-1776</v>
      </c>
      <c r="I45" s="8"/>
      <c r="J45" s="8">
        <v>-876</v>
      </c>
      <c r="K45" s="8">
        <v>-828</v>
      </c>
      <c r="L45" s="8">
        <v>-552</v>
      </c>
      <c r="M45" s="8">
        <v>-10680</v>
      </c>
      <c r="N45" s="8">
        <v>-888</v>
      </c>
      <c r="O45" s="8">
        <v>-1752</v>
      </c>
      <c r="P45" s="8"/>
      <c r="Q45" s="8"/>
      <c r="R45" s="8"/>
      <c r="S45" s="8">
        <v>-336</v>
      </c>
      <c r="T45" s="8"/>
      <c r="U45" s="8">
        <v>-1032</v>
      </c>
      <c r="V45" s="8">
        <v>-19872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1:60" ht="15">
      <c r="A46" s="4" t="s">
        <v>1184</v>
      </c>
      <c r="B46" s="4" t="s">
        <v>1224</v>
      </c>
      <c r="C46" s="4" t="s">
        <v>169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>
        <v>-3119.16</v>
      </c>
      <c r="P46" s="8"/>
      <c r="Q46" s="8"/>
      <c r="R46" s="8"/>
      <c r="S46" s="8"/>
      <c r="T46" s="8"/>
      <c r="U46" s="8">
        <v>-348</v>
      </c>
      <c r="V46" s="8">
        <v>-3467.16</v>
      </c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1:60" ht="15">
      <c r="A47" s="4" t="s">
        <v>88</v>
      </c>
      <c r="B47" s="4" t="s">
        <v>89</v>
      </c>
      <c r="C47" s="4" t="s">
        <v>31</v>
      </c>
      <c r="D47" s="8">
        <v>-858.24</v>
      </c>
      <c r="E47" s="8">
        <v>-105.36</v>
      </c>
      <c r="F47" s="8">
        <v>0</v>
      </c>
      <c r="G47" s="8">
        <v>-39.360000000000014</v>
      </c>
      <c r="H47" s="8">
        <v>-145.44</v>
      </c>
      <c r="I47" s="8"/>
      <c r="J47" s="8">
        <v>70.199999999999989</v>
      </c>
      <c r="K47" s="8">
        <v>213.60000000000002</v>
      </c>
      <c r="L47" s="8">
        <v>-126.72000000000003</v>
      </c>
      <c r="M47" s="8">
        <v>14.759999999999991</v>
      </c>
      <c r="N47" s="8">
        <v>-192</v>
      </c>
      <c r="O47" s="8">
        <v>-63.360000000000014</v>
      </c>
      <c r="P47" s="8">
        <v>-96</v>
      </c>
      <c r="Q47" s="8">
        <v>-180</v>
      </c>
      <c r="R47" s="8">
        <v>0.96000000000000796</v>
      </c>
      <c r="S47" s="8">
        <v>-104.03999999999996</v>
      </c>
      <c r="T47" s="8"/>
      <c r="U47" s="8">
        <v>-1980</v>
      </c>
      <c r="V47" s="8">
        <v>-3591</v>
      </c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1:60" ht="15">
      <c r="A48" s="4" t="s">
        <v>1188</v>
      </c>
      <c r="B48" s="4" t="s">
        <v>1223</v>
      </c>
      <c r="C48" s="4" t="s">
        <v>30</v>
      </c>
      <c r="D48" s="8">
        <v>1979.52</v>
      </c>
      <c r="E48" s="8"/>
      <c r="F48" s="8"/>
      <c r="G48" s="8"/>
      <c r="H48" s="8">
        <v>2986.08</v>
      </c>
      <c r="I48" s="8"/>
      <c r="J48" s="8"/>
      <c r="K48" s="8"/>
      <c r="L48" s="8"/>
      <c r="M48" s="8"/>
      <c r="N48" s="8"/>
      <c r="O48" s="8">
        <v>1979.52</v>
      </c>
      <c r="P48" s="8"/>
      <c r="Q48" s="8"/>
      <c r="R48" s="8"/>
      <c r="S48" s="8"/>
      <c r="T48" s="8"/>
      <c r="U48" s="8"/>
      <c r="V48" s="8">
        <v>6945.1200000000008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1:60" ht="15">
      <c r="A49" s="4" t="s">
        <v>1194</v>
      </c>
      <c r="B49" s="4" t="s">
        <v>1225</v>
      </c>
      <c r="C49" s="4" t="s">
        <v>30</v>
      </c>
      <c r="D49" s="8">
        <v>-2292</v>
      </c>
      <c r="E49" s="8"/>
      <c r="F49" s="8"/>
      <c r="G49" s="8"/>
      <c r="H49" s="8"/>
      <c r="I49" s="8"/>
      <c r="J49" s="8"/>
      <c r="K49" s="8">
        <v>-180</v>
      </c>
      <c r="L49" s="8"/>
      <c r="M49" s="8"/>
      <c r="N49" s="8">
        <v>-360</v>
      </c>
      <c r="O49" s="8">
        <v>2638.68</v>
      </c>
      <c r="P49" s="8">
        <v>-720</v>
      </c>
      <c r="Q49" s="8"/>
      <c r="R49" s="8"/>
      <c r="S49" s="8"/>
      <c r="T49" s="8"/>
      <c r="U49" s="8">
        <v>-4116</v>
      </c>
      <c r="V49" s="8">
        <v>-5029.32</v>
      </c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1:60" ht="15">
      <c r="A50" s="4" t="s">
        <v>144</v>
      </c>
      <c r="B50" s="4" t="s">
        <v>145</v>
      </c>
      <c r="C50" s="4" t="s">
        <v>31</v>
      </c>
      <c r="D50" s="8"/>
      <c r="E50" s="8"/>
      <c r="F50" s="8"/>
      <c r="G50" s="8"/>
      <c r="H50" s="8"/>
      <c r="I50" s="8"/>
      <c r="J50" s="8"/>
      <c r="K50" s="8"/>
      <c r="L50" s="8">
        <v>128.63999999999999</v>
      </c>
      <c r="M50" s="8"/>
      <c r="N50" s="8"/>
      <c r="O50" s="8"/>
      <c r="P50" s="8"/>
      <c r="Q50" s="8"/>
      <c r="R50" s="8">
        <v>128.63999999999999</v>
      </c>
      <c r="S50" s="8">
        <v>192.96</v>
      </c>
      <c r="T50" s="8"/>
      <c r="U50" s="8"/>
      <c r="V50" s="8">
        <v>450.24</v>
      </c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1:60" ht="15">
      <c r="A51" s="4" t="s">
        <v>1025</v>
      </c>
      <c r="B51" s="4" t="s">
        <v>1026</v>
      </c>
      <c r="C51" s="4" t="s">
        <v>31</v>
      </c>
      <c r="D51" s="8"/>
      <c r="E51" s="8"/>
      <c r="F51" s="8"/>
      <c r="G51" s="8">
        <v>192.96</v>
      </c>
      <c r="H51" s="8"/>
      <c r="I51" s="8"/>
      <c r="J51" s="8"/>
      <c r="K51" s="8"/>
      <c r="L51" s="8">
        <v>77.16</v>
      </c>
      <c r="M51" s="8"/>
      <c r="N51" s="8"/>
      <c r="O51" s="8"/>
      <c r="P51" s="8"/>
      <c r="Q51" s="8"/>
      <c r="R51" s="8">
        <v>128.63999999999999</v>
      </c>
      <c r="S51" s="8">
        <v>192.96</v>
      </c>
      <c r="T51" s="8"/>
      <c r="U51" s="8"/>
      <c r="V51" s="8">
        <v>591.72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1:60" ht="15">
      <c r="A52" s="4" t="s">
        <v>1231</v>
      </c>
      <c r="B52" s="4" t="s">
        <v>1236</v>
      </c>
      <c r="C52" s="4" t="s">
        <v>31</v>
      </c>
      <c r="D52" s="8">
        <v>-96</v>
      </c>
      <c r="E52" s="8"/>
      <c r="F52" s="8"/>
      <c r="G52" s="8"/>
      <c r="H52" s="8">
        <v>-48</v>
      </c>
      <c r="I52" s="8"/>
      <c r="J52" s="8"/>
      <c r="K52" s="8">
        <v>-48</v>
      </c>
      <c r="L52" s="8"/>
      <c r="M52" s="8"/>
      <c r="N52" s="8"/>
      <c r="O52" s="8">
        <v>-192</v>
      </c>
      <c r="P52" s="8"/>
      <c r="Q52" s="8">
        <v>-48</v>
      </c>
      <c r="R52" s="8"/>
      <c r="S52" s="8"/>
      <c r="T52" s="8"/>
      <c r="U52" s="8"/>
      <c r="V52" s="8">
        <v>-432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1:60" ht="15">
      <c r="A53" s="4" t="s">
        <v>1232</v>
      </c>
      <c r="B53" s="4" t="s">
        <v>1237</v>
      </c>
      <c r="C53" s="4" t="s">
        <v>31</v>
      </c>
      <c r="D53" s="8">
        <v>-492</v>
      </c>
      <c r="E53" s="8"/>
      <c r="F53" s="8"/>
      <c r="G53" s="8"/>
      <c r="H53" s="8"/>
      <c r="I53" s="8"/>
      <c r="J53" s="8"/>
      <c r="K53" s="8">
        <v>-192</v>
      </c>
      <c r="L53" s="8">
        <v>128.63999999999999</v>
      </c>
      <c r="M53" s="8"/>
      <c r="N53" s="8"/>
      <c r="O53" s="8">
        <v>-648</v>
      </c>
      <c r="P53" s="8"/>
      <c r="Q53" s="8">
        <v>-192</v>
      </c>
      <c r="R53" s="8">
        <v>128.63999999999999</v>
      </c>
      <c r="S53" s="8">
        <v>192.96</v>
      </c>
      <c r="T53" s="8"/>
      <c r="U53" s="8"/>
      <c r="V53" s="8">
        <v>-1073.7600000000002</v>
      </c>
      <c r="W53"/>
    </row>
    <row r="54" spans="1:60" ht="15">
      <c r="A54" s="4" t="s">
        <v>183</v>
      </c>
      <c r="B54" s="4" t="s">
        <v>184</v>
      </c>
      <c r="C54" s="4" t="s">
        <v>17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>
        <v>128.63999999999999</v>
      </c>
      <c r="S54" s="8"/>
      <c r="T54" s="8"/>
      <c r="U54" s="8"/>
      <c r="V54" s="8">
        <v>128.63999999999999</v>
      </c>
      <c r="W54"/>
    </row>
    <row r="55" spans="1:60" ht="15">
      <c r="A55" s="4" t="s">
        <v>1153</v>
      </c>
      <c r="B55" s="4" t="s">
        <v>1154</v>
      </c>
      <c r="C55" s="4" t="s">
        <v>30</v>
      </c>
      <c r="D55" s="8"/>
      <c r="E55" s="8"/>
      <c r="F55" s="8"/>
      <c r="G55" s="8"/>
      <c r="H55" s="8"/>
      <c r="I55" s="8">
        <v>-216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>
        <v>-216</v>
      </c>
      <c r="W55"/>
    </row>
    <row r="56" spans="1:60" ht="15">
      <c r="A56" s="4" t="s">
        <v>1243</v>
      </c>
      <c r="B56" s="4" t="s">
        <v>1244</v>
      </c>
      <c r="C56" s="4" t="s">
        <v>1245</v>
      </c>
      <c r="D56" s="8">
        <v>-96</v>
      </c>
      <c r="E56" s="8"/>
      <c r="F56" s="8"/>
      <c r="G56" s="8"/>
      <c r="H56" s="8"/>
      <c r="I56" s="8"/>
      <c r="J56" s="8">
        <v>-96</v>
      </c>
      <c r="K56" s="8">
        <v>-96</v>
      </c>
      <c r="L56" s="8"/>
      <c r="M56" s="8">
        <v>-696</v>
      </c>
      <c r="N56" s="8"/>
      <c r="O56" s="8">
        <v>-120</v>
      </c>
      <c r="P56" s="8"/>
      <c r="Q56" s="8"/>
      <c r="R56" s="8"/>
      <c r="S56" s="8"/>
      <c r="T56" s="8"/>
      <c r="U56" s="8">
        <v>-60</v>
      </c>
      <c r="V56" s="8">
        <v>-1164</v>
      </c>
      <c r="W56"/>
    </row>
    <row r="57" spans="1:60" ht="15">
      <c r="A57" s="4" t="s">
        <v>855</v>
      </c>
      <c r="B57" s="4" t="s">
        <v>856</v>
      </c>
      <c r="C57" s="4" t="s">
        <v>17</v>
      </c>
      <c r="D57" s="8"/>
      <c r="E57" s="8"/>
      <c r="F57" s="8"/>
      <c r="G57" s="8"/>
      <c r="H57" s="8"/>
      <c r="I57" s="8">
        <v>-240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>
        <v>-240</v>
      </c>
      <c r="W57"/>
    </row>
    <row r="58" spans="1:60" ht="15">
      <c r="A58" s="4" t="s">
        <v>118</v>
      </c>
      <c r="D58" s="8">
        <v>-247871.64999999997</v>
      </c>
      <c r="E58" s="8">
        <v>-89808.760000000009</v>
      </c>
      <c r="F58" s="8">
        <v>0</v>
      </c>
      <c r="G58" s="8">
        <v>-49907.310000000005</v>
      </c>
      <c r="H58" s="8">
        <v>-110028.12999999998</v>
      </c>
      <c r="I58" s="8">
        <v>-10728.880000000001</v>
      </c>
      <c r="J58" s="8">
        <v>-99075.319999999978</v>
      </c>
      <c r="K58" s="8">
        <v>-211390.68000000002</v>
      </c>
      <c r="L58" s="8">
        <v>-79772.61</v>
      </c>
      <c r="M58" s="8">
        <v>-361621.16000000003</v>
      </c>
      <c r="N58" s="8">
        <v>-506922.68000000005</v>
      </c>
      <c r="O58" s="8">
        <v>-245847.87000000002</v>
      </c>
      <c r="P58" s="8">
        <v>-87323.560000000027</v>
      </c>
      <c r="Q58" s="8">
        <v>-126959.03</v>
      </c>
      <c r="R58" s="8">
        <v>-53200.060000000012</v>
      </c>
      <c r="S58" s="8">
        <v>-92663.049999999974</v>
      </c>
      <c r="T58" s="8">
        <v>0</v>
      </c>
      <c r="U58" s="8">
        <v>-127110.31999999999</v>
      </c>
      <c r="V58" s="8">
        <v>-2500231.0699999994</v>
      </c>
      <c r="W58"/>
    </row>
    <row r="59" spans="1:60" ht="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60" ht="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60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60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60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60" ht="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21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21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21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21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21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21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21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21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21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21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="4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8417-1FD1-4DC4-B843-C0DB265BAC57}">
  <dimension ref="A1:W108"/>
  <sheetViews>
    <sheetView showGridLines="0" zoomScale="90" zoomScaleNormal="80" workbookViewId="0">
      <selection activeCell="D5" sqref="D5"/>
    </sheetView>
  </sheetViews>
  <sheetFormatPr defaultColWidth="9.140625" defaultRowHeight="12"/>
  <cols>
    <col min="1" max="1" width="26.5703125" style="4" bestFit="1" customWidth="1"/>
    <col min="2" max="2" width="47.42578125" style="4" bestFit="1" customWidth="1"/>
    <col min="3" max="3" width="8.5703125" style="34" bestFit="1" customWidth="1"/>
    <col min="4" max="19" width="14.5703125" style="13" bestFit="1" customWidth="1"/>
    <col min="20" max="21" width="14.5703125" style="3" bestFit="1" customWidth="1"/>
    <col min="22" max="23" width="5.5703125" style="3" bestFit="1" customWidth="1"/>
    <col min="24" max="16384" width="9.140625" style="3"/>
  </cols>
  <sheetData>
    <row r="1" spans="1:23">
      <c r="D1" s="13">
        <v>4</v>
      </c>
      <c r="E1" s="13">
        <v>5</v>
      </c>
      <c r="F1" s="13">
        <v>6</v>
      </c>
      <c r="G1" s="13">
        <v>7</v>
      </c>
      <c r="H1" s="13">
        <v>8</v>
      </c>
      <c r="I1" s="13">
        <v>9</v>
      </c>
      <c r="J1" s="13">
        <v>10</v>
      </c>
      <c r="K1" s="13">
        <v>11</v>
      </c>
      <c r="L1" s="13">
        <v>12</v>
      </c>
      <c r="M1" s="13">
        <v>13</v>
      </c>
      <c r="N1" s="13">
        <v>14</v>
      </c>
      <c r="O1" s="13">
        <v>15</v>
      </c>
      <c r="P1" s="13">
        <v>16</v>
      </c>
      <c r="Q1" s="13">
        <v>17</v>
      </c>
      <c r="R1" s="13">
        <v>18</v>
      </c>
      <c r="S1" s="13">
        <v>19</v>
      </c>
      <c r="T1" s="13">
        <v>20</v>
      </c>
      <c r="U1" s="3">
        <v>21</v>
      </c>
    </row>
    <row r="2" spans="1:23">
      <c r="D2" s="13" t="s">
        <v>109</v>
      </c>
      <c r="E2" s="13" t="s">
        <v>107</v>
      </c>
      <c r="F2" s="13" t="s">
        <v>103</v>
      </c>
      <c r="G2" s="13" t="s">
        <v>101</v>
      </c>
      <c r="H2" s="13" t="s">
        <v>27</v>
      </c>
      <c r="I2" s="13" t="s">
        <v>14</v>
      </c>
      <c r="J2" s="13" t="s">
        <v>111</v>
      </c>
      <c r="K2" s="13" t="s">
        <v>113</v>
      </c>
      <c r="L2" s="13" t="s">
        <v>99</v>
      </c>
      <c r="M2" s="13" t="s">
        <v>95</v>
      </c>
      <c r="N2" s="13" t="s">
        <v>105</v>
      </c>
      <c r="O2" s="13" t="s">
        <v>87</v>
      </c>
      <c r="P2" s="13" t="s">
        <v>97</v>
      </c>
      <c r="Q2" s="13" t="s">
        <v>153</v>
      </c>
      <c r="R2" s="13" t="s">
        <v>175</v>
      </c>
      <c r="S2" s="3" t="s">
        <v>716</v>
      </c>
      <c r="T2" s="120" t="s">
        <v>186</v>
      </c>
      <c r="U2" s="3" t="s">
        <v>961</v>
      </c>
    </row>
    <row r="3" spans="1:23" ht="15">
      <c r="A3" s="649" t="s">
        <v>120</v>
      </c>
      <c r="B3" s="650"/>
      <c r="C3" s="650"/>
      <c r="D3" s="21" t="s">
        <v>1</v>
      </c>
      <c r="T3" s="13"/>
      <c r="U3" s="13"/>
      <c r="V3" s="13"/>
      <c r="W3"/>
    </row>
    <row r="4" spans="1:23" ht="24.75">
      <c r="A4" s="649" t="s">
        <v>2</v>
      </c>
      <c r="B4" s="649" t="s">
        <v>4</v>
      </c>
      <c r="C4" s="2" t="s">
        <v>5</v>
      </c>
      <c r="D4" s="13" t="s">
        <v>109</v>
      </c>
      <c r="E4" s="13" t="s">
        <v>107</v>
      </c>
      <c r="F4" s="13" t="s">
        <v>103</v>
      </c>
      <c r="G4" s="13" t="s">
        <v>101</v>
      </c>
      <c r="H4" s="13" t="s">
        <v>27</v>
      </c>
      <c r="I4" s="13" t="s">
        <v>14</v>
      </c>
      <c r="J4" s="13" t="s">
        <v>111</v>
      </c>
      <c r="K4" s="13" t="s">
        <v>113</v>
      </c>
      <c r="L4" s="13" t="s">
        <v>99</v>
      </c>
      <c r="M4" s="13" t="s">
        <v>95</v>
      </c>
      <c r="N4" s="13" t="s">
        <v>105</v>
      </c>
      <c r="O4" s="13" t="s">
        <v>87</v>
      </c>
      <c r="P4" s="13" t="s">
        <v>97</v>
      </c>
      <c r="Q4" s="13" t="s">
        <v>153</v>
      </c>
      <c r="R4" s="38" t="s">
        <v>175</v>
      </c>
      <c r="S4" s="38" t="s">
        <v>716</v>
      </c>
      <c r="T4" s="13" t="s">
        <v>186</v>
      </c>
      <c r="U4" s="13" t="s">
        <v>961</v>
      </c>
      <c r="V4" s="13" t="s">
        <v>118</v>
      </c>
      <c r="W4"/>
    </row>
    <row r="5" spans="1:23" ht="15">
      <c r="A5" s="650" t="s">
        <v>51</v>
      </c>
      <c r="B5" s="650" t="s">
        <v>903</v>
      </c>
      <c r="C5" s="3" t="s">
        <v>17</v>
      </c>
      <c r="D5" s="14">
        <v>10.290835084033612</v>
      </c>
      <c r="E5" s="14">
        <v>25.093915868560732</v>
      </c>
      <c r="F5" s="14"/>
      <c r="G5" s="14">
        <v>29.539740307452092</v>
      </c>
      <c r="H5" s="14">
        <v>16.785467923660612</v>
      </c>
      <c r="I5" s="14">
        <v>5.6127741553052752</v>
      </c>
      <c r="J5" s="14">
        <v>8.6427633304919134</v>
      </c>
      <c r="K5" s="14">
        <v>4.2750042750042754</v>
      </c>
      <c r="L5" s="14">
        <v>9.57</v>
      </c>
      <c r="M5" s="14">
        <v>4.4662588103933558</v>
      </c>
      <c r="N5" s="14">
        <v>15.850345964088271</v>
      </c>
      <c r="O5" s="14">
        <v>14.783060166301709</v>
      </c>
      <c r="P5" s="14">
        <v>30.960107687331085</v>
      </c>
      <c r="Q5" s="14">
        <v>13.025948516489196</v>
      </c>
      <c r="R5" s="14">
        <v>15.089686885706262</v>
      </c>
      <c r="S5" s="14">
        <v>20.714059265613635</v>
      </c>
      <c r="T5" s="14">
        <v>0</v>
      </c>
      <c r="U5" s="14">
        <v>10.260012070602437</v>
      </c>
      <c r="V5" s="14">
        <v>13.821175312413791</v>
      </c>
      <c r="W5"/>
    </row>
    <row r="6" spans="1:23" ht="15">
      <c r="A6" s="650" t="s">
        <v>53</v>
      </c>
      <c r="B6" s="650" t="s">
        <v>54</v>
      </c>
      <c r="C6" s="3" t="s">
        <v>17</v>
      </c>
      <c r="D6" s="14">
        <v>18.054196914311213</v>
      </c>
      <c r="E6" s="14">
        <v>21.144294992556681</v>
      </c>
      <c r="F6" s="14"/>
      <c r="G6" s="14">
        <v>51.109867562022004</v>
      </c>
      <c r="H6" s="14">
        <v>53.728681306431838</v>
      </c>
      <c r="I6" s="14"/>
      <c r="J6" s="14">
        <v>15.786437085442351</v>
      </c>
      <c r="K6" s="14">
        <v>18.63</v>
      </c>
      <c r="L6" s="14">
        <v>27.013346831126622</v>
      </c>
      <c r="M6" s="14">
        <v>38.112927191679049</v>
      </c>
      <c r="N6" s="14">
        <v>20.99400171379606</v>
      </c>
      <c r="O6" s="14">
        <v>17.81416197051151</v>
      </c>
      <c r="P6" s="14">
        <v>36.25</v>
      </c>
      <c r="Q6" s="14">
        <v>25.962707742196997</v>
      </c>
      <c r="R6" s="14">
        <v>34.13542249580302</v>
      </c>
      <c r="S6" s="14">
        <v>27.179705819654657</v>
      </c>
      <c r="T6" s="14"/>
      <c r="U6" s="14">
        <v>22.430298371881769</v>
      </c>
      <c r="V6" s="14">
        <v>28.556403333160919</v>
      </c>
      <c r="W6"/>
    </row>
    <row r="7" spans="1:23" ht="15">
      <c r="A7" s="650" t="s">
        <v>15</v>
      </c>
      <c r="B7" s="650" t="s">
        <v>16</v>
      </c>
      <c r="C7" s="3" t="s">
        <v>17</v>
      </c>
      <c r="D7" s="14">
        <v>24.089706837295491</v>
      </c>
      <c r="E7" s="14">
        <v>30.230794235561813</v>
      </c>
      <c r="F7" s="14"/>
      <c r="G7" s="14">
        <v>35.672650967591515</v>
      </c>
      <c r="H7" s="14">
        <v>18.950119799607933</v>
      </c>
      <c r="I7" s="14">
        <v>0</v>
      </c>
      <c r="J7" s="14">
        <v>24.219943268601352</v>
      </c>
      <c r="K7" s="14">
        <v>26.574738725372548</v>
      </c>
      <c r="L7" s="14">
        <v>28.064395822973644</v>
      </c>
      <c r="M7" s="14">
        <v>40.763968072976049</v>
      </c>
      <c r="N7" s="14">
        <v>19.100951212028232</v>
      </c>
      <c r="O7" s="14">
        <v>20.135986526105668</v>
      </c>
      <c r="P7" s="14">
        <v>22.086614173228348</v>
      </c>
      <c r="Q7" s="14">
        <v>27.279503105590063</v>
      </c>
      <c r="R7" s="14">
        <v>25.315331319950257</v>
      </c>
      <c r="S7" s="14">
        <v>26.974392972569817</v>
      </c>
      <c r="T7" s="14"/>
      <c r="U7" s="14">
        <v>22.241379310344826</v>
      </c>
      <c r="V7" s="14">
        <v>24.481279771862344</v>
      </c>
      <c r="W7"/>
    </row>
    <row r="8" spans="1:23" ht="15">
      <c r="A8" s="650" t="s">
        <v>55</v>
      </c>
      <c r="B8" s="650" t="s">
        <v>56</v>
      </c>
      <c r="C8" s="3" t="s">
        <v>17</v>
      </c>
      <c r="D8" s="14">
        <v>26.078654138649476</v>
      </c>
      <c r="E8" s="14">
        <v>32.885141294439379</v>
      </c>
      <c r="F8" s="14"/>
      <c r="G8" s="14">
        <v>48.976547609182063</v>
      </c>
      <c r="H8" s="14">
        <v>35.994703120611014</v>
      </c>
      <c r="I8" s="14">
        <v>28.546990270501443</v>
      </c>
      <c r="J8" s="14">
        <v>21.482616550498754</v>
      </c>
      <c r="K8" s="14">
        <v>31.918604651162791</v>
      </c>
      <c r="L8" s="14">
        <v>16.373469260893888</v>
      </c>
      <c r="M8" s="14">
        <v>36.100974153270798</v>
      </c>
      <c r="N8" s="14">
        <v>223.15199999999999</v>
      </c>
      <c r="O8" s="14">
        <v>20.820448509569189</v>
      </c>
      <c r="P8" s="14">
        <v>32.76</v>
      </c>
      <c r="Q8" s="14">
        <v>39.445879314393046</v>
      </c>
      <c r="R8" s="14">
        <v>47.574626865671647</v>
      </c>
      <c r="S8" s="14">
        <v>19.084523094137882</v>
      </c>
      <c r="T8" s="14"/>
      <c r="U8" s="14">
        <v>17.247280566945712</v>
      </c>
      <c r="V8" s="14">
        <v>42.40265371249545</v>
      </c>
      <c r="W8"/>
    </row>
    <row r="9" spans="1:23" ht="15">
      <c r="A9" s="650" t="s">
        <v>57</v>
      </c>
      <c r="B9" s="650" t="s">
        <v>58</v>
      </c>
      <c r="C9" s="3" t="s">
        <v>17</v>
      </c>
      <c r="D9" s="14">
        <v>15.625000000000002</v>
      </c>
      <c r="E9" s="14">
        <v>29.275092936802974</v>
      </c>
      <c r="F9" s="14"/>
      <c r="G9" s="14">
        <v>11.374937841869716</v>
      </c>
      <c r="H9" s="14">
        <v>28.467595396729255</v>
      </c>
      <c r="I9" s="14">
        <v>0</v>
      </c>
      <c r="J9" s="14">
        <v>49.723756906077348</v>
      </c>
      <c r="K9" s="14">
        <v>20.440000000000001</v>
      </c>
      <c r="L9" s="14">
        <v>0</v>
      </c>
      <c r="M9" s="14"/>
      <c r="N9" s="14">
        <v>0</v>
      </c>
      <c r="O9" s="14">
        <v>26.590693257359927</v>
      </c>
      <c r="P9" s="14">
        <v>0</v>
      </c>
      <c r="Q9" s="14">
        <v>31.249999999999996</v>
      </c>
      <c r="R9" s="14"/>
      <c r="S9" s="14"/>
      <c r="T9" s="14"/>
      <c r="U9" s="14"/>
      <c r="V9" s="14">
        <v>17.728923028236604</v>
      </c>
      <c r="W9"/>
    </row>
    <row r="10" spans="1:23" ht="15">
      <c r="A10" s="650" t="s">
        <v>59</v>
      </c>
      <c r="B10" s="650" t="s">
        <v>60</v>
      </c>
      <c r="C10" s="3" t="s">
        <v>17</v>
      </c>
      <c r="D10" s="14">
        <v>16.938904871032229</v>
      </c>
      <c r="E10" s="14">
        <v>16.813513372608313</v>
      </c>
      <c r="F10" s="14"/>
      <c r="G10" s="14">
        <v>40.592371617302369</v>
      </c>
      <c r="H10" s="14">
        <v>41.291409912045083</v>
      </c>
      <c r="I10" s="14"/>
      <c r="J10" s="14">
        <v>40.592100614710667</v>
      </c>
      <c r="K10" s="14">
        <v>19.513533105414222</v>
      </c>
      <c r="L10" s="14">
        <v>17.972865867872628</v>
      </c>
      <c r="M10" s="14">
        <v>91.492776886035301</v>
      </c>
      <c r="N10" s="14">
        <v>17.653846153846153</v>
      </c>
      <c r="O10" s="14">
        <v>18.532897892068423</v>
      </c>
      <c r="P10" s="14">
        <v>75.319148936170208</v>
      </c>
      <c r="Q10" s="14">
        <v>38.00109682856035</v>
      </c>
      <c r="R10" s="14">
        <v>0</v>
      </c>
      <c r="S10" s="14">
        <v>56.719072756483818</v>
      </c>
      <c r="T10" s="14"/>
      <c r="U10" s="14">
        <v>24.428920413148756</v>
      </c>
      <c r="V10" s="14">
        <v>34.390830615153234</v>
      </c>
      <c r="W10"/>
    </row>
    <row r="11" spans="1:23" ht="15">
      <c r="A11" s="650" t="s">
        <v>19</v>
      </c>
      <c r="B11" s="650" t="s">
        <v>20</v>
      </c>
      <c r="C11" s="3" t="s">
        <v>17</v>
      </c>
      <c r="D11" s="14">
        <v>25.819706498951781</v>
      </c>
      <c r="E11" s="14">
        <v>40.672002207810131</v>
      </c>
      <c r="F11" s="14"/>
      <c r="G11" s="14">
        <v>49.503565934834292</v>
      </c>
      <c r="H11" s="14">
        <v>24.09838893404218</v>
      </c>
      <c r="I11" s="14">
        <v>5.174458298896834</v>
      </c>
      <c r="J11" s="14">
        <v>37.610927932171457</v>
      </c>
      <c r="K11" s="14">
        <v>46.177053314121039</v>
      </c>
      <c r="L11" s="14">
        <v>31.481216969004429</v>
      </c>
      <c r="M11" s="14">
        <v>44.020331830823821</v>
      </c>
      <c r="N11" s="14">
        <v>45.236674944302251</v>
      </c>
      <c r="O11" s="14">
        <v>18.872088144337908</v>
      </c>
      <c r="P11" s="14">
        <v>39.024156096624388</v>
      </c>
      <c r="Q11" s="14">
        <v>47.712923249060928</v>
      </c>
      <c r="R11" s="14">
        <v>34.966665112592658</v>
      </c>
      <c r="S11" s="14">
        <v>27.066075144281733</v>
      </c>
      <c r="T11" s="14"/>
      <c r="U11" s="14">
        <v>18.41076923076923</v>
      </c>
      <c r="V11" s="14">
        <v>33.490437740164062</v>
      </c>
      <c r="W11"/>
    </row>
    <row r="12" spans="1:23" ht="15">
      <c r="A12" s="650" t="s">
        <v>61</v>
      </c>
      <c r="B12" s="650" t="s">
        <v>62</v>
      </c>
      <c r="C12" s="3" t="s">
        <v>17</v>
      </c>
      <c r="D12" s="14">
        <v>33.852342725787047</v>
      </c>
      <c r="E12" s="14">
        <v>33.896460730705407</v>
      </c>
      <c r="F12" s="14"/>
      <c r="G12" s="14">
        <v>42.850749608413516</v>
      </c>
      <c r="H12" s="14">
        <v>34.590418657334126</v>
      </c>
      <c r="I12" s="14">
        <v>0</v>
      </c>
      <c r="J12" s="14">
        <v>22.946047916979762</v>
      </c>
      <c r="K12" s="14">
        <v>16.128</v>
      </c>
      <c r="L12" s="14">
        <v>34.927275380648922</v>
      </c>
      <c r="M12" s="14">
        <v>37.178680350486516</v>
      </c>
      <c r="N12" s="14">
        <v>35.05006302471044</v>
      </c>
      <c r="O12" s="14">
        <v>22.328364791852529</v>
      </c>
      <c r="P12" s="14">
        <v>34.86</v>
      </c>
      <c r="Q12" s="14">
        <v>38.11916413749038</v>
      </c>
      <c r="R12" s="14">
        <v>30.66532258064516</v>
      </c>
      <c r="S12" s="14">
        <v>25.64022874191944</v>
      </c>
      <c r="T12" s="14"/>
      <c r="U12" s="14">
        <v>20.295487322889258</v>
      </c>
      <c r="V12" s="14">
        <v>28.958037873116407</v>
      </c>
      <c r="W12"/>
    </row>
    <row r="13" spans="1:23" ht="15">
      <c r="A13" s="650" t="s">
        <v>22</v>
      </c>
      <c r="B13" s="650" t="s">
        <v>23</v>
      </c>
      <c r="C13" s="3" t="s">
        <v>17</v>
      </c>
      <c r="D13" s="14">
        <v>23.583288249502807</v>
      </c>
      <c r="E13" s="14">
        <v>22.787696960827358</v>
      </c>
      <c r="F13" s="14"/>
      <c r="G13" s="14"/>
      <c r="H13" s="14">
        <v>35.438884331419196</v>
      </c>
      <c r="I13" s="14">
        <v>62.745377971304165</v>
      </c>
      <c r="J13" s="14">
        <v>10.217507241193207</v>
      </c>
      <c r="K13" s="14">
        <v>23.532549733190862</v>
      </c>
      <c r="L13" s="14">
        <v>0</v>
      </c>
      <c r="M13" s="14">
        <v>26.971502362574469</v>
      </c>
      <c r="N13" s="14">
        <v>39.511419435968612</v>
      </c>
      <c r="O13" s="14">
        <v>22.709439022998346</v>
      </c>
      <c r="P13" s="14">
        <v>24.96</v>
      </c>
      <c r="Q13" s="14">
        <v>30.474399666343846</v>
      </c>
      <c r="R13" s="14"/>
      <c r="S13" s="14">
        <v>24.081307045989039</v>
      </c>
      <c r="T13" s="14"/>
      <c r="U13" s="14">
        <v>12.002404800961919</v>
      </c>
      <c r="V13" s="14">
        <v>25.643984058733846</v>
      </c>
      <c r="W13"/>
    </row>
    <row r="14" spans="1:23" ht="15">
      <c r="A14" s="650" t="s">
        <v>65</v>
      </c>
      <c r="B14" s="650" t="s">
        <v>66</v>
      </c>
      <c r="C14" s="3" t="s">
        <v>17</v>
      </c>
      <c r="D14" s="14">
        <v>31.539888682745822</v>
      </c>
      <c r="E14" s="14">
        <v>164.6746347941567</v>
      </c>
      <c r="F14" s="14"/>
      <c r="G14" s="14">
        <v>17.254780040416598</v>
      </c>
      <c r="H14" s="14">
        <v>26.715538554261325</v>
      </c>
      <c r="I14" s="14">
        <v>0</v>
      </c>
      <c r="J14" s="14">
        <v>21.93357406249601</v>
      </c>
      <c r="K14" s="14">
        <v>29.153169828782971</v>
      </c>
      <c r="L14" s="14">
        <v>27.173189120068201</v>
      </c>
      <c r="M14" s="14">
        <v>32.032376810970234</v>
      </c>
      <c r="N14" s="14">
        <v>25.489565526462773</v>
      </c>
      <c r="O14" s="14">
        <v>24.838882921589686</v>
      </c>
      <c r="P14" s="14">
        <v>26.100652516312909</v>
      </c>
      <c r="Q14" s="14">
        <v>34.961451045055483</v>
      </c>
      <c r="R14" s="14">
        <v>21.451221786980039</v>
      </c>
      <c r="S14" s="14">
        <v>21.24</v>
      </c>
      <c r="T14" s="14"/>
      <c r="U14" s="14">
        <v>22.53570129520978</v>
      </c>
      <c r="V14" s="14">
        <v>32.943414186594282</v>
      </c>
      <c r="W14"/>
    </row>
    <row r="15" spans="1:23" ht="15">
      <c r="A15" s="650" t="s">
        <v>67</v>
      </c>
      <c r="B15" s="650" t="s">
        <v>68</v>
      </c>
      <c r="C15" s="3" t="s">
        <v>17</v>
      </c>
      <c r="D15" s="14">
        <v>11.224643881814064</v>
      </c>
      <c r="E15" s="14">
        <v>7.5724606145008266</v>
      </c>
      <c r="F15" s="14"/>
      <c r="G15" s="14">
        <v>19.764647385431342</v>
      </c>
      <c r="H15" s="14">
        <v>16.262778781653012</v>
      </c>
      <c r="I15" s="14">
        <v>0</v>
      </c>
      <c r="J15" s="14">
        <v>11.841959641421035</v>
      </c>
      <c r="K15" s="14">
        <v>36.540395574924567</v>
      </c>
      <c r="L15" s="14">
        <v>27.8924794203053</v>
      </c>
      <c r="M15" s="14">
        <v>25.461807289066403</v>
      </c>
      <c r="N15" s="14">
        <v>39.047760371398894</v>
      </c>
      <c r="O15" s="14">
        <v>20.303635820758398</v>
      </c>
      <c r="P15" s="14">
        <v>17.88</v>
      </c>
      <c r="Q15" s="14">
        <v>23.750089151986309</v>
      </c>
      <c r="R15" s="14">
        <v>27.420257414661439</v>
      </c>
      <c r="S15" s="14">
        <v>5.9443330691407521</v>
      </c>
      <c r="T15" s="14"/>
      <c r="U15" s="14">
        <v>11.567288965829285</v>
      </c>
      <c r="V15" s="14">
        <v>18.904658586430724</v>
      </c>
      <c r="W15"/>
    </row>
    <row r="16" spans="1:23" ht="15">
      <c r="A16" s="650" t="s">
        <v>90</v>
      </c>
      <c r="B16" s="650" t="s">
        <v>91</v>
      </c>
      <c r="C16" s="3" t="s">
        <v>17</v>
      </c>
      <c r="D16" s="14"/>
      <c r="E16" s="14"/>
      <c r="F16" s="14"/>
      <c r="G16" s="14"/>
      <c r="H16" s="14"/>
      <c r="I16" s="14">
        <v>0</v>
      </c>
      <c r="J16" s="14"/>
      <c r="K16" s="14">
        <v>39.104165889680374</v>
      </c>
      <c r="L16" s="14"/>
      <c r="M16" s="14"/>
      <c r="N16" s="14">
        <v>0</v>
      </c>
      <c r="O16" s="14">
        <v>32.750582750582751</v>
      </c>
      <c r="P16" s="14"/>
      <c r="Q16" s="14"/>
      <c r="R16" s="14"/>
      <c r="S16" s="14"/>
      <c r="T16" s="14"/>
      <c r="U16" s="14"/>
      <c r="V16" s="14">
        <v>17.963687160065781</v>
      </c>
      <c r="W16"/>
    </row>
    <row r="17" spans="1:23" ht="15">
      <c r="A17" s="650" t="s">
        <v>24</v>
      </c>
      <c r="B17" s="650" t="s">
        <v>25</v>
      </c>
      <c r="C17" s="3" t="s">
        <v>17</v>
      </c>
      <c r="D17" s="14">
        <v>24.491938462826901</v>
      </c>
      <c r="E17" s="14">
        <v>21.391306000525834</v>
      </c>
      <c r="F17" s="14"/>
      <c r="G17" s="14">
        <v>37.243253323387592</v>
      </c>
      <c r="H17" s="14">
        <v>24.149009360423651</v>
      </c>
      <c r="I17" s="14">
        <v>1.7309772809231878</v>
      </c>
      <c r="J17" s="14">
        <v>61.110864787144422</v>
      </c>
      <c r="K17" s="14">
        <v>29.635756622509462</v>
      </c>
      <c r="L17" s="14">
        <v>27.921990735560676</v>
      </c>
      <c r="M17" s="14">
        <v>96.965924731088535</v>
      </c>
      <c r="N17" s="14">
        <v>8.6804140516749531</v>
      </c>
      <c r="O17" s="14">
        <v>16.171572078556643</v>
      </c>
      <c r="P17" s="14">
        <v>26.84702684702685</v>
      </c>
      <c r="Q17" s="14">
        <v>29.67816048424255</v>
      </c>
      <c r="R17" s="14">
        <v>13.714330987310349</v>
      </c>
      <c r="S17" s="14">
        <v>19.362139283363284</v>
      </c>
      <c r="T17" s="14"/>
      <c r="U17" s="14">
        <v>12.310344827586206</v>
      </c>
      <c r="V17" s="14">
        <v>28.212813116509444</v>
      </c>
      <c r="W17"/>
    </row>
    <row r="18" spans="1:23" ht="15">
      <c r="A18" s="650" t="s">
        <v>78</v>
      </c>
      <c r="B18" s="650" t="s">
        <v>79</v>
      </c>
      <c r="C18" s="3" t="s">
        <v>17</v>
      </c>
      <c r="D18" s="14">
        <v>31.094527363184081</v>
      </c>
      <c r="E18" s="14">
        <v>27.20269619643717</v>
      </c>
      <c r="F18" s="14"/>
      <c r="G18" s="14">
        <v>90.951492537313442</v>
      </c>
      <c r="H18" s="14">
        <v>20.860572922857482</v>
      </c>
      <c r="I18" s="14">
        <v>0</v>
      </c>
      <c r="J18" s="14">
        <v>95.659875996457046</v>
      </c>
      <c r="K18" s="14">
        <v>189.32038834951459</v>
      </c>
      <c r="L18" s="14">
        <v>13.564536428471543</v>
      </c>
      <c r="M18" s="14">
        <v>118.03161773445858</v>
      </c>
      <c r="N18" s="14">
        <v>70.588235294117652</v>
      </c>
      <c r="O18" s="14">
        <v>36.653883884776604</v>
      </c>
      <c r="P18" s="14">
        <v>42.5</v>
      </c>
      <c r="Q18" s="14">
        <v>106.34328358208957</v>
      </c>
      <c r="R18" s="14">
        <v>16.791044776119406</v>
      </c>
      <c r="S18" s="14">
        <v>51.772388059701498</v>
      </c>
      <c r="T18" s="14"/>
      <c r="U18" s="14">
        <v>38.816108685104311</v>
      </c>
      <c r="V18" s="14">
        <v>59.384415738162687</v>
      </c>
      <c r="W18"/>
    </row>
    <row r="19" spans="1:23" ht="15">
      <c r="A19" s="650" t="s">
        <v>80</v>
      </c>
      <c r="B19" s="650" t="s">
        <v>81</v>
      </c>
      <c r="C19" s="3" t="s">
        <v>17</v>
      </c>
      <c r="D19" s="14">
        <v>41.683326669332267</v>
      </c>
      <c r="E19" s="14">
        <v>13.729977116704806</v>
      </c>
      <c r="F19" s="14"/>
      <c r="G19" s="14">
        <v>38.875681722835971</v>
      </c>
      <c r="H19" s="14">
        <v>42.797775342692333</v>
      </c>
      <c r="I19" s="14"/>
      <c r="J19" s="14">
        <v>131.06796116504856</v>
      </c>
      <c r="K19" s="14">
        <v>64.093959731543634</v>
      </c>
      <c r="L19" s="14">
        <v>26.015198843768939</v>
      </c>
      <c r="M19" s="14">
        <v>219.7213290460879</v>
      </c>
      <c r="N19" s="14">
        <v>38.76</v>
      </c>
      <c r="O19" s="14">
        <v>22.469761190943863</v>
      </c>
      <c r="P19" s="14">
        <v>38.366834170854275</v>
      </c>
      <c r="Q19" s="14">
        <v>43.85221328591809</v>
      </c>
      <c r="R19" s="14">
        <v>56.293207505761004</v>
      </c>
      <c r="S19" s="14">
        <v>49.503565934834292</v>
      </c>
      <c r="T19" s="14"/>
      <c r="U19" s="14">
        <v>35.640356403564034</v>
      </c>
      <c r="V19" s="14">
        <v>57.524743208659331</v>
      </c>
      <c r="W19"/>
    </row>
    <row r="20" spans="1:23" ht="15">
      <c r="A20" s="650" t="s">
        <v>84</v>
      </c>
      <c r="B20" s="3" t="s">
        <v>1222</v>
      </c>
      <c r="C20" s="3" t="s">
        <v>17</v>
      </c>
      <c r="D20" s="14">
        <v>36.953397659618147</v>
      </c>
      <c r="E20" s="14">
        <v>0</v>
      </c>
      <c r="F20" s="14"/>
      <c r="G20" s="14">
        <v>81.156716417910459</v>
      </c>
      <c r="H20" s="14">
        <v>23.782876329043088</v>
      </c>
      <c r="I20" s="14"/>
      <c r="J20" s="14">
        <v>29.126213592233011</v>
      </c>
      <c r="K20" s="14">
        <v>44.29530201342282</v>
      </c>
      <c r="L20" s="14">
        <v>23.503077783995522</v>
      </c>
      <c r="M20" s="14">
        <v>61.567164179104473</v>
      </c>
      <c r="N20" s="14">
        <v>84.741068955967876</v>
      </c>
      <c r="O20" s="14">
        <v>23.560372158561098</v>
      </c>
      <c r="P20" s="14">
        <v>29.881195247809913</v>
      </c>
      <c r="Q20" s="14">
        <v>39.792746113989637</v>
      </c>
      <c r="R20" s="14">
        <v>52.232309414251958</v>
      </c>
      <c r="S20" s="14">
        <v>28.618631421871669</v>
      </c>
      <c r="T20" s="14"/>
      <c r="U20" s="14">
        <v>29.304468871501943</v>
      </c>
      <c r="V20" s="14">
        <v>39.23436934395211</v>
      </c>
      <c r="W20"/>
    </row>
    <row r="21" spans="1:23" ht="15">
      <c r="A21" s="650" t="s">
        <v>69</v>
      </c>
      <c r="B21" s="650" t="s">
        <v>70</v>
      </c>
      <c r="C21" s="3" t="s">
        <v>17</v>
      </c>
      <c r="D21" s="14">
        <v>21.264967861920454</v>
      </c>
      <c r="E21" s="14">
        <v>23.401815197832835</v>
      </c>
      <c r="F21" s="14"/>
      <c r="G21" s="14">
        <v>34.426666666666669</v>
      </c>
      <c r="H21" s="14">
        <v>16.411422457032035</v>
      </c>
      <c r="I21" s="14"/>
      <c r="J21" s="14">
        <v>56.462358427714854</v>
      </c>
      <c r="K21" s="14">
        <v>26.39783738024537</v>
      </c>
      <c r="L21" s="14">
        <v>15.152968255490553</v>
      </c>
      <c r="M21" s="14">
        <v>29.992662345603524</v>
      </c>
      <c r="N21" s="14">
        <v>28.468991420888639</v>
      </c>
      <c r="O21" s="14">
        <v>23.526916948601869</v>
      </c>
      <c r="P21" s="14">
        <v>15.578210142200259</v>
      </c>
      <c r="Q21" s="14">
        <v>20.797154073653079</v>
      </c>
      <c r="R21" s="14">
        <v>25.747854345471211</v>
      </c>
      <c r="S21" s="14"/>
      <c r="T21" s="14"/>
      <c r="U21" s="14">
        <v>50.25</v>
      </c>
      <c r="V21" s="14">
        <v>27.70570182309438</v>
      </c>
      <c r="W21"/>
    </row>
    <row r="22" spans="1:23" ht="15">
      <c r="A22" s="650" t="s">
        <v>74</v>
      </c>
      <c r="B22" s="650" t="s">
        <v>75</v>
      </c>
      <c r="C22" s="3" t="s">
        <v>17</v>
      </c>
      <c r="D22" s="14">
        <v>91.24929656724818</v>
      </c>
      <c r="E22" s="14">
        <v>38.154392191659269</v>
      </c>
      <c r="F22" s="14"/>
      <c r="G22" s="14"/>
      <c r="H22" s="14">
        <v>34.991974317817011</v>
      </c>
      <c r="I22" s="14">
        <v>0</v>
      </c>
      <c r="J22" s="14">
        <v>44.031311154598825</v>
      </c>
      <c r="K22" s="14">
        <v>58.708414872798436</v>
      </c>
      <c r="L22" s="14">
        <v>36.189528665588853</v>
      </c>
      <c r="M22" s="14">
        <v>0</v>
      </c>
      <c r="N22" s="14">
        <v>0</v>
      </c>
      <c r="O22" s="14">
        <v>21.576999449970632</v>
      </c>
      <c r="P22" s="14">
        <v>32.386363636363633</v>
      </c>
      <c r="Q22" s="14">
        <v>34.552153317440172</v>
      </c>
      <c r="R22" s="14"/>
      <c r="S22" s="14">
        <v>0</v>
      </c>
      <c r="T22" s="14"/>
      <c r="U22" s="14">
        <v>24.64</v>
      </c>
      <c r="V22" s="14">
        <v>29.748602440963214</v>
      </c>
      <c r="W22"/>
    </row>
    <row r="23" spans="1:23" ht="15">
      <c r="A23" s="650" t="s">
        <v>146</v>
      </c>
      <c r="B23" s="650" t="s">
        <v>902</v>
      </c>
      <c r="C23" s="3" t="s">
        <v>17</v>
      </c>
      <c r="D23" s="14">
        <v>37.056990033478279</v>
      </c>
      <c r="E23" s="14">
        <v>34.889481257814161</v>
      </c>
      <c r="F23" s="14"/>
      <c r="G23" s="14">
        <v>0</v>
      </c>
      <c r="H23" s="14">
        <v>27.391482340681563</v>
      </c>
      <c r="I23" s="14">
        <v>0</v>
      </c>
      <c r="J23" s="14">
        <v>25.757995019172235</v>
      </c>
      <c r="K23" s="14">
        <v>29.998795229107266</v>
      </c>
      <c r="L23" s="14">
        <v>25.912996777658432</v>
      </c>
      <c r="M23" s="14">
        <v>59.672571970895284</v>
      </c>
      <c r="N23" s="14">
        <v>0</v>
      </c>
      <c r="O23" s="14">
        <v>22.320711769317228</v>
      </c>
      <c r="P23" s="14"/>
      <c r="Q23" s="14"/>
      <c r="R23" s="14">
        <v>38.761755068332576</v>
      </c>
      <c r="S23" s="14">
        <v>33.493298853718578</v>
      </c>
      <c r="T23" s="14"/>
      <c r="U23" s="14">
        <v>24.750618765469138</v>
      </c>
      <c r="V23" s="14">
        <v>25.71476407754605</v>
      </c>
      <c r="W23"/>
    </row>
    <row r="24" spans="1:23" ht="15">
      <c r="A24" s="650" t="s">
        <v>180</v>
      </c>
      <c r="B24" s="650" t="s">
        <v>181</v>
      </c>
      <c r="C24" s="3" t="s">
        <v>17</v>
      </c>
      <c r="D24" s="14">
        <v>30.927835051546392</v>
      </c>
      <c r="E24" s="14">
        <v>226.85788787483702</v>
      </c>
      <c r="F24" s="14"/>
      <c r="G24" s="14"/>
      <c r="H24" s="14">
        <v>34.739151633349586</v>
      </c>
      <c r="I24" s="14">
        <v>0</v>
      </c>
      <c r="J24" s="14">
        <v>78.688524590163937</v>
      </c>
      <c r="K24" s="14">
        <v>37.780006686726843</v>
      </c>
      <c r="L24" s="14">
        <v>67.711247901510902</v>
      </c>
      <c r="M24" s="14"/>
      <c r="N24" s="14">
        <v>0</v>
      </c>
      <c r="O24" s="14">
        <v>26.984377465677763</v>
      </c>
      <c r="P24" s="14"/>
      <c r="Q24" s="14"/>
      <c r="R24" s="14">
        <v>34.072471606273659</v>
      </c>
      <c r="S24" s="14">
        <v>23.495773247140725</v>
      </c>
      <c r="T24" s="14"/>
      <c r="U24" s="14">
        <v>25.776103104412417</v>
      </c>
      <c r="V24" s="14">
        <v>48.919448263469938</v>
      </c>
      <c r="W24"/>
    </row>
    <row r="25" spans="1:23" ht="15">
      <c r="A25" s="650" t="s">
        <v>189</v>
      </c>
      <c r="B25" s="650" t="s">
        <v>190</v>
      </c>
      <c r="C25" s="3" t="s">
        <v>17</v>
      </c>
      <c r="D25" s="14">
        <v>25.444655190924383</v>
      </c>
      <c r="E25" s="14">
        <v>45.050055617352619</v>
      </c>
      <c r="F25" s="14"/>
      <c r="G25" s="14">
        <v>30.783582089552244</v>
      </c>
      <c r="H25" s="14">
        <v>18.190298507462689</v>
      </c>
      <c r="I25" s="14">
        <v>0</v>
      </c>
      <c r="J25" s="14">
        <v>20.799742018703643</v>
      </c>
      <c r="K25" s="14">
        <v>17.120796732501539</v>
      </c>
      <c r="L25" s="14">
        <v>24.783477681545637</v>
      </c>
      <c r="M25" s="14">
        <v>154.20560747663552</v>
      </c>
      <c r="N25" s="14">
        <v>28.666666666666668</v>
      </c>
      <c r="O25" s="14">
        <v>13.984058173682003</v>
      </c>
      <c r="P25" s="14">
        <v>30</v>
      </c>
      <c r="Q25" s="14">
        <v>22.388059701492541</v>
      </c>
      <c r="R25" s="14">
        <v>55.400111919418009</v>
      </c>
      <c r="S25" s="14">
        <v>17.899594462312965</v>
      </c>
      <c r="T25" s="14"/>
      <c r="U25" s="14">
        <v>17.007365720433668</v>
      </c>
      <c r="V25" s="14">
        <v>32.607754497417758</v>
      </c>
      <c r="W25"/>
    </row>
    <row r="26" spans="1:23" ht="15">
      <c r="A26" s="651" t="s">
        <v>194</v>
      </c>
      <c r="B26" s="651" t="s">
        <v>195</v>
      </c>
      <c r="C26" s="51" t="s">
        <v>17</v>
      </c>
      <c r="D26" s="52">
        <v>17.532649354192547</v>
      </c>
      <c r="E26" s="52">
        <v>18.370430053378993</v>
      </c>
      <c r="F26" s="52"/>
      <c r="G26" s="52">
        <v>34.463038018748293</v>
      </c>
      <c r="H26" s="52">
        <v>26.639147547278487</v>
      </c>
      <c r="I26" s="52"/>
      <c r="J26" s="52">
        <v>9.7638451323977389</v>
      </c>
      <c r="K26" s="52">
        <v>17.354530633187952</v>
      </c>
      <c r="L26" s="52">
        <v>21.757599618723969</v>
      </c>
      <c r="M26" s="52">
        <v>0</v>
      </c>
      <c r="N26" s="52">
        <v>14.978601997146933</v>
      </c>
      <c r="O26" s="52">
        <v>22.32</v>
      </c>
      <c r="P26" s="52"/>
      <c r="Q26" s="52">
        <v>50.39838725160795</v>
      </c>
      <c r="R26" s="52">
        <v>25.019203335893778</v>
      </c>
      <c r="S26" s="52">
        <v>16.78895659743813</v>
      </c>
      <c r="T26" s="52"/>
      <c r="U26" s="52">
        <v>22.941176470588236</v>
      </c>
      <c r="V26" s="52">
        <v>21.309111857898785</v>
      </c>
      <c r="W26"/>
    </row>
    <row r="27" spans="1:23" ht="15">
      <c r="A27" s="650" t="s">
        <v>28</v>
      </c>
      <c r="B27" s="650" t="s">
        <v>29</v>
      </c>
      <c r="C27" s="3" t="s">
        <v>30</v>
      </c>
      <c r="D27" s="14">
        <v>10.505183906993334</v>
      </c>
      <c r="E27" s="14">
        <v>55.127943725150374</v>
      </c>
      <c r="F27" s="14"/>
      <c r="G27" s="14">
        <v>16.463755760982497</v>
      </c>
      <c r="H27" s="14">
        <v>14.351818468890716</v>
      </c>
      <c r="I27" s="14"/>
      <c r="J27" s="14">
        <v>12.176894069249229</v>
      </c>
      <c r="K27" s="14">
        <v>13.500135001350014</v>
      </c>
      <c r="L27" s="14">
        <v>26.652841701664219</v>
      </c>
      <c r="M27" s="14">
        <v>40.138612630532073</v>
      </c>
      <c r="N27" s="14">
        <v>11.047527618819046</v>
      </c>
      <c r="O27" s="14">
        <v>16.168058294521604</v>
      </c>
      <c r="P27" s="14">
        <v>24.784691645205061</v>
      </c>
      <c r="Q27" s="14">
        <v>34.057134864855414</v>
      </c>
      <c r="R27" s="14">
        <v>47.264653641207815</v>
      </c>
      <c r="S27" s="14">
        <v>0.14182832469231132</v>
      </c>
      <c r="T27" s="14"/>
      <c r="U27" s="14">
        <v>26.364829952140951</v>
      </c>
      <c r="V27" s="14">
        <v>23.249727307083642</v>
      </c>
      <c r="W27"/>
    </row>
    <row r="28" spans="1:23" ht="15">
      <c r="A28" s="650" t="s">
        <v>167</v>
      </c>
      <c r="B28" s="650" t="s">
        <v>168</v>
      </c>
      <c r="C28" s="3" t="s">
        <v>169</v>
      </c>
      <c r="D28" s="14">
        <v>18.440871158151843</v>
      </c>
      <c r="E28" s="14">
        <v>69.408740359897166</v>
      </c>
      <c r="F28" s="14"/>
      <c r="G28" s="14">
        <v>0</v>
      </c>
      <c r="H28" s="14">
        <v>0</v>
      </c>
      <c r="I28" s="14"/>
      <c r="J28" s="14">
        <v>30.545112781954884</v>
      </c>
      <c r="K28" s="14">
        <v>3.6000175610612737</v>
      </c>
      <c r="L28" s="14">
        <v>20.52692160122778</v>
      </c>
      <c r="M28" s="14">
        <v>0</v>
      </c>
      <c r="N28" s="14">
        <v>2.2987150772132501</v>
      </c>
      <c r="O28" s="14">
        <v>30.584081358629437</v>
      </c>
      <c r="P28" s="14">
        <v>7.0408163265306118</v>
      </c>
      <c r="Q28" s="14">
        <v>17.011116914123704</v>
      </c>
      <c r="R28" s="14">
        <v>76.962943767815503</v>
      </c>
      <c r="S28" s="14">
        <v>27.047192687931354</v>
      </c>
      <c r="T28" s="14"/>
      <c r="U28" s="14">
        <v>6.0001371459919079</v>
      </c>
      <c r="V28" s="14">
        <v>20.631111116035246</v>
      </c>
      <c r="W28"/>
    </row>
    <row r="29" spans="1:23" ht="15">
      <c r="A29" s="650" t="s">
        <v>34</v>
      </c>
      <c r="B29" s="650" t="s">
        <v>35</v>
      </c>
      <c r="C29" s="3" t="s">
        <v>36</v>
      </c>
      <c r="D29" s="14">
        <v>29.720804563194235</v>
      </c>
      <c r="E29" s="14">
        <v>41.436464088397798</v>
      </c>
      <c r="F29" s="14"/>
      <c r="G29" s="14">
        <v>22.388059701492537</v>
      </c>
      <c r="H29" s="14">
        <v>47.61904761904762</v>
      </c>
      <c r="I29" s="14"/>
      <c r="J29" s="14">
        <v>52.924791086350972</v>
      </c>
      <c r="K29" s="14">
        <v>47.844063792085059</v>
      </c>
      <c r="L29" s="14">
        <v>49.875</v>
      </c>
      <c r="M29" s="14">
        <v>289.32968536251707</v>
      </c>
      <c r="N29" s="14">
        <v>49.5</v>
      </c>
      <c r="O29" s="14">
        <v>4.3406366267052494</v>
      </c>
      <c r="P29" s="14">
        <v>50</v>
      </c>
      <c r="Q29" s="14">
        <v>40.419161676646709</v>
      </c>
      <c r="R29" s="14">
        <v>144.98141263940519</v>
      </c>
      <c r="S29" s="14">
        <v>54.003724394785849</v>
      </c>
      <c r="T29" s="14"/>
      <c r="U29" s="14">
        <v>45</v>
      </c>
      <c r="V29" s="14">
        <v>64.625523436708548</v>
      </c>
      <c r="W29"/>
    </row>
    <row r="30" spans="1:23" ht="15">
      <c r="A30" s="650" t="s">
        <v>37</v>
      </c>
      <c r="B30" s="650" t="s">
        <v>38</v>
      </c>
      <c r="C30" s="3" t="s">
        <v>36</v>
      </c>
      <c r="D30" s="14">
        <v>25.613425642782005</v>
      </c>
      <c r="E30" s="14">
        <v>15.641430073606729</v>
      </c>
      <c r="F30" s="14"/>
      <c r="G30" s="14">
        <v>25.171891387950122</v>
      </c>
      <c r="H30" s="14">
        <v>157.24682564261383</v>
      </c>
      <c r="I30" s="14"/>
      <c r="J30" s="14">
        <v>29.942897930049966</v>
      </c>
      <c r="K30" s="14">
        <v>23.58525009127419</v>
      </c>
      <c r="L30" s="14">
        <v>26.865845603947317</v>
      </c>
      <c r="M30" s="14">
        <v>656.21370499419288</v>
      </c>
      <c r="N30" s="14">
        <v>41.174999999999997</v>
      </c>
      <c r="O30" s="14">
        <v>0</v>
      </c>
      <c r="P30" s="14">
        <v>50.333333333333336</v>
      </c>
      <c r="Q30" s="14">
        <v>33.02829005435035</v>
      </c>
      <c r="R30" s="14">
        <v>51.139896373056999</v>
      </c>
      <c r="S30" s="14">
        <v>41.036269430051817</v>
      </c>
      <c r="T30" s="14"/>
      <c r="U30" s="14">
        <v>34.775086505190316</v>
      </c>
      <c r="V30" s="14">
        <v>80.78460980415997</v>
      </c>
      <c r="W30"/>
    </row>
    <row r="31" spans="1:23" ht="15">
      <c r="A31" s="650" t="s">
        <v>41</v>
      </c>
      <c r="B31" s="650" t="s">
        <v>42</v>
      </c>
      <c r="C31" s="3" t="s">
        <v>36</v>
      </c>
      <c r="D31" s="14">
        <v>41.836568259663999</v>
      </c>
      <c r="E31" s="14">
        <v>11.889035667107001</v>
      </c>
      <c r="F31" s="14"/>
      <c r="G31" s="14">
        <v>49.217002237136469</v>
      </c>
      <c r="H31" s="14">
        <v>28.189254919301348</v>
      </c>
      <c r="I31" s="14"/>
      <c r="J31" s="14">
        <v>37.155537207142117</v>
      </c>
      <c r="K31" s="14">
        <v>58.695652173913039</v>
      </c>
      <c r="L31" s="14">
        <v>35.266686097347716</v>
      </c>
      <c r="M31" s="14">
        <v>3025.4629629629635</v>
      </c>
      <c r="N31" s="14">
        <v>11.77570093457944</v>
      </c>
      <c r="O31" s="14">
        <v>6.6882853668423179</v>
      </c>
      <c r="P31" s="14">
        <v>0</v>
      </c>
      <c r="Q31" s="14">
        <v>13.37295690936107</v>
      </c>
      <c r="R31" s="14">
        <v>21.380045291061677</v>
      </c>
      <c r="S31" s="14">
        <v>36.062176165803109</v>
      </c>
      <c r="T31" s="14"/>
      <c r="U31" s="14">
        <v>36.734693877551024</v>
      </c>
      <c r="V31" s="14">
        <v>227.58177053798494</v>
      </c>
      <c r="W31"/>
    </row>
    <row r="32" spans="1:23" s="51" customFormat="1" ht="15">
      <c r="A32" s="650" t="s">
        <v>43</v>
      </c>
      <c r="B32" s="650" t="s">
        <v>44</v>
      </c>
      <c r="C32" s="3" t="s">
        <v>36</v>
      </c>
      <c r="D32" s="14">
        <v>36.555645816409424</v>
      </c>
      <c r="E32" s="14">
        <v>0</v>
      </c>
      <c r="F32" s="14"/>
      <c r="G32" s="14">
        <v>0</v>
      </c>
      <c r="H32" s="14">
        <v>24.810475534114406</v>
      </c>
      <c r="I32" s="14"/>
      <c r="J32" s="14">
        <v>59.259259259259252</v>
      </c>
      <c r="K32" s="14">
        <v>111.11111111111111</v>
      </c>
      <c r="L32" s="14">
        <v>13.641133263378803</v>
      </c>
      <c r="M32" s="14">
        <v>206.58293633607622</v>
      </c>
      <c r="N32" s="14">
        <v>31.428571428571431</v>
      </c>
      <c r="O32" s="14">
        <v>4.4609665427509295</v>
      </c>
      <c r="P32" s="14">
        <v>38.82352941176471</v>
      </c>
      <c r="Q32" s="14">
        <v>51.97055002165439</v>
      </c>
      <c r="R32" s="14">
        <v>59.481443823080838</v>
      </c>
      <c r="S32" s="14">
        <v>38.017144986954904</v>
      </c>
      <c r="T32" s="14"/>
      <c r="U32" s="14">
        <v>45.882352941176471</v>
      </c>
      <c r="V32" s="14">
        <v>48.135008031753529</v>
      </c>
      <c r="W32"/>
    </row>
    <row r="33" spans="1:23" ht="15">
      <c r="A33" s="650" t="s">
        <v>45</v>
      </c>
      <c r="B33" s="650" t="s">
        <v>46</v>
      </c>
      <c r="C33" s="3" t="s">
        <v>36</v>
      </c>
      <c r="D33" s="14">
        <v>41.522491349480973</v>
      </c>
      <c r="E33" s="14">
        <v>0</v>
      </c>
      <c r="F33" s="14"/>
      <c r="G33" s="14">
        <v>33.457249070631967</v>
      </c>
      <c r="H33" s="14">
        <v>29.252437703141933</v>
      </c>
      <c r="I33" s="14"/>
      <c r="J33" s="14"/>
      <c r="K33" s="14"/>
      <c r="L33" s="14">
        <v>27.985074626865671</v>
      </c>
      <c r="M33" s="14">
        <v>1902.317880794702</v>
      </c>
      <c r="N33" s="14">
        <v>330</v>
      </c>
      <c r="O33" s="14">
        <v>35.248041775456919</v>
      </c>
      <c r="P33" s="14">
        <v>46.666666666666664</v>
      </c>
      <c r="Q33" s="14">
        <v>40.59040590405904</v>
      </c>
      <c r="R33" s="14">
        <v>50.330452465683784</v>
      </c>
      <c r="S33" s="14">
        <v>19.008572493477452</v>
      </c>
      <c r="T33" s="14"/>
      <c r="U33" s="14">
        <v>42.857142857142854</v>
      </c>
      <c r="V33" s="14">
        <v>199.94126274671603</v>
      </c>
      <c r="W33"/>
    </row>
    <row r="34" spans="1:23" ht="15">
      <c r="A34" s="650" t="s">
        <v>47</v>
      </c>
      <c r="B34" s="650" t="s">
        <v>48</v>
      </c>
      <c r="C34" s="3" t="s">
        <v>36</v>
      </c>
      <c r="D34" s="14">
        <v>23.506366307541626</v>
      </c>
      <c r="E34" s="14">
        <v>39.215686274509807</v>
      </c>
      <c r="F34" s="14"/>
      <c r="G34" s="14">
        <v>64.257028112449802</v>
      </c>
      <c r="H34" s="14"/>
      <c r="I34" s="14"/>
      <c r="J34" s="14"/>
      <c r="K34" s="14"/>
      <c r="L34" s="14">
        <v>42.990654205607484</v>
      </c>
      <c r="M34" s="14">
        <v>0</v>
      </c>
      <c r="N34" s="14">
        <v>307.5</v>
      </c>
      <c r="O34" s="14">
        <v>27.540563620836892</v>
      </c>
      <c r="P34" s="14"/>
      <c r="Q34" s="14">
        <v>64.516129032258078</v>
      </c>
      <c r="R34" s="14">
        <v>22.87747839349263</v>
      </c>
      <c r="S34" s="14">
        <v>50.139275766016709</v>
      </c>
      <c r="T34" s="14"/>
      <c r="U34" s="14"/>
      <c r="V34" s="14">
        <v>64.254318171271308</v>
      </c>
      <c r="W34"/>
    </row>
    <row r="35" spans="1:23" ht="15">
      <c r="A35" s="650" t="s">
        <v>49</v>
      </c>
      <c r="B35" s="650" t="s">
        <v>50</v>
      </c>
      <c r="C35" s="3" t="s">
        <v>36</v>
      </c>
      <c r="D35" s="14">
        <v>44.174967518406234</v>
      </c>
      <c r="E35" s="14">
        <v>25.341130604288498</v>
      </c>
      <c r="F35" s="14"/>
      <c r="G35" s="14">
        <v>94.795539033457246</v>
      </c>
      <c r="H35" s="14">
        <v>51.391862955032117</v>
      </c>
      <c r="I35" s="14"/>
      <c r="J35" s="14">
        <v>36.090225563909776</v>
      </c>
      <c r="K35" s="14">
        <v>64.555420219244823</v>
      </c>
      <c r="L35" s="14">
        <v>25.182651950878284</v>
      </c>
      <c r="M35" s="14">
        <v>467.26395589248796</v>
      </c>
      <c r="N35" s="14">
        <v>34.615384615384613</v>
      </c>
      <c r="O35" s="14">
        <v>17.749863462588749</v>
      </c>
      <c r="P35" s="14">
        <v>45</v>
      </c>
      <c r="Q35" s="14">
        <v>21.824060352957023</v>
      </c>
      <c r="R35" s="14">
        <v>19.539427773900908</v>
      </c>
      <c r="S35" s="14">
        <v>18.886401790710686</v>
      </c>
      <c r="T35" s="14"/>
      <c r="U35" s="14">
        <v>32.790697674418603</v>
      </c>
      <c r="V35" s="14">
        <v>66.61343929384438</v>
      </c>
      <c r="W35"/>
    </row>
    <row r="36" spans="1:23" s="28" customFormat="1" ht="15">
      <c r="A36" s="650" t="s">
        <v>71</v>
      </c>
      <c r="B36" s="650" t="s">
        <v>72</v>
      </c>
      <c r="C36" s="3" t="s">
        <v>73</v>
      </c>
      <c r="D36" s="14">
        <v>23.544830776347236</v>
      </c>
      <c r="E36" s="14">
        <v>30.429998307093278</v>
      </c>
      <c r="F36" s="14"/>
      <c r="G36" s="14">
        <v>22.094811914417566</v>
      </c>
      <c r="H36" s="14">
        <v>33.326798666928056</v>
      </c>
      <c r="I36" s="14"/>
      <c r="J36" s="14">
        <v>21.573571075819405</v>
      </c>
      <c r="K36" s="14">
        <v>32</v>
      </c>
      <c r="L36" s="14">
        <v>32.41126375334121</v>
      </c>
      <c r="M36" s="14">
        <v>560.82399382912115</v>
      </c>
      <c r="N36" s="14">
        <v>23.385897054448083</v>
      </c>
      <c r="O36" s="14">
        <v>30.455772767108577</v>
      </c>
      <c r="P36" s="14">
        <v>47.412189648758599</v>
      </c>
      <c r="Q36" s="14">
        <v>44.843171422348078</v>
      </c>
      <c r="R36" s="14">
        <v>31.262569015320487</v>
      </c>
      <c r="S36" s="14">
        <v>39.199353515260768</v>
      </c>
      <c r="T36" s="14"/>
      <c r="U36" s="14">
        <v>29.505882352941178</v>
      </c>
      <c r="V36" s="14">
        <v>66.818006939950251</v>
      </c>
      <c r="W36"/>
    </row>
    <row r="37" spans="1:23" ht="15">
      <c r="A37" s="650" t="s">
        <v>149</v>
      </c>
      <c r="B37" s="650" t="s">
        <v>150</v>
      </c>
      <c r="C37" s="3" t="s">
        <v>73</v>
      </c>
      <c r="D37" s="14">
        <v>11.049723756906078</v>
      </c>
      <c r="E37" s="14">
        <v>22.25905754203173</v>
      </c>
      <c r="F37" s="14"/>
      <c r="G37" s="14">
        <v>23.652248028979333</v>
      </c>
      <c r="H37" s="14">
        <v>31.406128755598509</v>
      </c>
      <c r="I37" s="14"/>
      <c r="J37" s="14">
        <v>16.200294550810014</v>
      </c>
      <c r="K37" s="14">
        <v>47.828571428571429</v>
      </c>
      <c r="L37" s="14">
        <v>22.663682148852825</v>
      </c>
      <c r="M37" s="14">
        <v>62.944678379555683</v>
      </c>
      <c r="N37" s="14">
        <v>33.988635160413651</v>
      </c>
      <c r="O37" s="14">
        <v>21.456189075859061</v>
      </c>
      <c r="P37" s="14">
        <v>60.687101419461015</v>
      </c>
      <c r="Q37" s="14">
        <v>40.293306229127339</v>
      </c>
      <c r="R37" s="14">
        <v>33.855623950755451</v>
      </c>
      <c r="S37" s="14">
        <v>24.716053568401424</v>
      </c>
      <c r="T37" s="14"/>
      <c r="U37" s="14">
        <v>29.700106071807401</v>
      </c>
      <c r="V37" s="14">
        <v>32.180093337808728</v>
      </c>
      <c r="W37"/>
    </row>
    <row r="38" spans="1:23" ht="15">
      <c r="A38" s="650" t="s">
        <v>198</v>
      </c>
      <c r="B38" s="650" t="s">
        <v>199</v>
      </c>
      <c r="C38" s="497" t="s">
        <v>30</v>
      </c>
      <c r="D38" s="14">
        <v>58.828299866999714</v>
      </c>
      <c r="E38" s="14">
        <v>21.535806729939601</v>
      </c>
      <c r="F38" s="14"/>
      <c r="G38" s="14">
        <v>43.646944713870035</v>
      </c>
      <c r="H38" s="14">
        <v>49.05</v>
      </c>
      <c r="I38" s="14"/>
      <c r="J38" s="14">
        <v>45.132472974349277</v>
      </c>
      <c r="K38" s="14">
        <v>0</v>
      </c>
      <c r="L38" s="14">
        <v>6.7759381669740355</v>
      </c>
      <c r="M38" s="14">
        <v>78.553256852109627</v>
      </c>
      <c r="N38" s="14">
        <v>8.3342922426972201</v>
      </c>
      <c r="O38" s="14">
        <v>5.3100212400849607</v>
      </c>
      <c r="P38" s="14">
        <v>7.26</v>
      </c>
      <c r="Q38" s="14">
        <v>0</v>
      </c>
      <c r="R38" s="14">
        <v>27.339586442123217</v>
      </c>
      <c r="S38" s="14">
        <v>9.905583146864597</v>
      </c>
      <c r="T38" s="14"/>
      <c r="U38" s="14">
        <v>15.777610818933132</v>
      </c>
      <c r="V38" s="14">
        <v>25.163320879663029</v>
      </c>
      <c r="W38"/>
    </row>
    <row r="39" spans="1:23" ht="15">
      <c r="A39" s="650" t="s">
        <v>906</v>
      </c>
      <c r="B39" s="650" t="s">
        <v>912</v>
      </c>
      <c r="C39" s="3" t="s">
        <v>17</v>
      </c>
      <c r="D39" s="14">
        <v>97.319958077556521</v>
      </c>
      <c r="E39" s="14">
        <v>35.695086549833348</v>
      </c>
      <c r="F39" s="14"/>
      <c r="G39" s="14">
        <v>22.138157018408503</v>
      </c>
      <c r="H39" s="14">
        <v>27.704123617079638</v>
      </c>
      <c r="I39" s="14"/>
      <c r="J39" s="14">
        <v>38.691588785046726</v>
      </c>
      <c r="K39" s="14">
        <v>31.08</v>
      </c>
      <c r="L39" s="14">
        <v>26.591193312709805</v>
      </c>
      <c r="M39" s="14">
        <v>50.240770465489561</v>
      </c>
      <c r="N39" s="14">
        <v>17.514096102988873</v>
      </c>
      <c r="O39" s="14">
        <v>33.812341504649197</v>
      </c>
      <c r="P39" s="14">
        <v>21.703353219502159</v>
      </c>
      <c r="Q39" s="14">
        <v>53.076511503477796</v>
      </c>
      <c r="R39" s="14">
        <v>49.405745349890751</v>
      </c>
      <c r="S39" s="14">
        <v>41.25121217395629</v>
      </c>
      <c r="T39" s="14"/>
      <c r="U39" s="14">
        <v>21.747826140468558</v>
      </c>
      <c r="V39" s="14">
        <v>37.864797588070509</v>
      </c>
      <c r="W39"/>
    </row>
    <row r="40" spans="1:23" ht="15">
      <c r="A40" s="650" t="s">
        <v>1004</v>
      </c>
      <c r="B40" s="650" t="s">
        <v>1005</v>
      </c>
      <c r="C40" s="3" t="s">
        <v>17</v>
      </c>
      <c r="D40" s="14"/>
      <c r="E40" s="14">
        <v>29.423326555372363</v>
      </c>
      <c r="F40" s="14"/>
      <c r="G40" s="14"/>
      <c r="H40" s="14"/>
      <c r="I40" s="14"/>
      <c r="J40" s="14"/>
      <c r="K40" s="14"/>
      <c r="L40" s="14"/>
      <c r="M40" s="14"/>
      <c r="N40" s="14">
        <v>0</v>
      </c>
      <c r="O40" s="14"/>
      <c r="P40" s="14"/>
      <c r="Q40" s="14"/>
      <c r="R40" s="14"/>
      <c r="S40" s="14"/>
      <c r="T40" s="14"/>
      <c r="U40" s="14"/>
      <c r="V40" s="14">
        <v>14.711663277686181</v>
      </c>
      <c r="W40"/>
    </row>
    <row r="41" spans="1:23" ht="15">
      <c r="A41" s="650" t="s">
        <v>1007</v>
      </c>
      <c r="B41" s="650" t="s">
        <v>1009</v>
      </c>
      <c r="C41" s="3" t="s">
        <v>17</v>
      </c>
      <c r="D41" s="14">
        <v>0</v>
      </c>
      <c r="E41" s="14">
        <v>7.7967643427977391</v>
      </c>
      <c r="F41" s="14"/>
      <c r="G41" s="14">
        <v>16.081666899734305</v>
      </c>
      <c r="H41" s="14">
        <v>22.429906542056074</v>
      </c>
      <c r="I41" s="14"/>
      <c r="J41" s="14">
        <v>2.7251492343628341</v>
      </c>
      <c r="K41" s="14">
        <v>5.7600576005760065</v>
      </c>
      <c r="L41" s="14">
        <v>0.15984228894157765</v>
      </c>
      <c r="M41" s="14">
        <v>4</v>
      </c>
      <c r="N41" s="14">
        <v>0</v>
      </c>
      <c r="O41" s="14">
        <v>14.5153259884337</v>
      </c>
      <c r="P41" s="14">
        <v>280</v>
      </c>
      <c r="Q41" s="14">
        <v>8.1871345029239766</v>
      </c>
      <c r="R41" s="14">
        <v>22.129896557571644</v>
      </c>
      <c r="S41" s="14">
        <v>18.746502518186904</v>
      </c>
      <c r="T41" s="14"/>
      <c r="U41" s="14">
        <v>11.330255979857323</v>
      </c>
      <c r="V41" s="14">
        <v>27.590833497029472</v>
      </c>
      <c r="W41"/>
    </row>
    <row r="42" spans="1:23" ht="15">
      <c r="A42" s="650" t="s">
        <v>1006</v>
      </c>
      <c r="B42" s="650" t="s">
        <v>1008</v>
      </c>
      <c r="C42" s="3" t="s">
        <v>17</v>
      </c>
      <c r="D42" s="14">
        <v>33.07212932683408</v>
      </c>
      <c r="E42" s="14">
        <v>30.571774815467666</v>
      </c>
      <c r="F42" s="14"/>
      <c r="G42" s="14">
        <v>43.298277019467442</v>
      </c>
      <c r="H42" s="14">
        <v>121.26537785588751</v>
      </c>
      <c r="I42" s="14">
        <v>0</v>
      </c>
      <c r="J42" s="14">
        <v>27.207732027009136</v>
      </c>
      <c r="K42" s="14">
        <v>37.24832214765101</v>
      </c>
      <c r="L42" s="14">
        <v>28.911564625850342</v>
      </c>
      <c r="M42" s="14">
        <v>0</v>
      </c>
      <c r="N42" s="14">
        <v>849.6</v>
      </c>
      <c r="O42" s="14">
        <v>110.44176706827309</v>
      </c>
      <c r="P42" s="14">
        <v>82.142857142857139</v>
      </c>
      <c r="Q42" s="14"/>
      <c r="R42" s="14">
        <v>26.02126468942361</v>
      </c>
      <c r="S42" s="14">
        <v>30.208100246140077</v>
      </c>
      <c r="T42" s="14"/>
      <c r="U42" s="14">
        <v>17.34375</v>
      </c>
      <c r="V42" s="14">
        <v>95.822194464324056</v>
      </c>
      <c r="W42"/>
    </row>
    <row r="43" spans="1:23" ht="15">
      <c r="A43" s="650" t="s">
        <v>1037</v>
      </c>
      <c r="B43" s="650" t="s">
        <v>1038</v>
      </c>
      <c r="C43" s="3" t="s">
        <v>17</v>
      </c>
      <c r="D43" s="14">
        <v>5.1429306132944754</v>
      </c>
      <c r="E43" s="14">
        <v>21.588381525578964</v>
      </c>
      <c r="F43" s="14"/>
      <c r="G43" s="14">
        <v>26.569710529995806</v>
      </c>
      <c r="H43" s="14">
        <v>46.744186046511629</v>
      </c>
      <c r="I43" s="14"/>
      <c r="J43" s="14">
        <v>9.8980203959208151</v>
      </c>
      <c r="K43" s="14">
        <v>17.384521089875747</v>
      </c>
      <c r="L43" s="14">
        <v>20.985543292398567</v>
      </c>
      <c r="M43" s="14">
        <v>775.11627906976742</v>
      </c>
      <c r="N43" s="14">
        <v>45.428571428571431</v>
      </c>
      <c r="O43" s="14">
        <v>47.254456274674006</v>
      </c>
      <c r="P43" s="14">
        <v>200</v>
      </c>
      <c r="Q43" s="14">
        <v>37.691949744067003</v>
      </c>
      <c r="R43" s="14">
        <v>29.099048684946833</v>
      </c>
      <c r="S43" s="14">
        <v>27.51437898336701</v>
      </c>
      <c r="T43" s="14"/>
      <c r="U43" s="14">
        <v>27.325581395348838</v>
      </c>
      <c r="V43" s="14">
        <v>89.182903938287893</v>
      </c>
      <c r="W43"/>
    </row>
    <row r="44" spans="1:23" ht="15">
      <c r="A44" s="650" t="s">
        <v>778</v>
      </c>
      <c r="B44" s="650" t="s">
        <v>780</v>
      </c>
      <c r="C44" s="3" t="s">
        <v>17</v>
      </c>
      <c r="D44" s="14">
        <v>0</v>
      </c>
      <c r="E44" s="14"/>
      <c r="F44" s="14"/>
      <c r="G44" s="14"/>
      <c r="H44" s="14"/>
      <c r="I44" s="14"/>
      <c r="J44" s="14">
        <v>0</v>
      </c>
      <c r="K44" s="14"/>
      <c r="L44" s="14"/>
      <c r="M44" s="14"/>
      <c r="N44" s="14">
        <v>0</v>
      </c>
      <c r="O44" s="14">
        <v>0</v>
      </c>
      <c r="P44" s="14"/>
      <c r="Q44" s="14"/>
      <c r="R44" s="14"/>
      <c r="S44" s="14"/>
      <c r="T44" s="14"/>
      <c r="U44" s="14">
        <v>0</v>
      </c>
      <c r="V44" s="14">
        <v>0</v>
      </c>
      <c r="W44"/>
    </row>
    <row r="45" spans="1:23" ht="15">
      <c r="A45" s="497" t="s">
        <v>1176</v>
      </c>
      <c r="B45" s="3" t="s">
        <v>1182</v>
      </c>
      <c r="C45" s="3" t="s">
        <v>17</v>
      </c>
      <c r="D45" s="14">
        <v>0</v>
      </c>
      <c r="E45" s="14"/>
      <c r="F45" s="14"/>
      <c r="G45" s="14">
        <v>0</v>
      </c>
      <c r="H45" s="14">
        <v>0</v>
      </c>
      <c r="I45" s="14"/>
      <c r="J45" s="14">
        <v>0</v>
      </c>
      <c r="K45" s="14">
        <v>0</v>
      </c>
      <c r="L45" s="14">
        <v>0</v>
      </c>
      <c r="M45" s="14">
        <v>0</v>
      </c>
      <c r="N45" s="14">
        <v>770</v>
      </c>
      <c r="O45" s="14">
        <v>0</v>
      </c>
      <c r="P45" s="14"/>
      <c r="Q45" s="14"/>
      <c r="R45" s="14"/>
      <c r="S45" s="14">
        <v>0</v>
      </c>
      <c r="T45" s="14"/>
      <c r="U45" s="14">
        <v>1320</v>
      </c>
      <c r="V45" s="14">
        <v>190</v>
      </c>
      <c r="W45"/>
    </row>
    <row r="46" spans="1:23" ht="15">
      <c r="A46" s="497" t="s">
        <v>1184</v>
      </c>
      <c r="B46" s="3" t="s">
        <v>1224</v>
      </c>
      <c r="C46" s="3" t="s">
        <v>169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>
        <v>81.791882177610233</v>
      </c>
      <c r="P46" s="14"/>
      <c r="Q46" s="14"/>
      <c r="R46" s="14"/>
      <c r="S46" s="14"/>
      <c r="T46" s="14"/>
      <c r="U46" s="14">
        <v>0</v>
      </c>
      <c r="V46" s="14">
        <v>40.895941088805117</v>
      </c>
      <c r="W46"/>
    </row>
    <row r="47" spans="1:23" ht="15">
      <c r="A47" s="497" t="s">
        <v>88</v>
      </c>
      <c r="B47" s="3" t="s">
        <v>89</v>
      </c>
      <c r="C47" s="3" t="s">
        <v>31</v>
      </c>
      <c r="D47" s="14">
        <v>116.70480549199085</v>
      </c>
      <c r="E47" s="14">
        <v>52.837573385518589</v>
      </c>
      <c r="F47" s="14">
        <v>0</v>
      </c>
      <c r="G47" s="14">
        <v>39.179104477611943</v>
      </c>
      <c r="H47" s="14">
        <v>156.24999999999997</v>
      </c>
      <c r="I47" s="14"/>
      <c r="J47" s="14">
        <v>15.16245487364621</v>
      </c>
      <c r="K47" s="14">
        <v>3.3582089552238803</v>
      </c>
      <c r="L47" s="14">
        <v>39.179104477611943</v>
      </c>
      <c r="M47" s="14">
        <v>26.117237376668605</v>
      </c>
      <c r="N47" s="14">
        <v>70</v>
      </c>
      <c r="O47" s="14">
        <v>6.7365269461077855</v>
      </c>
      <c r="P47" s="14">
        <v>66</v>
      </c>
      <c r="Q47" s="14">
        <v>0</v>
      </c>
      <c r="R47" s="14">
        <v>13.059701492537313</v>
      </c>
      <c r="S47" s="14">
        <v>32.644178454842219</v>
      </c>
      <c r="T47" s="14"/>
      <c r="U47" s="14">
        <v>55.38461538461538</v>
      </c>
      <c r="V47" s="14">
        <v>43.288344457273411</v>
      </c>
      <c r="W47"/>
    </row>
    <row r="48" spans="1:23" ht="15">
      <c r="A48" s="497" t="s">
        <v>1188</v>
      </c>
      <c r="B48" s="3" t="s">
        <v>1223</v>
      </c>
      <c r="C48" s="3" t="s">
        <v>30</v>
      </c>
      <c r="D48" s="14">
        <v>0</v>
      </c>
      <c r="E48" s="14"/>
      <c r="F48" s="14"/>
      <c r="G48" s="14"/>
      <c r="H48" s="14">
        <v>0</v>
      </c>
      <c r="I48" s="14"/>
      <c r="J48" s="14"/>
      <c r="K48" s="14"/>
      <c r="L48" s="14"/>
      <c r="M48" s="14"/>
      <c r="N48" s="14"/>
      <c r="O48" s="14">
        <v>0</v>
      </c>
      <c r="P48" s="14"/>
      <c r="Q48" s="14"/>
      <c r="R48" s="14"/>
      <c r="S48" s="14"/>
      <c r="T48" s="14"/>
      <c r="U48" s="14"/>
      <c r="V48" s="14">
        <v>0</v>
      </c>
      <c r="W48"/>
    </row>
    <row r="49" spans="1:23" ht="15">
      <c r="A49" s="497" t="s">
        <v>1194</v>
      </c>
      <c r="B49" s="3" t="s">
        <v>1225</v>
      </c>
      <c r="C49" s="3" t="s">
        <v>30</v>
      </c>
      <c r="D49" s="14">
        <v>0</v>
      </c>
      <c r="E49" s="14"/>
      <c r="F49" s="14"/>
      <c r="G49" s="14"/>
      <c r="H49" s="14"/>
      <c r="I49" s="14"/>
      <c r="J49" s="14"/>
      <c r="K49" s="14">
        <v>0</v>
      </c>
      <c r="L49" s="14"/>
      <c r="M49" s="14"/>
      <c r="N49" s="14">
        <v>0</v>
      </c>
      <c r="O49" s="14">
        <v>0</v>
      </c>
      <c r="P49" s="14">
        <v>0</v>
      </c>
      <c r="Q49" s="14"/>
      <c r="R49" s="14"/>
      <c r="S49" s="14"/>
      <c r="T49" s="14"/>
      <c r="U49" s="14">
        <v>0</v>
      </c>
      <c r="V49" s="14">
        <v>0</v>
      </c>
      <c r="W49"/>
    </row>
    <row r="50" spans="1:23" ht="15">
      <c r="A50" s="497" t="s">
        <v>144</v>
      </c>
      <c r="B50" s="3" t="s">
        <v>145</v>
      </c>
      <c r="C50" s="3" t="s">
        <v>31</v>
      </c>
      <c r="D50" s="14"/>
      <c r="E50" s="14"/>
      <c r="F50" s="14"/>
      <c r="G50" s="14"/>
      <c r="H50" s="14"/>
      <c r="I50" s="14"/>
      <c r="J50" s="14"/>
      <c r="K50" s="14"/>
      <c r="L50" s="14">
        <v>0</v>
      </c>
      <c r="M50" s="14"/>
      <c r="N50" s="14"/>
      <c r="O50" s="14"/>
      <c r="P50" s="14"/>
      <c r="Q50" s="14"/>
      <c r="R50" s="14">
        <v>0</v>
      </c>
      <c r="S50" s="14">
        <v>0</v>
      </c>
      <c r="T50" s="14"/>
      <c r="U50" s="14"/>
      <c r="V50" s="14">
        <v>0</v>
      </c>
      <c r="W50"/>
    </row>
    <row r="51" spans="1:23" ht="15">
      <c r="A51" s="497" t="s">
        <v>1025</v>
      </c>
      <c r="B51" s="3" t="s">
        <v>1026</v>
      </c>
      <c r="C51" s="3" t="s">
        <v>31</v>
      </c>
      <c r="D51" s="14"/>
      <c r="E51" s="14"/>
      <c r="F51" s="14"/>
      <c r="G51" s="14">
        <v>0</v>
      </c>
      <c r="H51" s="14"/>
      <c r="I51" s="14"/>
      <c r="J51" s="14"/>
      <c r="K51" s="14"/>
      <c r="L51" s="14">
        <v>0</v>
      </c>
      <c r="M51" s="14"/>
      <c r="N51" s="14"/>
      <c r="O51" s="14"/>
      <c r="P51" s="14"/>
      <c r="Q51" s="14"/>
      <c r="R51" s="14">
        <v>0</v>
      </c>
      <c r="S51" s="14">
        <v>0</v>
      </c>
      <c r="T51" s="14"/>
      <c r="U51" s="14"/>
      <c r="V51" s="14">
        <v>0</v>
      </c>
      <c r="W51"/>
    </row>
    <row r="52" spans="1:23" ht="15">
      <c r="A52" s="497" t="s">
        <v>1231</v>
      </c>
      <c r="B52" s="3" t="s">
        <v>1236</v>
      </c>
      <c r="C52" s="3" t="s">
        <v>31</v>
      </c>
      <c r="D52" s="14">
        <v>0</v>
      </c>
      <c r="E52" s="14"/>
      <c r="F52" s="14"/>
      <c r="G52" s="14"/>
      <c r="H52" s="14">
        <v>0</v>
      </c>
      <c r="I52" s="14"/>
      <c r="J52" s="14"/>
      <c r="K52" s="14">
        <v>0</v>
      </c>
      <c r="L52" s="14"/>
      <c r="M52" s="14"/>
      <c r="N52" s="14"/>
      <c r="O52" s="14">
        <v>0</v>
      </c>
      <c r="P52" s="14"/>
      <c r="Q52" s="14">
        <v>0</v>
      </c>
      <c r="R52" s="14"/>
      <c r="S52" s="14"/>
      <c r="T52" s="14"/>
      <c r="U52" s="14"/>
      <c r="V52" s="14">
        <v>0</v>
      </c>
      <c r="W52"/>
    </row>
    <row r="53" spans="1:23" ht="15">
      <c r="A53" s="497" t="s">
        <v>1232</v>
      </c>
      <c r="B53" s="3" t="s">
        <v>1237</v>
      </c>
      <c r="C53" s="3" t="s">
        <v>31</v>
      </c>
      <c r="D53" s="14">
        <v>0</v>
      </c>
      <c r="E53" s="14"/>
      <c r="F53" s="14"/>
      <c r="G53" s="14"/>
      <c r="H53" s="14"/>
      <c r="I53" s="14"/>
      <c r="J53" s="14"/>
      <c r="K53" s="14">
        <v>0</v>
      </c>
      <c r="L53" s="14">
        <v>0</v>
      </c>
      <c r="M53" s="14"/>
      <c r="N53" s="14"/>
      <c r="O53" s="14">
        <v>0</v>
      </c>
      <c r="P53" s="14"/>
      <c r="Q53" s="14">
        <v>0</v>
      </c>
      <c r="R53" s="14">
        <v>0</v>
      </c>
      <c r="S53" s="14">
        <v>0</v>
      </c>
      <c r="T53" s="14"/>
      <c r="U53" s="14"/>
      <c r="V53" s="14">
        <v>0</v>
      </c>
      <c r="W53"/>
    </row>
    <row r="54" spans="1:23" ht="15">
      <c r="A54" s="497" t="s">
        <v>183</v>
      </c>
      <c r="B54" s="3" t="s">
        <v>184</v>
      </c>
      <c r="C54" s="3" t="s">
        <v>17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>
        <v>0</v>
      </c>
      <c r="S54" s="14"/>
      <c r="T54" s="14"/>
      <c r="U54" s="14"/>
      <c r="V54" s="14">
        <v>0</v>
      </c>
      <c r="W54"/>
    </row>
    <row r="55" spans="1:23" ht="15">
      <c r="A55" s="497" t="s">
        <v>1153</v>
      </c>
      <c r="B55" s="3" t="s">
        <v>1154</v>
      </c>
      <c r="C55" s="3" t="s">
        <v>30</v>
      </c>
      <c r="D55" s="14"/>
      <c r="E55" s="14"/>
      <c r="F55" s="14"/>
      <c r="G55" s="14"/>
      <c r="H55" s="14"/>
      <c r="I55" s="14">
        <v>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>
        <v>0</v>
      </c>
      <c r="W55"/>
    </row>
    <row r="56" spans="1:23" ht="15">
      <c r="A56" s="497" t="s">
        <v>1243</v>
      </c>
      <c r="B56" s="3" t="s">
        <v>1244</v>
      </c>
      <c r="C56" s="3" t="s">
        <v>1245</v>
      </c>
      <c r="D56" s="14">
        <v>0</v>
      </c>
      <c r="E56" s="14"/>
      <c r="F56" s="14"/>
      <c r="G56" s="14"/>
      <c r="H56" s="14"/>
      <c r="I56" s="14"/>
      <c r="J56" s="14">
        <v>0</v>
      </c>
      <c r="K56" s="14">
        <v>0</v>
      </c>
      <c r="L56" s="14"/>
      <c r="M56" s="14">
        <v>0</v>
      </c>
      <c r="N56" s="14"/>
      <c r="O56" s="14">
        <v>0</v>
      </c>
      <c r="P56" s="14"/>
      <c r="Q56" s="14"/>
      <c r="R56" s="14"/>
      <c r="S56" s="14"/>
      <c r="T56" s="14"/>
      <c r="U56" s="14">
        <v>0</v>
      </c>
      <c r="V56" s="14">
        <v>0</v>
      </c>
      <c r="W56"/>
    </row>
    <row r="57" spans="1:23" ht="15">
      <c r="A57" s="497" t="s">
        <v>855</v>
      </c>
      <c r="B57" s="3" t="s">
        <v>856</v>
      </c>
      <c r="C57" s="3" t="s">
        <v>17</v>
      </c>
      <c r="D57" s="14"/>
      <c r="E57" s="14"/>
      <c r="F57" s="14"/>
      <c r="G57" s="14"/>
      <c r="H57" s="14"/>
      <c r="I57" s="14">
        <v>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>
        <v>0</v>
      </c>
      <c r="W57"/>
    </row>
    <row r="58" spans="1:23" ht="15">
      <c r="A58" s="650" t="s">
        <v>118</v>
      </c>
      <c r="B58" s="650"/>
      <c r="C58" s="650"/>
      <c r="D58" s="14">
        <v>26.940794545132171</v>
      </c>
      <c r="E58" s="14">
        <v>35.494673078504206</v>
      </c>
      <c r="F58" s="14">
        <v>0</v>
      </c>
      <c r="G58" s="14">
        <v>33.43112798804097</v>
      </c>
      <c r="H58" s="14">
        <v>36.082898545065923</v>
      </c>
      <c r="I58" s="14">
        <v>5.4637146303647839</v>
      </c>
      <c r="J58" s="14">
        <v>32.10646995509228</v>
      </c>
      <c r="K58" s="14">
        <v>31.529627012408312</v>
      </c>
      <c r="L58" s="14">
        <v>22.610614344828722</v>
      </c>
      <c r="M58" s="14">
        <v>243.73327463653507</v>
      </c>
      <c r="N58" s="14">
        <v>78.92006973015701</v>
      </c>
      <c r="O58" s="14">
        <v>20.949014361388439</v>
      </c>
      <c r="P58" s="14">
        <v>45.246138521942882</v>
      </c>
      <c r="Q58" s="14">
        <v>32.396410802697581</v>
      </c>
      <c r="R58" s="14">
        <v>32.840564455695308</v>
      </c>
      <c r="S58" s="14">
        <v>25.102649860440383</v>
      </c>
      <c r="T58" s="14">
        <v>0</v>
      </c>
      <c r="U58" s="14">
        <v>55.155528153532366</v>
      </c>
      <c r="V58" s="14">
        <v>47.800522472327934</v>
      </c>
      <c r="W58"/>
    </row>
    <row r="59" spans="1:23" ht="15">
      <c r="C59" s="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/>
    </row>
    <row r="60" spans="1:23" ht="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3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3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3" ht="15">
      <c r="A64"/>
      <c r="B64"/>
      <c r="C64" s="33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ht="15">
      <c r="A65"/>
      <c r="B65"/>
      <c r="C65" s="33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ht="15">
      <c r="A66"/>
      <c r="B66"/>
      <c r="C66" s="33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ht="15">
      <c r="A67"/>
      <c r="B67"/>
      <c r="C67" s="33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5">
      <c r="A68"/>
      <c r="B68"/>
      <c r="C68" s="33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ht="15">
      <c r="A69"/>
      <c r="B69"/>
      <c r="C69" s="33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ht="15">
      <c r="A70"/>
      <c r="B70"/>
      <c r="C70" s="33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ht="15">
      <c r="A71"/>
      <c r="B71"/>
      <c r="C71" s="33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ht="15">
      <c r="A72"/>
      <c r="B72"/>
      <c r="C72" s="33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5">
      <c r="A73"/>
      <c r="B73"/>
      <c r="C73" s="3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ht="15">
      <c r="A74"/>
      <c r="B74"/>
      <c r="C74" s="33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ht="15">
      <c r="A75"/>
      <c r="B75"/>
      <c r="C75" s="33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ht="15">
      <c r="A76"/>
      <c r="B76"/>
      <c r="C76" s="33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ht="15">
      <c r="A77"/>
      <c r="B77"/>
      <c r="C77" s="33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ht="15">
      <c r="A78"/>
      <c r="B78"/>
      <c r="C78" s="33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 ht="15">
      <c r="A79"/>
      <c r="B79"/>
      <c r="C79" s="33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 ht="15">
      <c r="A80"/>
      <c r="B80"/>
      <c r="C80" s="33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15">
      <c r="A81"/>
      <c r="B81"/>
      <c r="C81" s="33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ht="15">
      <c r="A82"/>
      <c r="B82"/>
      <c r="C82" s="33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ht="15">
      <c r="A83"/>
      <c r="B83"/>
      <c r="C83" s="3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ht="15">
      <c r="A84"/>
      <c r="B84"/>
      <c r="C84" s="33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ht="15">
      <c r="A85"/>
      <c r="B85"/>
      <c r="C85" s="33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ht="15">
      <c r="A86"/>
      <c r="B86"/>
      <c r="C86" s="33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ht="15">
      <c r="A87"/>
      <c r="B87"/>
      <c r="C87" s="33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ht="15">
      <c r="A88"/>
      <c r="B88"/>
      <c r="C88" s="33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ht="15">
      <c r="A89"/>
      <c r="B89"/>
      <c r="C89" s="33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ht="15">
      <c r="A90"/>
      <c r="B90"/>
      <c r="C90" s="33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ht="15">
      <c r="A91"/>
      <c r="B91"/>
      <c r="C91" s="33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ht="15">
      <c r="A92"/>
      <c r="B92"/>
      <c r="C92" s="33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ht="15">
      <c r="A93"/>
      <c r="B93"/>
      <c r="C93" s="3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ht="15">
      <c r="A94"/>
      <c r="B94"/>
      <c r="C94" s="33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ht="15">
      <c r="A95"/>
      <c r="B95"/>
      <c r="C95" s="33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ht="15">
      <c r="A96"/>
      <c r="B96"/>
      <c r="C96" s="33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ht="15">
      <c r="A97"/>
      <c r="B97"/>
      <c r="C97" s="33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ht="15">
      <c r="A98"/>
      <c r="B98"/>
      <c r="C98" s="33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ht="15">
      <c r="A99"/>
      <c r="B99"/>
      <c r="C99" s="33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ht="15">
      <c r="A100"/>
      <c r="B100"/>
      <c r="C100" s="33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ht="15">
      <c r="A101"/>
      <c r="B101"/>
      <c r="C101" s="33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ht="15">
      <c r="A102"/>
      <c r="B102"/>
      <c r="C102" s="33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ht="15">
      <c r="A103"/>
      <c r="B103"/>
      <c r="C103" s="3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 ht="15">
      <c r="A104"/>
      <c r="B104"/>
      <c r="C104" s="33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 ht="15">
      <c r="A105"/>
      <c r="B105"/>
      <c r="C105" s="33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 ht="15">
      <c r="A106"/>
      <c r="B106"/>
      <c r="C106" s="33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ht="15">
      <c r="A107"/>
      <c r="B107"/>
      <c r="C107" s="33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 ht="15">
      <c r="A108"/>
      <c r="B108"/>
      <c r="C108" s="33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06F8-1E1A-439A-8D79-F86591CBA921}">
  <dimension ref="B1:BA37"/>
  <sheetViews>
    <sheetView showGridLines="0" topLeftCell="Y1" zoomScale="80" zoomScaleNormal="80" workbookViewId="0">
      <selection activeCell="AE10" sqref="AE10"/>
    </sheetView>
  </sheetViews>
  <sheetFormatPr defaultColWidth="9.140625" defaultRowHeight="14.25"/>
  <cols>
    <col min="1" max="1" width="9.140625" style="501"/>
    <col min="2" max="2" width="18.140625" style="501" bestFit="1" customWidth="1"/>
    <col min="3" max="3" width="20.28515625" style="500" bestFit="1" customWidth="1"/>
    <col min="4" max="4" width="9" style="500" bestFit="1" customWidth="1"/>
    <col min="5" max="5" width="9" style="501" bestFit="1" customWidth="1"/>
    <col min="6" max="6" width="9" style="500" bestFit="1" customWidth="1"/>
    <col min="7" max="7" width="8.7109375" style="502" bestFit="1" customWidth="1"/>
    <col min="8" max="8" width="8.7109375" style="500" bestFit="1" customWidth="1"/>
    <col min="9" max="10" width="9.140625" style="501"/>
    <col min="11" max="11" width="15.140625" style="501" bestFit="1" customWidth="1"/>
    <col min="12" max="12" width="20.28515625" style="501" bestFit="1" customWidth="1"/>
    <col min="13" max="15" width="9" style="501" bestFit="1" customWidth="1"/>
    <col min="16" max="19" width="9.140625" style="501"/>
    <col min="20" max="20" width="15.140625" style="501" bestFit="1" customWidth="1"/>
    <col min="21" max="21" width="20.28515625" style="501" bestFit="1" customWidth="1"/>
    <col min="22" max="22" width="6.42578125" style="501" bestFit="1" customWidth="1"/>
    <col min="23" max="23" width="7.42578125" style="501" bestFit="1" customWidth="1"/>
    <col min="24" max="24" width="8.140625" style="501" bestFit="1" customWidth="1"/>
    <col min="25" max="28" width="9.140625" style="501"/>
    <col min="29" max="29" width="15.140625" style="501" bestFit="1" customWidth="1"/>
    <col min="30" max="30" width="20.28515625" style="501" bestFit="1" customWidth="1"/>
    <col min="31" max="31" width="7.7109375" style="501" bestFit="1" customWidth="1"/>
    <col min="32" max="33" width="9" style="501" bestFit="1" customWidth="1"/>
    <col min="34" max="37" width="9.140625" style="501"/>
    <col min="38" max="38" width="18.140625" style="501" bestFit="1" customWidth="1"/>
    <col min="39" max="39" width="20.28515625" style="501" bestFit="1" customWidth="1"/>
    <col min="40" max="42" width="10.28515625" style="501" bestFit="1" customWidth="1"/>
    <col min="43" max="46" width="9.140625" style="501"/>
    <col min="47" max="47" width="15.140625" style="501" bestFit="1" customWidth="1"/>
    <col min="48" max="48" width="20.28515625" style="501" bestFit="1" customWidth="1"/>
    <col min="49" max="50" width="7.7109375" style="501" bestFit="1" customWidth="1"/>
    <col min="51" max="51" width="8.140625" style="501" bestFit="1" customWidth="1"/>
    <col min="52" max="16384" width="9.140625" style="501"/>
  </cols>
  <sheetData>
    <row r="1" spans="2:53">
      <c r="B1" s="498" t="s">
        <v>5</v>
      </c>
      <c r="C1" s="499" t="s">
        <v>30</v>
      </c>
      <c r="K1" s="498" t="s">
        <v>5</v>
      </c>
      <c r="L1" s="499" t="s">
        <v>73</v>
      </c>
      <c r="M1" s="500"/>
      <c r="O1" s="500"/>
      <c r="P1" s="502"/>
      <c r="Q1" s="500"/>
      <c r="T1" s="498" t="s">
        <v>5</v>
      </c>
      <c r="U1" s="499" t="s">
        <v>31</v>
      </c>
      <c r="V1" s="500"/>
      <c r="X1" s="500"/>
      <c r="Y1" s="502"/>
      <c r="Z1" s="500"/>
      <c r="AC1" s="498" t="s">
        <v>5</v>
      </c>
      <c r="AD1" s="499" t="s">
        <v>36</v>
      </c>
      <c r="AE1" s="500"/>
      <c r="AG1" s="500"/>
      <c r="AH1" s="502"/>
      <c r="AI1" s="500"/>
      <c r="AL1" s="498" t="s">
        <v>5</v>
      </c>
      <c r="AM1" s="499" t="s">
        <v>17</v>
      </c>
      <c r="AN1" s="500"/>
      <c r="AP1" s="500"/>
      <c r="AQ1" s="502"/>
      <c r="AR1" s="500"/>
      <c r="AU1" s="498" t="s">
        <v>5</v>
      </c>
      <c r="AV1" s="499" t="s">
        <v>169</v>
      </c>
      <c r="AW1" s="500"/>
      <c r="AY1" s="500"/>
      <c r="AZ1" s="502"/>
      <c r="BA1" s="500"/>
    </row>
    <row r="2" spans="2:53">
      <c r="L2" s="500"/>
      <c r="M2" s="500"/>
      <c r="O2" s="500"/>
      <c r="P2" s="502"/>
      <c r="Q2" s="500"/>
      <c r="U2" s="500"/>
      <c r="V2" s="500"/>
      <c r="X2" s="500"/>
      <c r="Y2" s="502"/>
      <c r="Z2" s="500"/>
      <c r="AD2" s="500"/>
      <c r="AE2" s="500"/>
      <c r="AG2" s="500"/>
      <c r="AH2" s="502"/>
      <c r="AI2" s="500"/>
      <c r="AM2" s="500"/>
      <c r="AN2" s="500"/>
      <c r="AP2" s="500"/>
      <c r="AQ2" s="502"/>
      <c r="AR2" s="500"/>
      <c r="AV2" s="500"/>
      <c r="AW2" s="500"/>
      <c r="AY2" s="500"/>
      <c r="AZ2" s="502"/>
      <c r="BA2" s="500"/>
    </row>
    <row r="3" spans="2:53">
      <c r="B3" s="652"/>
      <c r="C3" s="653" t="s">
        <v>141</v>
      </c>
      <c r="D3" s="654"/>
      <c r="E3" s="654"/>
      <c r="F3" s="654"/>
      <c r="K3" s="652"/>
      <c r="L3" s="653" t="s">
        <v>141</v>
      </c>
      <c r="M3" s="654"/>
      <c r="N3" s="654"/>
      <c r="O3" s="654"/>
      <c r="P3" s="502"/>
      <c r="Q3" s="500"/>
      <c r="T3" s="652"/>
      <c r="U3" s="653" t="s">
        <v>141</v>
      </c>
      <c r="V3" s="654"/>
      <c r="W3" s="654"/>
      <c r="X3" s="654"/>
      <c r="Y3" s="502"/>
      <c r="Z3" s="500"/>
      <c r="AC3" s="652"/>
      <c r="AD3" s="653" t="s">
        <v>141</v>
      </c>
      <c r="AE3" s="654"/>
      <c r="AF3" s="654"/>
      <c r="AG3" s="654"/>
      <c r="AH3" s="502"/>
      <c r="AI3" s="500"/>
      <c r="AL3" s="652"/>
      <c r="AM3" s="653" t="s">
        <v>141</v>
      </c>
      <c r="AN3" s="654"/>
      <c r="AO3" s="654"/>
      <c r="AP3" s="654"/>
      <c r="AQ3" s="502"/>
      <c r="AR3" s="500"/>
      <c r="AU3" s="652"/>
      <c r="AV3" s="653" t="s">
        <v>141</v>
      </c>
      <c r="AW3" s="654"/>
      <c r="AX3" s="654"/>
      <c r="AY3" s="654"/>
      <c r="AZ3" s="502"/>
      <c r="BA3" s="500"/>
    </row>
    <row r="4" spans="2:53" s="503" customFormat="1" ht="71.25">
      <c r="B4" s="655" t="s">
        <v>1</v>
      </c>
      <c r="C4" s="652" t="s">
        <v>1241</v>
      </c>
      <c r="D4" s="656" t="s">
        <v>142</v>
      </c>
      <c r="E4" s="657" t="s">
        <v>163</v>
      </c>
      <c r="F4" s="657" t="s">
        <v>157</v>
      </c>
      <c r="G4" s="504" t="s">
        <v>143</v>
      </c>
      <c r="H4" s="504" t="s">
        <v>188</v>
      </c>
      <c r="K4" s="655" t="s">
        <v>1</v>
      </c>
      <c r="L4" s="652" t="s">
        <v>1241</v>
      </c>
      <c r="M4" s="656" t="s">
        <v>142</v>
      </c>
      <c r="N4" s="657" t="s">
        <v>163</v>
      </c>
      <c r="O4" s="657" t="s">
        <v>157</v>
      </c>
      <c r="P4" s="504" t="s">
        <v>143</v>
      </c>
      <c r="Q4" s="504" t="s">
        <v>188</v>
      </c>
      <c r="T4" s="655" t="s">
        <v>1</v>
      </c>
      <c r="U4" s="652" t="s">
        <v>1241</v>
      </c>
      <c r="V4" s="656" t="s">
        <v>142</v>
      </c>
      <c r="W4" s="657" t="s">
        <v>163</v>
      </c>
      <c r="X4" s="657" t="s">
        <v>157</v>
      </c>
      <c r="Y4" s="504" t="s">
        <v>143</v>
      </c>
      <c r="Z4" s="504" t="s">
        <v>188</v>
      </c>
      <c r="AC4" s="655" t="s">
        <v>1</v>
      </c>
      <c r="AD4" s="652" t="s">
        <v>1241</v>
      </c>
      <c r="AE4" s="656" t="s">
        <v>142</v>
      </c>
      <c r="AF4" s="657" t="s">
        <v>163</v>
      </c>
      <c r="AG4" s="657" t="s">
        <v>157</v>
      </c>
      <c r="AH4" s="504" t="s">
        <v>143</v>
      </c>
      <c r="AI4" s="504" t="s">
        <v>188</v>
      </c>
      <c r="AL4" s="655" t="s">
        <v>1</v>
      </c>
      <c r="AM4" s="652" t="s">
        <v>1241</v>
      </c>
      <c r="AN4" s="656" t="s">
        <v>142</v>
      </c>
      <c r="AO4" s="657" t="s">
        <v>163</v>
      </c>
      <c r="AP4" s="657" t="s">
        <v>157</v>
      </c>
      <c r="AQ4" s="504" t="s">
        <v>143</v>
      </c>
      <c r="AR4" s="504" t="s">
        <v>188</v>
      </c>
      <c r="AU4" s="655" t="s">
        <v>1</v>
      </c>
      <c r="AV4" s="652" t="s">
        <v>1241</v>
      </c>
      <c r="AW4" s="656" t="s">
        <v>142</v>
      </c>
      <c r="AX4" s="657" t="s">
        <v>163</v>
      </c>
      <c r="AY4" s="657" t="s">
        <v>157</v>
      </c>
      <c r="AZ4" s="504" t="s">
        <v>143</v>
      </c>
      <c r="BA4" s="504" t="s">
        <v>188</v>
      </c>
    </row>
    <row r="5" spans="2:53">
      <c r="B5" s="652" t="s">
        <v>109</v>
      </c>
      <c r="C5" s="658">
        <v>59170.559999999998</v>
      </c>
      <c r="D5" s="658">
        <v>37812</v>
      </c>
      <c r="E5" s="658">
        <v>20868</v>
      </c>
      <c r="F5" s="658">
        <v>31944</v>
      </c>
      <c r="G5" s="506">
        <f>D5/C5</f>
        <v>0.63903400610033101</v>
      </c>
      <c r="H5" s="505">
        <f>E5/(C5/30)</f>
        <v>10.580261535466287</v>
      </c>
      <c r="K5" s="652" t="s">
        <v>109</v>
      </c>
      <c r="L5" s="658">
        <v>39731.520000000004</v>
      </c>
      <c r="M5" s="658">
        <v>24384</v>
      </c>
      <c r="N5" s="658">
        <v>25200</v>
      </c>
      <c r="O5" s="658">
        <v>27600</v>
      </c>
      <c r="P5" s="506">
        <f>M5/L5</f>
        <v>0.6137192838330876</v>
      </c>
      <c r="Q5" s="505">
        <f>N5/(L5/30)</f>
        <v>19.027714016478601</v>
      </c>
      <c r="T5" s="652" t="s">
        <v>109</v>
      </c>
      <c r="U5" s="658">
        <v>209.76</v>
      </c>
      <c r="V5" s="658">
        <v>252</v>
      </c>
      <c r="W5" s="658">
        <v>1404</v>
      </c>
      <c r="X5" s="658">
        <v>1404</v>
      </c>
      <c r="Y5" s="506">
        <f>V5/U5</f>
        <v>1.2013729977116705</v>
      </c>
      <c r="Z5" s="505">
        <f>W5/(U5/30)</f>
        <v>200.80091533180777</v>
      </c>
      <c r="AC5" s="652" t="s">
        <v>109</v>
      </c>
      <c r="AD5" s="658">
        <v>10508.51</v>
      </c>
      <c r="AE5" s="658">
        <v>7741</v>
      </c>
      <c r="AF5" s="658">
        <v>8444</v>
      </c>
      <c r="AG5" s="658">
        <v>10049</v>
      </c>
      <c r="AH5" s="506">
        <f>AE5/AD5</f>
        <v>0.73664106519382866</v>
      </c>
      <c r="AI5" s="505">
        <f>AF5/(AD5/30)</f>
        <v>24.106176803371746</v>
      </c>
      <c r="AL5" s="652" t="s">
        <v>109</v>
      </c>
      <c r="AM5" s="658">
        <v>619326.6</v>
      </c>
      <c r="AN5" s="658">
        <v>371916</v>
      </c>
      <c r="AO5" s="658">
        <v>281424</v>
      </c>
      <c r="AP5" s="658">
        <v>461316</v>
      </c>
      <c r="AQ5" s="506">
        <f>AN5/AM5</f>
        <v>0.6005167548107897</v>
      </c>
      <c r="AR5" s="505">
        <f>AO5/(AM5/30)</f>
        <v>13.63209653840155</v>
      </c>
      <c r="AU5" s="652" t="s">
        <v>109</v>
      </c>
      <c r="AV5" s="658">
        <v>8843.4</v>
      </c>
      <c r="AW5" s="658">
        <v>5712</v>
      </c>
      <c r="AX5" s="658">
        <v>5436</v>
      </c>
      <c r="AY5" s="658">
        <v>5436</v>
      </c>
      <c r="AZ5" s="506">
        <f>AW5/AV5</f>
        <v>0.64590542099192616</v>
      </c>
      <c r="BA5" s="505">
        <f>AX5/(AV5/30)</f>
        <v>18.440871158151843</v>
      </c>
    </row>
    <row r="6" spans="2:53">
      <c r="B6" s="652" t="s">
        <v>107</v>
      </c>
      <c r="C6" s="658">
        <v>12893.64</v>
      </c>
      <c r="D6" s="658">
        <v>4344</v>
      </c>
      <c r="E6" s="658">
        <v>19800</v>
      </c>
      <c r="F6" s="658">
        <v>19800</v>
      </c>
      <c r="G6" s="506">
        <f t="shared" ref="G6:G19" si="0">D6/C6</f>
        <v>0.33691029065492756</v>
      </c>
      <c r="H6" s="505">
        <f>E6/(C6/30)</f>
        <v>46.069224827124074</v>
      </c>
      <c r="K6" s="652" t="s">
        <v>107</v>
      </c>
      <c r="L6" s="658">
        <v>10026.36</v>
      </c>
      <c r="M6" s="658">
        <v>4560</v>
      </c>
      <c r="N6" s="658">
        <v>9756</v>
      </c>
      <c r="O6" s="658">
        <v>9756</v>
      </c>
      <c r="P6" s="506">
        <f t="shared" ref="P6:P21" si="1">M6/L6</f>
        <v>0.45480114418393114</v>
      </c>
      <c r="Q6" s="505">
        <f>N6/(L6/30)</f>
        <v>29.191052385910734</v>
      </c>
      <c r="T6" s="652" t="s">
        <v>107</v>
      </c>
      <c r="U6" s="658">
        <v>122.64</v>
      </c>
      <c r="V6" s="658">
        <v>12</v>
      </c>
      <c r="W6" s="658">
        <v>216</v>
      </c>
      <c r="X6" s="658">
        <v>216</v>
      </c>
      <c r="Y6" s="506">
        <f t="shared" ref="Y6:Y20" si="2">V6/U6</f>
        <v>9.7847358121330719E-2</v>
      </c>
      <c r="Z6" s="505">
        <f>W6/(U6/30)</f>
        <v>52.837573385518589</v>
      </c>
      <c r="AC6" s="652" t="s">
        <v>107</v>
      </c>
      <c r="AD6" s="658">
        <v>5121.58</v>
      </c>
      <c r="AE6" s="658">
        <v>2520</v>
      </c>
      <c r="AF6" s="658">
        <v>2680</v>
      </c>
      <c r="AG6" s="658">
        <v>2680</v>
      </c>
      <c r="AH6" s="506">
        <f t="shared" ref="AH6:AH20" si="3">AE6/AD6</f>
        <v>0.49203566087027834</v>
      </c>
      <c r="AI6" s="505">
        <f>AF6/(AD6/30)</f>
        <v>15.698280608718402</v>
      </c>
      <c r="AL6" s="652" t="s">
        <v>107</v>
      </c>
      <c r="AM6" s="658">
        <v>281850.86</v>
      </c>
      <c r="AN6" s="658">
        <v>104760</v>
      </c>
      <c r="AO6" s="658">
        <v>195348</v>
      </c>
      <c r="AP6" s="658">
        <v>249936</v>
      </c>
      <c r="AQ6" s="506">
        <f t="shared" ref="AQ6:AQ22" si="4">AN6/AM6</f>
        <v>0.3716859334755977</v>
      </c>
      <c r="AR6" s="505">
        <f>AO6/(AM6/30)</f>
        <v>20.792698663399502</v>
      </c>
      <c r="AU6" s="652" t="s">
        <v>107</v>
      </c>
      <c r="AV6" s="658">
        <v>560.16</v>
      </c>
      <c r="AW6" s="658">
        <v>504</v>
      </c>
      <c r="AX6" s="658">
        <v>1296</v>
      </c>
      <c r="AY6" s="658">
        <v>1296</v>
      </c>
      <c r="AZ6" s="506">
        <f t="shared" ref="AZ6:AZ20" si="5">AW6/AV6</f>
        <v>0.89974293059125965</v>
      </c>
      <c r="BA6" s="505">
        <f>AX6/(AV6/30)</f>
        <v>69.408740359897166</v>
      </c>
    </row>
    <row r="7" spans="2:53">
      <c r="B7" s="652" t="s">
        <v>101</v>
      </c>
      <c r="C7" s="658">
        <v>6112.7999999999993</v>
      </c>
      <c r="D7" s="658">
        <v>2184</v>
      </c>
      <c r="E7" s="658">
        <v>4812</v>
      </c>
      <c r="F7" s="658">
        <v>4812</v>
      </c>
      <c r="G7" s="506">
        <f t="shared" si="0"/>
        <v>0.35728307813113469</v>
      </c>
      <c r="H7" s="505">
        <f t="shared" ref="H7:H19" si="6">E7/(C7/30)</f>
        <v>23.616018845700829</v>
      </c>
      <c r="K7" s="652" t="s">
        <v>101</v>
      </c>
      <c r="L7" s="658">
        <v>3700.6800000000003</v>
      </c>
      <c r="M7" s="658">
        <v>1716</v>
      </c>
      <c r="N7" s="658">
        <v>2784</v>
      </c>
      <c r="O7" s="658">
        <v>2784</v>
      </c>
      <c r="P7" s="506">
        <f t="shared" si="1"/>
        <v>0.46369856350724731</v>
      </c>
      <c r="Q7" s="505">
        <f t="shared" ref="Q7:Q21" si="7">N7/(L7/30)</f>
        <v>22.568825188884205</v>
      </c>
      <c r="T7" s="652" t="s">
        <v>103</v>
      </c>
      <c r="U7" s="658">
        <v>0</v>
      </c>
      <c r="V7" s="658">
        <v>0</v>
      </c>
      <c r="W7" s="658">
        <v>0</v>
      </c>
      <c r="X7" s="658">
        <v>0</v>
      </c>
      <c r="Y7" s="506" t="e">
        <f t="shared" si="2"/>
        <v>#DIV/0!</v>
      </c>
      <c r="Z7" s="505" t="e">
        <f t="shared" ref="Z7:Z20" si="8">W7/(U7/30)</f>
        <v>#DIV/0!</v>
      </c>
      <c r="AC7" s="652" t="s">
        <v>101</v>
      </c>
      <c r="AD7" s="658">
        <v>1573.33</v>
      </c>
      <c r="AE7" s="658">
        <v>515</v>
      </c>
      <c r="AF7" s="658">
        <v>1655</v>
      </c>
      <c r="AG7" s="658">
        <v>1655</v>
      </c>
      <c r="AH7" s="506">
        <f t="shared" si="3"/>
        <v>0.32733120197288557</v>
      </c>
      <c r="AI7" s="505">
        <f t="shared" ref="AI7:AI20" si="9">AF7/(AD7/30)</f>
        <v>31.557270248453918</v>
      </c>
      <c r="AL7" s="652" t="s">
        <v>101</v>
      </c>
      <c r="AM7" s="658">
        <v>92991.96</v>
      </c>
      <c r="AN7" s="658">
        <v>38052</v>
      </c>
      <c r="AO7" s="658">
        <v>102876</v>
      </c>
      <c r="AP7" s="658">
        <v>102876</v>
      </c>
      <c r="AQ7" s="506">
        <f t="shared" si="4"/>
        <v>0.4091966660343539</v>
      </c>
      <c r="AR7" s="505">
        <f t="shared" ref="AR7:AR22" si="10">AO7/(AM7/30)</f>
        <v>33.18867566615436</v>
      </c>
      <c r="AU7" s="652" t="s">
        <v>101</v>
      </c>
      <c r="AV7" s="658">
        <v>154.32</v>
      </c>
      <c r="AW7" s="658">
        <v>0</v>
      </c>
      <c r="AX7" s="658">
        <v>0</v>
      </c>
      <c r="AY7" s="658">
        <v>0</v>
      </c>
      <c r="AZ7" s="506">
        <f t="shared" si="5"/>
        <v>0</v>
      </c>
      <c r="BA7" s="505">
        <f t="shared" ref="BA7:BA20" si="11">AX7/(AV7/30)</f>
        <v>0</v>
      </c>
    </row>
    <row r="8" spans="2:53">
      <c r="B8" s="652" t="s">
        <v>27</v>
      </c>
      <c r="C8" s="658">
        <v>53647.560000000005</v>
      </c>
      <c r="D8" s="658">
        <v>23676</v>
      </c>
      <c r="E8" s="658">
        <v>27012</v>
      </c>
      <c r="F8" s="658">
        <v>27012</v>
      </c>
      <c r="G8" s="506">
        <f t="shared" si="0"/>
        <v>0.44132482446545562</v>
      </c>
      <c r="H8" s="505">
        <f t="shared" si="6"/>
        <v>15.105253621972741</v>
      </c>
      <c r="K8" s="652" t="s">
        <v>27</v>
      </c>
      <c r="L8" s="658">
        <v>14323.92</v>
      </c>
      <c r="M8" s="658">
        <v>7464</v>
      </c>
      <c r="N8" s="658">
        <v>15348</v>
      </c>
      <c r="O8" s="658">
        <v>15348</v>
      </c>
      <c r="P8" s="506">
        <f t="shared" si="1"/>
        <v>0.52108640651441784</v>
      </c>
      <c r="Q8" s="505">
        <f t="shared" si="7"/>
        <v>32.144831861669154</v>
      </c>
      <c r="T8" s="652" t="s">
        <v>101</v>
      </c>
      <c r="U8" s="658">
        <v>321.60000000000002</v>
      </c>
      <c r="V8" s="658">
        <v>0</v>
      </c>
      <c r="W8" s="658">
        <v>168</v>
      </c>
      <c r="X8" s="658">
        <v>168</v>
      </c>
      <c r="Y8" s="506">
        <f t="shared" si="2"/>
        <v>0</v>
      </c>
      <c r="Z8" s="505">
        <f t="shared" si="8"/>
        <v>15.671641791044776</v>
      </c>
      <c r="AC8" s="652" t="s">
        <v>27</v>
      </c>
      <c r="AD8" s="658">
        <v>3062.99</v>
      </c>
      <c r="AE8" s="658">
        <v>1023</v>
      </c>
      <c r="AF8" s="658">
        <v>8925</v>
      </c>
      <c r="AG8" s="658">
        <v>8925</v>
      </c>
      <c r="AH8" s="506">
        <f t="shared" si="3"/>
        <v>0.33398737834599529</v>
      </c>
      <c r="AI8" s="505">
        <f t="shared" si="9"/>
        <v>87.414585094956237</v>
      </c>
      <c r="AL8" s="652" t="s">
        <v>27</v>
      </c>
      <c r="AM8" s="658">
        <v>313034.52</v>
      </c>
      <c r="AN8" s="658">
        <v>145656</v>
      </c>
      <c r="AO8" s="658">
        <v>240288</v>
      </c>
      <c r="AP8" s="658">
        <v>265248</v>
      </c>
      <c r="AQ8" s="506">
        <f t="shared" si="4"/>
        <v>0.46530331542987652</v>
      </c>
      <c r="AR8" s="505">
        <f t="shared" si="10"/>
        <v>23.028258992011487</v>
      </c>
      <c r="AU8" s="652" t="s">
        <v>27</v>
      </c>
      <c r="AV8" s="658">
        <v>448.32</v>
      </c>
      <c r="AW8" s="658">
        <v>0</v>
      </c>
      <c r="AX8" s="658">
        <v>0</v>
      </c>
      <c r="AY8" s="658">
        <v>0</v>
      </c>
      <c r="AZ8" s="506">
        <f t="shared" si="5"/>
        <v>0</v>
      </c>
      <c r="BA8" s="505">
        <f t="shared" si="11"/>
        <v>0</v>
      </c>
    </row>
    <row r="9" spans="2:53">
      <c r="B9" s="652" t="s">
        <v>14</v>
      </c>
      <c r="C9" s="658">
        <v>0</v>
      </c>
      <c r="D9" s="658">
        <v>0</v>
      </c>
      <c r="E9" s="658">
        <v>216</v>
      </c>
      <c r="F9" s="658">
        <v>216</v>
      </c>
      <c r="G9" s="506" t="e">
        <f t="shared" si="0"/>
        <v>#DIV/0!</v>
      </c>
      <c r="H9" s="505" t="e">
        <f t="shared" si="6"/>
        <v>#DIV/0!</v>
      </c>
      <c r="K9" s="652" t="s">
        <v>111</v>
      </c>
      <c r="L9" s="658">
        <v>16050.240000000002</v>
      </c>
      <c r="M9" s="658">
        <v>10692</v>
      </c>
      <c r="N9" s="658">
        <v>8748</v>
      </c>
      <c r="O9" s="658">
        <v>11148</v>
      </c>
      <c r="P9" s="506">
        <f t="shared" si="1"/>
        <v>0.66615826305401038</v>
      </c>
      <c r="Q9" s="505">
        <f t="shared" si="7"/>
        <v>16.351157365871163</v>
      </c>
      <c r="T9" s="652" t="s">
        <v>27</v>
      </c>
      <c r="U9" s="658">
        <v>34.56</v>
      </c>
      <c r="V9" s="658">
        <v>0</v>
      </c>
      <c r="W9" s="658">
        <v>228</v>
      </c>
      <c r="X9" s="658">
        <v>228</v>
      </c>
      <c r="Y9" s="506">
        <f t="shared" si="2"/>
        <v>0</v>
      </c>
      <c r="Z9" s="505">
        <f t="shared" si="8"/>
        <v>197.91666666666666</v>
      </c>
      <c r="AC9" s="652" t="s">
        <v>111</v>
      </c>
      <c r="AD9" s="658">
        <v>9747.68</v>
      </c>
      <c r="AE9" s="658">
        <v>6977</v>
      </c>
      <c r="AF9" s="658">
        <v>7604</v>
      </c>
      <c r="AG9" s="658">
        <v>10121</v>
      </c>
      <c r="AH9" s="506">
        <f t="shared" si="3"/>
        <v>0.71576005777785068</v>
      </c>
      <c r="AI9" s="505">
        <f t="shared" si="9"/>
        <v>23.402491669812715</v>
      </c>
      <c r="AL9" s="652" t="s">
        <v>14</v>
      </c>
      <c r="AM9" s="658">
        <v>31623.119999999999</v>
      </c>
      <c r="AN9" s="658">
        <v>0</v>
      </c>
      <c r="AO9" s="658">
        <v>42136</v>
      </c>
      <c r="AP9" s="658">
        <v>42136</v>
      </c>
      <c r="AQ9" s="506">
        <f t="shared" si="4"/>
        <v>0</v>
      </c>
      <c r="AR9" s="505">
        <f t="shared" si="10"/>
        <v>39.973285368426644</v>
      </c>
      <c r="AU9" s="652" t="s">
        <v>111</v>
      </c>
      <c r="AV9" s="658">
        <v>5362.56</v>
      </c>
      <c r="AW9" s="658">
        <v>2532</v>
      </c>
      <c r="AX9" s="658">
        <v>5460</v>
      </c>
      <c r="AY9" s="658">
        <v>5460</v>
      </c>
      <c r="AZ9" s="506">
        <f t="shared" si="5"/>
        <v>0.47216254923021839</v>
      </c>
      <c r="BA9" s="505">
        <f t="shared" si="11"/>
        <v>30.545112781954884</v>
      </c>
    </row>
    <row r="10" spans="2:53">
      <c r="B10" s="652" t="s">
        <v>111</v>
      </c>
      <c r="C10" s="658">
        <v>52002.720000000001</v>
      </c>
      <c r="D10" s="658">
        <v>23796</v>
      </c>
      <c r="E10" s="658">
        <v>30168</v>
      </c>
      <c r="F10" s="658">
        <v>30168</v>
      </c>
      <c r="G10" s="506">
        <f t="shared" si="0"/>
        <v>0.45759144906266441</v>
      </c>
      <c r="H10" s="505">
        <f t="shared" si="6"/>
        <v>17.403705036967299</v>
      </c>
      <c r="K10" s="652" t="s">
        <v>113</v>
      </c>
      <c r="L10" s="658">
        <v>3900</v>
      </c>
      <c r="M10" s="658">
        <v>2424</v>
      </c>
      <c r="N10" s="658">
        <v>4068</v>
      </c>
      <c r="O10" s="658">
        <v>5268</v>
      </c>
      <c r="P10" s="506">
        <f t="shared" si="1"/>
        <v>0.62153846153846148</v>
      </c>
      <c r="Q10" s="505">
        <f t="shared" si="7"/>
        <v>31.292307692307691</v>
      </c>
      <c r="T10" s="652" t="s">
        <v>111</v>
      </c>
      <c r="U10" s="658">
        <v>166.2</v>
      </c>
      <c r="V10" s="658">
        <v>12</v>
      </c>
      <c r="W10" s="658">
        <v>84</v>
      </c>
      <c r="X10" s="658">
        <v>84</v>
      </c>
      <c r="Y10" s="506">
        <f t="shared" si="2"/>
        <v>7.2202166064981949E-2</v>
      </c>
      <c r="Z10" s="505">
        <f t="shared" si="8"/>
        <v>15.16245487364621</v>
      </c>
      <c r="AC10" s="652" t="s">
        <v>113</v>
      </c>
      <c r="AD10" s="658">
        <v>4579.3999999999996</v>
      </c>
      <c r="AE10" s="658">
        <v>2842</v>
      </c>
      <c r="AF10" s="658">
        <v>3230</v>
      </c>
      <c r="AG10" s="658">
        <v>4148</v>
      </c>
      <c r="AH10" s="506">
        <f t="shared" si="3"/>
        <v>0.62060531947416697</v>
      </c>
      <c r="AI10" s="505">
        <f t="shared" si="9"/>
        <v>21.159977289601262</v>
      </c>
      <c r="AL10" s="652" t="s">
        <v>111</v>
      </c>
      <c r="AM10" s="658">
        <v>397433.28</v>
      </c>
      <c r="AN10" s="658">
        <v>247740</v>
      </c>
      <c r="AO10" s="658">
        <v>156888</v>
      </c>
      <c r="AP10" s="658">
        <v>231012</v>
      </c>
      <c r="AQ10" s="506">
        <f t="shared" si="4"/>
        <v>0.62334991171348308</v>
      </c>
      <c r="AR10" s="505">
        <f t="shared" si="10"/>
        <v>11.842591541402873</v>
      </c>
      <c r="AU10" s="652" t="s">
        <v>113</v>
      </c>
      <c r="AV10" s="658">
        <v>8199.9599999999991</v>
      </c>
      <c r="AW10" s="658">
        <v>2916</v>
      </c>
      <c r="AX10" s="658">
        <v>600</v>
      </c>
      <c r="AY10" s="658">
        <v>984</v>
      </c>
      <c r="AZ10" s="506">
        <f t="shared" si="5"/>
        <v>0.35561149078776</v>
      </c>
      <c r="BA10" s="505">
        <f t="shared" si="11"/>
        <v>2.1951326591837033</v>
      </c>
    </row>
    <row r="11" spans="2:53">
      <c r="B11" s="652" t="s">
        <v>113</v>
      </c>
      <c r="C11" s="658">
        <v>12480.6</v>
      </c>
      <c r="D11" s="658">
        <v>5352</v>
      </c>
      <c r="E11" s="658">
        <v>3300</v>
      </c>
      <c r="F11" s="658">
        <v>3600</v>
      </c>
      <c r="G11" s="506">
        <f t="shared" si="0"/>
        <v>0.4288255372337868</v>
      </c>
      <c r="H11" s="505">
        <f t="shared" si="6"/>
        <v>7.932310946589106</v>
      </c>
      <c r="K11" s="652" t="s">
        <v>99</v>
      </c>
      <c r="L11" s="658">
        <v>10938.84</v>
      </c>
      <c r="M11" s="658">
        <v>4188</v>
      </c>
      <c r="N11" s="658">
        <v>11400</v>
      </c>
      <c r="O11" s="658">
        <v>11400</v>
      </c>
      <c r="P11" s="506">
        <f t="shared" si="1"/>
        <v>0.38285595181938853</v>
      </c>
      <c r="Q11" s="505">
        <f t="shared" si="7"/>
        <v>31.264741051153507</v>
      </c>
      <c r="T11" s="652" t="s">
        <v>113</v>
      </c>
      <c r="U11" s="658">
        <v>321.60000000000002</v>
      </c>
      <c r="V11" s="658">
        <v>72</v>
      </c>
      <c r="W11" s="658">
        <v>276</v>
      </c>
      <c r="X11" s="658">
        <v>276</v>
      </c>
      <c r="Y11" s="506">
        <f t="shared" si="2"/>
        <v>0.22388059701492535</v>
      </c>
      <c r="Z11" s="505">
        <f t="shared" si="8"/>
        <v>25.746268656716417</v>
      </c>
      <c r="AC11" s="652" t="s">
        <v>99</v>
      </c>
      <c r="AD11" s="658">
        <v>8070.7900000000009</v>
      </c>
      <c r="AE11" s="658">
        <v>2818</v>
      </c>
      <c r="AF11" s="658">
        <v>4893</v>
      </c>
      <c r="AG11" s="658">
        <v>8007</v>
      </c>
      <c r="AH11" s="506">
        <f t="shared" si="3"/>
        <v>0.34916036720073246</v>
      </c>
      <c r="AI11" s="505">
        <f t="shared" si="9"/>
        <v>18.187810610857177</v>
      </c>
      <c r="AL11" s="652" t="s">
        <v>113</v>
      </c>
      <c r="AM11" s="658">
        <v>474013.76000000007</v>
      </c>
      <c r="AN11" s="658">
        <v>316852</v>
      </c>
      <c r="AO11" s="658">
        <v>257112</v>
      </c>
      <c r="AP11" s="658">
        <v>370056</v>
      </c>
      <c r="AQ11" s="506">
        <f t="shared" si="4"/>
        <v>0.66844473038082264</v>
      </c>
      <c r="AR11" s="505">
        <f t="shared" si="10"/>
        <v>16.27243901105318</v>
      </c>
      <c r="AU11" s="652" t="s">
        <v>99</v>
      </c>
      <c r="AV11" s="658">
        <v>1876.56</v>
      </c>
      <c r="AW11" s="658">
        <v>660</v>
      </c>
      <c r="AX11" s="658">
        <v>1284</v>
      </c>
      <c r="AY11" s="658">
        <v>1284</v>
      </c>
      <c r="AZ11" s="506">
        <f t="shared" si="5"/>
        <v>0.35170737946028907</v>
      </c>
      <c r="BA11" s="505">
        <f t="shared" si="11"/>
        <v>20.52692160122778</v>
      </c>
    </row>
    <row r="12" spans="2:53">
      <c r="B12" s="652" t="s">
        <v>99</v>
      </c>
      <c r="C12" s="658">
        <v>21877.919999999998</v>
      </c>
      <c r="D12" s="658">
        <v>9276</v>
      </c>
      <c r="E12" s="658">
        <v>15600</v>
      </c>
      <c r="F12" s="658">
        <v>15600</v>
      </c>
      <c r="G12" s="506">
        <f t="shared" si="0"/>
        <v>0.42398911779547604</v>
      </c>
      <c r="H12" s="505">
        <f t="shared" si="6"/>
        <v>21.391430263937341</v>
      </c>
      <c r="K12" s="652" t="s">
        <v>95</v>
      </c>
      <c r="L12" s="658">
        <v>5950.4400000000005</v>
      </c>
      <c r="M12" s="658">
        <v>4416</v>
      </c>
      <c r="N12" s="658">
        <v>56376</v>
      </c>
      <c r="O12" s="658">
        <v>56376</v>
      </c>
      <c r="P12" s="506">
        <f t="shared" si="1"/>
        <v>0.74212999374836142</v>
      </c>
      <c r="Q12" s="505">
        <f t="shared" si="7"/>
        <v>284.22772097525558</v>
      </c>
      <c r="T12" s="652" t="s">
        <v>99</v>
      </c>
      <c r="U12" s="658">
        <v>591.71999999999991</v>
      </c>
      <c r="V12" s="658">
        <v>48</v>
      </c>
      <c r="W12" s="658">
        <v>336</v>
      </c>
      <c r="X12" s="658">
        <v>336</v>
      </c>
      <c r="Y12" s="506">
        <f t="shared" si="2"/>
        <v>8.1119448387750981E-2</v>
      </c>
      <c r="Z12" s="505">
        <f t="shared" si="8"/>
        <v>17.035084161427704</v>
      </c>
      <c r="AC12" s="652" t="s">
        <v>95</v>
      </c>
      <c r="AD12" s="658">
        <v>1428.8400000000001</v>
      </c>
      <c r="AE12" s="658">
        <v>702</v>
      </c>
      <c r="AF12" s="658">
        <v>39803</v>
      </c>
      <c r="AG12" s="658">
        <v>39803</v>
      </c>
      <c r="AH12" s="506">
        <f t="shared" si="3"/>
        <v>0.49130763416477696</v>
      </c>
      <c r="AI12" s="505">
        <f t="shared" si="9"/>
        <v>835.70588729318877</v>
      </c>
      <c r="AL12" s="652" t="s">
        <v>99</v>
      </c>
      <c r="AM12" s="658">
        <v>325444.56000000011</v>
      </c>
      <c r="AN12" s="658">
        <v>180900</v>
      </c>
      <c r="AO12" s="658">
        <v>166932</v>
      </c>
      <c r="AP12" s="658">
        <v>214056</v>
      </c>
      <c r="AQ12" s="506">
        <f t="shared" si="4"/>
        <v>0.55585504332903868</v>
      </c>
      <c r="AR12" s="505">
        <f t="shared" si="10"/>
        <v>15.38805872189106</v>
      </c>
      <c r="AU12" s="652" t="s">
        <v>95</v>
      </c>
      <c r="AV12" s="658">
        <v>1286.6400000000001</v>
      </c>
      <c r="AW12" s="658">
        <v>84</v>
      </c>
      <c r="AX12" s="658">
        <v>0</v>
      </c>
      <c r="AY12" s="658">
        <v>0</v>
      </c>
      <c r="AZ12" s="506">
        <f t="shared" si="5"/>
        <v>6.5286327177765335E-2</v>
      </c>
      <c r="BA12" s="505">
        <f t="shared" si="11"/>
        <v>0</v>
      </c>
    </row>
    <row r="13" spans="2:53">
      <c r="B13" s="652" t="s">
        <v>95</v>
      </c>
      <c r="C13" s="658">
        <v>12722.16</v>
      </c>
      <c r="D13" s="658">
        <v>7968</v>
      </c>
      <c r="E13" s="658">
        <v>23424</v>
      </c>
      <c r="F13" s="658">
        <v>23424</v>
      </c>
      <c r="G13" s="506">
        <f t="shared" si="0"/>
        <v>0.6263087400252787</v>
      </c>
      <c r="H13" s="505">
        <f t="shared" si="6"/>
        <v>55.235903337169162</v>
      </c>
      <c r="K13" s="652" t="s">
        <v>153</v>
      </c>
      <c r="L13" s="658">
        <v>7713.12</v>
      </c>
      <c r="M13" s="658">
        <v>4344</v>
      </c>
      <c r="N13" s="658">
        <v>8628</v>
      </c>
      <c r="O13" s="658">
        <v>11028</v>
      </c>
      <c r="P13" s="506">
        <f t="shared" si="1"/>
        <v>0.56319621631713235</v>
      </c>
      <c r="Q13" s="505">
        <f t="shared" si="7"/>
        <v>33.558404381106477</v>
      </c>
      <c r="T13" s="652" t="s">
        <v>95</v>
      </c>
      <c r="U13" s="658">
        <v>206.76</v>
      </c>
      <c r="V13" s="658">
        <v>12</v>
      </c>
      <c r="W13" s="658">
        <v>180</v>
      </c>
      <c r="X13" s="658">
        <v>180</v>
      </c>
      <c r="Y13" s="506">
        <f t="shared" si="2"/>
        <v>5.8038305281485784E-2</v>
      </c>
      <c r="Z13" s="505">
        <f t="shared" si="8"/>
        <v>26.117237376668605</v>
      </c>
      <c r="AC13" s="652" t="s">
        <v>153</v>
      </c>
      <c r="AD13" s="658">
        <v>4435.7699999999995</v>
      </c>
      <c r="AE13" s="658">
        <v>2762</v>
      </c>
      <c r="AF13" s="658">
        <v>4155</v>
      </c>
      <c r="AG13" s="658">
        <v>4155</v>
      </c>
      <c r="AH13" s="506">
        <f t="shared" si="3"/>
        <v>0.62266528697385126</v>
      </c>
      <c r="AI13" s="505">
        <f t="shared" si="9"/>
        <v>28.101096314732281</v>
      </c>
      <c r="AL13" s="652" t="s">
        <v>95</v>
      </c>
      <c r="AM13" s="658">
        <v>116829</v>
      </c>
      <c r="AN13" s="658">
        <v>80640</v>
      </c>
      <c r="AO13" s="658">
        <v>285300</v>
      </c>
      <c r="AP13" s="658">
        <v>285744</v>
      </c>
      <c r="AQ13" s="506">
        <f t="shared" si="4"/>
        <v>0.69023958092596871</v>
      </c>
      <c r="AR13" s="505">
        <f t="shared" si="10"/>
        <v>73.260919805870117</v>
      </c>
      <c r="AU13" s="652" t="s">
        <v>153</v>
      </c>
      <c r="AV13" s="658">
        <v>1608.36</v>
      </c>
      <c r="AW13" s="658">
        <v>1104</v>
      </c>
      <c r="AX13" s="658">
        <v>912</v>
      </c>
      <c r="AY13" s="658">
        <v>912</v>
      </c>
      <c r="AZ13" s="506">
        <f t="shared" si="5"/>
        <v>0.68641348951727232</v>
      </c>
      <c r="BA13" s="505">
        <f t="shared" si="11"/>
        <v>17.011116914123704</v>
      </c>
    </row>
    <row r="14" spans="2:53">
      <c r="B14" s="652" t="s">
        <v>153</v>
      </c>
      <c r="C14" s="658">
        <v>13795.56</v>
      </c>
      <c r="D14" s="658">
        <v>6096</v>
      </c>
      <c r="E14" s="658">
        <v>10188</v>
      </c>
      <c r="F14" s="658">
        <v>11688</v>
      </c>
      <c r="G14" s="506">
        <f>D14/C14</f>
        <v>0.44188130094030253</v>
      </c>
      <c r="H14" s="505">
        <f t="shared" si="6"/>
        <v>22.154954202656508</v>
      </c>
      <c r="K14" s="652" t="s">
        <v>175</v>
      </c>
      <c r="L14" s="658">
        <v>17696.04</v>
      </c>
      <c r="M14" s="658">
        <v>5520</v>
      </c>
      <c r="N14" s="658">
        <v>18552</v>
      </c>
      <c r="O14" s="658">
        <v>18552</v>
      </c>
      <c r="P14" s="506">
        <f t="shared" si="1"/>
        <v>0.31193419544711698</v>
      </c>
      <c r="Q14" s="505">
        <f t="shared" si="7"/>
        <v>31.451104314863663</v>
      </c>
      <c r="T14" s="652" t="s">
        <v>153</v>
      </c>
      <c r="U14" s="658">
        <v>0</v>
      </c>
      <c r="V14" s="658">
        <v>36</v>
      </c>
      <c r="W14" s="658">
        <v>384</v>
      </c>
      <c r="X14" s="658">
        <v>384</v>
      </c>
      <c r="Y14" s="506" t="e">
        <f t="shared" si="2"/>
        <v>#DIV/0!</v>
      </c>
      <c r="Z14" s="505" t="e">
        <f t="shared" si="8"/>
        <v>#DIV/0!</v>
      </c>
      <c r="AC14" s="652" t="s">
        <v>175</v>
      </c>
      <c r="AD14" s="658">
        <v>4397.82</v>
      </c>
      <c r="AE14" s="658">
        <v>1800</v>
      </c>
      <c r="AF14" s="658">
        <v>5629</v>
      </c>
      <c r="AG14" s="658">
        <v>5629</v>
      </c>
      <c r="AH14" s="506">
        <f t="shared" si="3"/>
        <v>0.40929369551277683</v>
      </c>
      <c r="AI14" s="505">
        <f t="shared" si="9"/>
        <v>38.398570200690344</v>
      </c>
      <c r="AL14" s="652" t="s">
        <v>153</v>
      </c>
      <c r="AM14" s="658">
        <v>202313.16</v>
      </c>
      <c r="AN14" s="658">
        <v>113856</v>
      </c>
      <c r="AO14" s="658">
        <v>177900</v>
      </c>
      <c r="AP14" s="658">
        <v>200460</v>
      </c>
      <c r="AQ14" s="506">
        <f t="shared" si="4"/>
        <v>0.56277110198862001</v>
      </c>
      <c r="AR14" s="505">
        <f t="shared" si="10"/>
        <v>26.379895405716564</v>
      </c>
      <c r="AU14" s="652" t="s">
        <v>175</v>
      </c>
      <c r="AV14" s="658">
        <v>463.08</v>
      </c>
      <c r="AW14" s="658">
        <v>276</v>
      </c>
      <c r="AX14" s="658">
        <v>1188</v>
      </c>
      <c r="AY14" s="658">
        <v>1188</v>
      </c>
      <c r="AZ14" s="506">
        <f t="shared" si="5"/>
        <v>0.5960093288416688</v>
      </c>
      <c r="BA14" s="505">
        <f t="shared" si="11"/>
        <v>76.962943767815503</v>
      </c>
    </row>
    <row r="15" spans="2:53">
      <c r="B15" s="652" t="s">
        <v>175</v>
      </c>
      <c r="C15" s="658">
        <v>9007.68</v>
      </c>
      <c r="D15" s="658">
        <v>6984</v>
      </c>
      <c r="E15" s="658">
        <v>12696</v>
      </c>
      <c r="F15" s="658">
        <v>12696</v>
      </c>
      <c r="G15" s="506">
        <f t="shared" si="0"/>
        <v>0.77533837791751037</v>
      </c>
      <c r="H15" s="505">
        <f t="shared" si="6"/>
        <v>42.283917723542572</v>
      </c>
      <c r="K15" s="652" t="s">
        <v>105</v>
      </c>
      <c r="L15" s="658">
        <v>28982.519999999997</v>
      </c>
      <c r="M15" s="658">
        <v>20208</v>
      </c>
      <c r="N15" s="658">
        <v>23100</v>
      </c>
      <c r="O15" s="658">
        <v>24996</v>
      </c>
      <c r="P15" s="506">
        <f t="shared" si="1"/>
        <v>0.69724785836428305</v>
      </c>
      <c r="Q15" s="505">
        <f t="shared" si="7"/>
        <v>23.910964263977046</v>
      </c>
      <c r="T15" s="652" t="s">
        <v>175</v>
      </c>
      <c r="U15" s="658">
        <v>578.88</v>
      </c>
      <c r="V15" s="658">
        <v>108</v>
      </c>
      <c r="W15" s="658">
        <v>84</v>
      </c>
      <c r="X15" s="658">
        <v>84</v>
      </c>
      <c r="Y15" s="506">
        <f t="shared" si="2"/>
        <v>0.18656716417910449</v>
      </c>
      <c r="Z15" s="505">
        <f t="shared" si="8"/>
        <v>4.3532338308457712</v>
      </c>
      <c r="AC15" s="652" t="s">
        <v>105</v>
      </c>
      <c r="AD15" s="658">
        <v>5961</v>
      </c>
      <c r="AE15" s="658">
        <v>3890</v>
      </c>
      <c r="AF15" s="658">
        <v>7512</v>
      </c>
      <c r="AG15" s="658">
        <v>7512</v>
      </c>
      <c r="AH15" s="506">
        <f t="shared" si="3"/>
        <v>0.65257507129676229</v>
      </c>
      <c r="AI15" s="505">
        <f t="shared" si="9"/>
        <v>37.805737292400607</v>
      </c>
      <c r="AL15" s="652" t="s">
        <v>175</v>
      </c>
      <c r="AM15" s="658">
        <v>233005.44000000003</v>
      </c>
      <c r="AN15" s="658">
        <v>118776</v>
      </c>
      <c r="AO15" s="658">
        <v>122736</v>
      </c>
      <c r="AP15" s="658">
        <v>146736</v>
      </c>
      <c r="AQ15" s="506">
        <f t="shared" si="4"/>
        <v>0.50975633873612558</v>
      </c>
      <c r="AR15" s="505">
        <f t="shared" si="10"/>
        <v>15.802549502706889</v>
      </c>
      <c r="AU15" s="652" t="s">
        <v>105</v>
      </c>
      <c r="AV15" s="658">
        <v>2035.92</v>
      </c>
      <c r="AW15" s="658">
        <v>456</v>
      </c>
      <c r="AX15" s="658">
        <v>156</v>
      </c>
      <c r="AY15" s="658">
        <v>156</v>
      </c>
      <c r="AZ15" s="506">
        <f t="shared" si="5"/>
        <v>0.22397736649770128</v>
      </c>
      <c r="BA15" s="505">
        <f t="shared" si="11"/>
        <v>2.2987150772132501</v>
      </c>
    </row>
    <row r="16" spans="2:53">
      <c r="B16" s="652" t="s">
        <v>105</v>
      </c>
      <c r="C16" s="658">
        <v>30599.879999999997</v>
      </c>
      <c r="D16" s="658">
        <v>12360</v>
      </c>
      <c r="E16" s="658">
        <v>9948</v>
      </c>
      <c r="F16" s="658">
        <v>9948</v>
      </c>
      <c r="G16" s="506">
        <f t="shared" si="0"/>
        <v>0.40392315263981432</v>
      </c>
      <c r="H16" s="505">
        <f t="shared" si="6"/>
        <v>9.7529794234487213</v>
      </c>
      <c r="K16" s="652" t="s">
        <v>87</v>
      </c>
      <c r="L16" s="658">
        <v>30298.799999999999</v>
      </c>
      <c r="M16" s="658">
        <v>16176</v>
      </c>
      <c r="N16" s="658">
        <v>23952</v>
      </c>
      <c r="O16" s="658">
        <v>28776</v>
      </c>
      <c r="P16" s="506">
        <f t="shared" si="1"/>
        <v>0.53388253000118813</v>
      </c>
      <c r="Q16" s="505">
        <f t="shared" si="7"/>
        <v>23.715790724385126</v>
      </c>
      <c r="T16" s="652" t="s">
        <v>105</v>
      </c>
      <c r="U16" s="658">
        <v>72</v>
      </c>
      <c r="V16" s="658">
        <v>96</v>
      </c>
      <c r="W16" s="658">
        <v>168</v>
      </c>
      <c r="X16" s="658">
        <v>168</v>
      </c>
      <c r="Y16" s="506">
        <f t="shared" si="2"/>
        <v>1.3333333333333333</v>
      </c>
      <c r="Z16" s="505">
        <f t="shared" si="8"/>
        <v>70</v>
      </c>
      <c r="AC16" s="652" t="s">
        <v>87</v>
      </c>
      <c r="AD16" s="658">
        <v>14170.13</v>
      </c>
      <c r="AE16" s="658">
        <v>9647</v>
      </c>
      <c r="AF16" s="658">
        <v>3237</v>
      </c>
      <c r="AG16" s="658">
        <v>3237</v>
      </c>
      <c r="AH16" s="506">
        <f t="shared" si="3"/>
        <v>0.68079827072863841</v>
      </c>
      <c r="AI16" s="505">
        <f t="shared" si="9"/>
        <v>6.8531481362556317</v>
      </c>
      <c r="AL16" s="652" t="s">
        <v>105</v>
      </c>
      <c r="AM16" s="658">
        <v>442332</v>
      </c>
      <c r="AN16" s="658">
        <v>286344</v>
      </c>
      <c r="AO16" s="658">
        <v>617592</v>
      </c>
      <c r="AP16" s="658">
        <v>650772</v>
      </c>
      <c r="AQ16" s="506">
        <f t="shared" si="4"/>
        <v>0.64735085863107344</v>
      </c>
      <c r="AR16" s="505">
        <f t="shared" si="10"/>
        <v>41.886546756734759</v>
      </c>
      <c r="AU16" s="652" t="s">
        <v>87</v>
      </c>
      <c r="AV16" s="658">
        <v>6194.88</v>
      </c>
      <c r="AW16" s="658">
        <v>3924</v>
      </c>
      <c r="AX16" s="658">
        <v>8652</v>
      </c>
      <c r="AY16" s="658">
        <v>8652</v>
      </c>
      <c r="AZ16" s="506">
        <f t="shared" si="5"/>
        <v>0.63342631334263133</v>
      </c>
      <c r="BA16" s="505">
        <f t="shared" si="11"/>
        <v>41.899116689911665</v>
      </c>
    </row>
    <row r="17" spans="2:53">
      <c r="B17" s="652" t="s">
        <v>87</v>
      </c>
      <c r="C17" s="658">
        <v>76097.399999999994</v>
      </c>
      <c r="D17" s="658">
        <v>32448</v>
      </c>
      <c r="E17" s="658">
        <v>31284</v>
      </c>
      <c r="F17" s="658">
        <v>31284</v>
      </c>
      <c r="G17" s="506">
        <f t="shared" si="0"/>
        <v>0.42640090200190811</v>
      </c>
      <c r="H17" s="505">
        <f t="shared" si="6"/>
        <v>12.333141473953118</v>
      </c>
      <c r="K17" s="652" t="s">
        <v>97</v>
      </c>
      <c r="L17" s="658">
        <v>13499.88</v>
      </c>
      <c r="M17" s="658">
        <v>5892</v>
      </c>
      <c r="N17" s="658">
        <v>22884</v>
      </c>
      <c r="O17" s="658">
        <v>22884</v>
      </c>
      <c r="P17" s="506">
        <f t="shared" si="1"/>
        <v>0.43644832398510214</v>
      </c>
      <c r="Q17" s="505">
        <f t="shared" si="7"/>
        <v>50.853785366981043</v>
      </c>
      <c r="T17" s="652" t="s">
        <v>87</v>
      </c>
      <c r="U17" s="658">
        <v>320.64</v>
      </c>
      <c r="V17" s="658">
        <v>312</v>
      </c>
      <c r="W17" s="658">
        <v>912</v>
      </c>
      <c r="X17" s="658">
        <v>912</v>
      </c>
      <c r="Y17" s="506">
        <f t="shared" si="2"/>
        <v>0.97305389221556893</v>
      </c>
      <c r="Z17" s="505">
        <f t="shared" si="8"/>
        <v>85.329341317365277</v>
      </c>
      <c r="AC17" s="652" t="s">
        <v>97</v>
      </c>
      <c r="AD17" s="658">
        <v>1667</v>
      </c>
      <c r="AE17" s="658">
        <v>752</v>
      </c>
      <c r="AF17" s="658">
        <v>2068</v>
      </c>
      <c r="AG17" s="658">
        <v>2068</v>
      </c>
      <c r="AH17" s="506">
        <f t="shared" si="3"/>
        <v>0.45110977804439112</v>
      </c>
      <c r="AI17" s="505">
        <f t="shared" si="9"/>
        <v>37.216556688662266</v>
      </c>
      <c r="AL17" s="652" t="s">
        <v>87</v>
      </c>
      <c r="AM17" s="658">
        <v>998060.27999999968</v>
      </c>
      <c r="AN17" s="658">
        <v>573392</v>
      </c>
      <c r="AO17" s="658">
        <v>539854</v>
      </c>
      <c r="AP17" s="658">
        <v>662110</v>
      </c>
      <c r="AQ17" s="506">
        <f t="shared" si="4"/>
        <v>0.57450638151835898</v>
      </c>
      <c r="AR17" s="505">
        <f t="shared" si="10"/>
        <v>16.22709602269715</v>
      </c>
      <c r="AU17" s="652" t="s">
        <v>97</v>
      </c>
      <c r="AV17" s="658">
        <v>588</v>
      </c>
      <c r="AW17" s="658">
        <v>168</v>
      </c>
      <c r="AX17" s="658">
        <v>108</v>
      </c>
      <c r="AY17" s="658">
        <v>138</v>
      </c>
      <c r="AZ17" s="506">
        <f t="shared" si="5"/>
        <v>0.2857142857142857</v>
      </c>
      <c r="BA17" s="505">
        <f t="shared" si="11"/>
        <v>5.5102040816326525</v>
      </c>
    </row>
    <row r="18" spans="2:53">
      <c r="B18" s="652" t="s">
        <v>97</v>
      </c>
      <c r="C18" s="658">
        <v>24999.96</v>
      </c>
      <c r="D18" s="658">
        <v>15480</v>
      </c>
      <c r="E18" s="658">
        <v>13644</v>
      </c>
      <c r="F18" s="658">
        <v>13644</v>
      </c>
      <c r="G18" s="506">
        <f t="shared" si="0"/>
        <v>0.61920099072158519</v>
      </c>
      <c r="H18" s="505">
        <f t="shared" si="6"/>
        <v>16.372826196521913</v>
      </c>
      <c r="K18" s="652" t="s">
        <v>716</v>
      </c>
      <c r="L18" s="658">
        <v>13191.6</v>
      </c>
      <c r="M18" s="658">
        <v>7692</v>
      </c>
      <c r="N18" s="658">
        <v>15528</v>
      </c>
      <c r="O18" s="658">
        <v>15528</v>
      </c>
      <c r="P18" s="506">
        <f t="shared" si="1"/>
        <v>0.58309833530428457</v>
      </c>
      <c r="Q18" s="505">
        <f t="shared" si="7"/>
        <v>35.313381242608934</v>
      </c>
      <c r="T18" s="652" t="s">
        <v>97</v>
      </c>
      <c r="U18" s="658">
        <v>60</v>
      </c>
      <c r="V18" s="658">
        <v>24</v>
      </c>
      <c r="W18" s="658">
        <v>132</v>
      </c>
      <c r="X18" s="658">
        <v>132</v>
      </c>
      <c r="Y18" s="506">
        <f t="shared" si="2"/>
        <v>0.4</v>
      </c>
      <c r="Z18" s="505">
        <f t="shared" si="8"/>
        <v>66</v>
      </c>
      <c r="AC18" s="652" t="s">
        <v>716</v>
      </c>
      <c r="AD18" s="658">
        <v>5856.1100000000006</v>
      </c>
      <c r="AE18" s="658">
        <v>2807</v>
      </c>
      <c r="AF18" s="658">
        <v>6967</v>
      </c>
      <c r="AG18" s="658">
        <v>6967</v>
      </c>
      <c r="AH18" s="506">
        <f t="shared" si="3"/>
        <v>0.47932842791545921</v>
      </c>
      <c r="AI18" s="505">
        <f t="shared" si="9"/>
        <v>35.690927936804464</v>
      </c>
      <c r="AL18" s="652" t="s">
        <v>97</v>
      </c>
      <c r="AM18" s="658">
        <v>143199.6</v>
      </c>
      <c r="AN18" s="658">
        <v>73416</v>
      </c>
      <c r="AO18" s="658">
        <v>136740</v>
      </c>
      <c r="AP18" s="658">
        <v>136740</v>
      </c>
      <c r="AQ18" s="506">
        <f t="shared" si="4"/>
        <v>0.51268299632121872</v>
      </c>
      <c r="AR18" s="505">
        <f t="shared" si="10"/>
        <v>28.646728063486208</v>
      </c>
      <c r="AU18" s="652" t="s">
        <v>716</v>
      </c>
      <c r="AV18" s="658">
        <v>1929.96</v>
      </c>
      <c r="AW18" s="658">
        <v>36</v>
      </c>
      <c r="AX18" s="658">
        <v>1740</v>
      </c>
      <c r="AY18" s="658">
        <v>1740</v>
      </c>
      <c r="AZ18" s="506">
        <f t="shared" si="5"/>
        <v>1.8653236336504384E-2</v>
      </c>
      <c r="BA18" s="505">
        <f t="shared" si="11"/>
        <v>27.047192687931354</v>
      </c>
    </row>
    <row r="19" spans="2:53">
      <c r="B19" s="652" t="s">
        <v>716</v>
      </c>
      <c r="C19" s="658">
        <v>19627.2</v>
      </c>
      <c r="D19" s="658">
        <v>6840</v>
      </c>
      <c r="E19" s="658">
        <v>1524</v>
      </c>
      <c r="F19" s="658">
        <v>1524</v>
      </c>
      <c r="G19" s="506">
        <f t="shared" si="0"/>
        <v>0.34849596478356565</v>
      </c>
      <c r="H19" s="505">
        <f t="shared" si="6"/>
        <v>2.3294203961848861</v>
      </c>
      <c r="K19" s="652" t="s">
        <v>961</v>
      </c>
      <c r="L19" s="658">
        <v>36699.96</v>
      </c>
      <c r="M19" s="658">
        <v>21888</v>
      </c>
      <c r="N19" s="658">
        <v>36168</v>
      </c>
      <c r="O19" s="658">
        <v>36168</v>
      </c>
      <c r="P19" s="506">
        <f t="shared" si="1"/>
        <v>0.59640391978628859</v>
      </c>
      <c r="Q19" s="505">
        <f t="shared" si="7"/>
        <v>29.565154839405821</v>
      </c>
      <c r="T19" s="652" t="s">
        <v>716</v>
      </c>
      <c r="U19" s="658">
        <v>1350.8400000000001</v>
      </c>
      <c r="V19" s="658">
        <v>36</v>
      </c>
      <c r="W19" s="658">
        <v>840</v>
      </c>
      <c r="X19" s="658">
        <v>840</v>
      </c>
      <c r="Y19" s="506">
        <f t="shared" si="2"/>
        <v>2.6650084391933906E-2</v>
      </c>
      <c r="Z19" s="505">
        <f t="shared" si="8"/>
        <v>18.655059074353733</v>
      </c>
      <c r="AC19" s="652" t="s">
        <v>961</v>
      </c>
      <c r="AD19" s="658">
        <v>5620</v>
      </c>
      <c r="AE19" s="658">
        <v>4044</v>
      </c>
      <c r="AF19" s="658">
        <v>6869</v>
      </c>
      <c r="AG19" s="658">
        <v>6869</v>
      </c>
      <c r="AH19" s="506">
        <f t="shared" si="3"/>
        <v>0.71957295373665475</v>
      </c>
      <c r="AI19" s="505">
        <f t="shared" si="9"/>
        <v>36.667259786476869</v>
      </c>
      <c r="AL19" s="652" t="s">
        <v>716</v>
      </c>
      <c r="AM19" s="658">
        <v>248655.24</v>
      </c>
      <c r="AN19" s="658">
        <v>142164</v>
      </c>
      <c r="AO19" s="658">
        <v>197100</v>
      </c>
      <c r="AP19" s="658">
        <v>197100</v>
      </c>
      <c r="AQ19" s="506">
        <f t="shared" si="4"/>
        <v>0.57173136588635742</v>
      </c>
      <c r="AR19" s="505">
        <f t="shared" si="10"/>
        <v>23.779913103781766</v>
      </c>
      <c r="AU19" s="652" t="s">
        <v>961</v>
      </c>
      <c r="AV19" s="658">
        <v>3499.92</v>
      </c>
      <c r="AW19" s="658">
        <v>2556</v>
      </c>
      <c r="AX19" s="658">
        <v>648</v>
      </c>
      <c r="AY19" s="658">
        <v>1048</v>
      </c>
      <c r="AZ19" s="506">
        <f t="shared" si="5"/>
        <v>0.73030240691215798</v>
      </c>
      <c r="BA19" s="505">
        <f t="shared" si="11"/>
        <v>5.5544126722896525</v>
      </c>
    </row>
    <row r="20" spans="2:53">
      <c r="B20" s="652" t="s">
        <v>961</v>
      </c>
      <c r="C20" s="658">
        <v>31271.759999999998</v>
      </c>
      <c r="D20" s="658">
        <v>24420</v>
      </c>
      <c r="E20" s="658">
        <v>9912</v>
      </c>
      <c r="F20" s="658">
        <v>20988</v>
      </c>
      <c r="G20" s="506">
        <f t="shared" ref="G20" si="12">D20/C20</f>
        <v>0.78089624632575849</v>
      </c>
      <c r="H20" s="505">
        <f t="shared" ref="H20" si="13">E20/(C20/30)</f>
        <v>9.5088987636129207</v>
      </c>
      <c r="K20" s="507" t="s">
        <v>118</v>
      </c>
      <c r="L20" s="508">
        <v>252703.91999999998</v>
      </c>
      <c r="M20" s="508">
        <v>141564</v>
      </c>
      <c r="N20" s="508">
        <v>282492</v>
      </c>
      <c r="O20" s="508">
        <v>297612</v>
      </c>
      <c r="P20" s="506">
        <f t="shared" si="1"/>
        <v>0.56019708756397613</v>
      </c>
      <c r="Q20" s="505">
        <f t="shared" si="7"/>
        <v>33.536321874231312</v>
      </c>
      <c r="T20" s="652" t="s">
        <v>961</v>
      </c>
      <c r="U20" s="658">
        <v>312</v>
      </c>
      <c r="V20" s="658">
        <v>1716</v>
      </c>
      <c r="W20" s="658">
        <v>576</v>
      </c>
      <c r="X20" s="658">
        <v>576</v>
      </c>
      <c r="Y20" s="506">
        <f t="shared" si="2"/>
        <v>5.5</v>
      </c>
      <c r="Z20" s="505">
        <f t="shared" si="8"/>
        <v>55.38461538461538</v>
      </c>
      <c r="AC20" s="507" t="s">
        <v>118</v>
      </c>
      <c r="AD20" s="508">
        <v>86200.95</v>
      </c>
      <c r="AE20" s="508">
        <v>50840</v>
      </c>
      <c r="AF20" s="508">
        <v>113671</v>
      </c>
      <c r="AG20" s="508">
        <v>121825</v>
      </c>
      <c r="AH20" s="506">
        <f t="shared" si="3"/>
        <v>0.58978468334745737</v>
      </c>
      <c r="AI20" s="505">
        <f t="shared" si="9"/>
        <v>39.560236865138961</v>
      </c>
      <c r="AL20" s="652" t="s">
        <v>186</v>
      </c>
      <c r="AM20" s="658">
        <v>0</v>
      </c>
      <c r="AN20" s="658">
        <v>0</v>
      </c>
      <c r="AO20" s="658">
        <v>0</v>
      </c>
      <c r="AP20" s="658">
        <v>0</v>
      </c>
      <c r="AQ20" s="506" t="e">
        <f t="shared" si="4"/>
        <v>#DIV/0!</v>
      </c>
      <c r="AR20" s="505" t="e">
        <f t="shared" si="10"/>
        <v>#DIV/0!</v>
      </c>
      <c r="AU20" s="507" t="s">
        <v>118</v>
      </c>
      <c r="AV20" s="508">
        <v>43052.039999999994</v>
      </c>
      <c r="AW20" s="508">
        <v>20928</v>
      </c>
      <c r="AX20" s="508">
        <v>27480</v>
      </c>
      <c r="AY20" s="508">
        <v>28294</v>
      </c>
      <c r="AZ20" s="506">
        <f t="shared" si="5"/>
        <v>0.48610936903338386</v>
      </c>
      <c r="BA20" s="505">
        <f t="shared" si="11"/>
        <v>19.14891837878066</v>
      </c>
    </row>
    <row r="21" spans="2:53" ht="15">
      <c r="B21" s="507" t="s">
        <v>118</v>
      </c>
      <c r="C21" s="508">
        <v>436307.4</v>
      </c>
      <c r="D21" s="508">
        <v>219036</v>
      </c>
      <c r="E21" s="508">
        <v>234396</v>
      </c>
      <c r="F21" s="508">
        <v>258348</v>
      </c>
      <c r="G21" s="506"/>
      <c r="H21" s="505"/>
      <c r="K21"/>
      <c r="L21"/>
      <c r="M21"/>
      <c r="N21"/>
      <c r="O21"/>
      <c r="P21" s="506" t="e">
        <f t="shared" si="1"/>
        <v>#DIV/0!</v>
      </c>
      <c r="Q21" s="505" t="e">
        <f t="shared" si="7"/>
        <v>#DIV/0!</v>
      </c>
      <c r="T21" s="507" t="s">
        <v>118</v>
      </c>
      <c r="U21" s="508">
        <v>4669.2</v>
      </c>
      <c r="V21" s="508">
        <v>2736</v>
      </c>
      <c r="W21" s="508">
        <v>5988</v>
      </c>
      <c r="X21" s="508">
        <v>5988</v>
      </c>
      <c r="Y21" s="506"/>
      <c r="Z21" s="505"/>
      <c r="AC21"/>
      <c r="AD21"/>
      <c r="AE21"/>
      <c r="AF21"/>
      <c r="AG21"/>
      <c r="AH21" s="506"/>
      <c r="AI21" s="505"/>
      <c r="AL21" s="652" t="s">
        <v>961</v>
      </c>
      <c r="AM21" s="658">
        <v>497075.0400000001</v>
      </c>
      <c r="AN21" s="658">
        <v>313116</v>
      </c>
      <c r="AO21" s="658">
        <v>244140</v>
      </c>
      <c r="AP21" s="658">
        <v>268140</v>
      </c>
      <c r="AQ21" s="506">
        <f t="shared" si="4"/>
        <v>0.62991696384513685</v>
      </c>
      <c r="AR21" s="505">
        <f t="shared" si="10"/>
        <v>14.734596209055276</v>
      </c>
      <c r="AU21"/>
      <c r="AV21"/>
      <c r="AW21"/>
      <c r="AX21"/>
      <c r="AY21"/>
      <c r="AZ21" s="506"/>
      <c r="BA21" s="505"/>
    </row>
    <row r="22" spans="2:53" ht="15">
      <c r="B22"/>
      <c r="C22"/>
      <c r="D22"/>
      <c r="E22"/>
      <c r="F22"/>
      <c r="G22" s="506"/>
      <c r="H22" s="505"/>
      <c r="K22"/>
      <c r="L22"/>
      <c r="M22"/>
      <c r="N22"/>
      <c r="O22"/>
      <c r="P22" s="506"/>
      <c r="Q22" s="505"/>
      <c r="T22"/>
      <c r="U22"/>
      <c r="V22"/>
      <c r="W22"/>
      <c r="X22"/>
      <c r="Y22" s="506"/>
      <c r="Z22" s="505"/>
      <c r="AC22"/>
      <c r="AD22"/>
      <c r="AE22"/>
      <c r="AF22"/>
      <c r="AG22"/>
      <c r="AH22" s="506"/>
      <c r="AI22" s="505"/>
      <c r="AL22" s="507" t="s">
        <v>118</v>
      </c>
      <c r="AM22" s="508">
        <v>5417188.4199999999</v>
      </c>
      <c r="AN22" s="508">
        <v>3107580</v>
      </c>
      <c r="AO22" s="508">
        <v>3764366</v>
      </c>
      <c r="AP22" s="508">
        <v>4484438</v>
      </c>
      <c r="AQ22" s="506">
        <f t="shared" si="4"/>
        <v>0.5736518206616118</v>
      </c>
      <c r="AR22" s="505">
        <f t="shared" si="10"/>
        <v>20.846788268073571</v>
      </c>
      <c r="AU22"/>
      <c r="AV22"/>
      <c r="AW22"/>
      <c r="AX22"/>
      <c r="AY22"/>
      <c r="AZ22" s="506"/>
      <c r="BA22" s="505"/>
    </row>
    <row r="23" spans="2:53" ht="15">
      <c r="B23"/>
      <c r="C23"/>
      <c r="D23"/>
      <c r="E23"/>
      <c r="F23"/>
      <c r="K23"/>
      <c r="L23"/>
      <c r="M23"/>
      <c r="N23"/>
      <c r="O23"/>
      <c r="P23" s="502"/>
      <c r="Q23" s="500"/>
      <c r="T23"/>
      <c r="U23"/>
      <c r="V23"/>
      <c r="W23"/>
      <c r="X23"/>
      <c r="Y23" s="502"/>
      <c r="Z23" s="500"/>
      <c r="AC23"/>
      <c r="AD23"/>
      <c r="AE23"/>
      <c r="AF23"/>
      <c r="AG23"/>
      <c r="AH23" s="502"/>
      <c r="AI23" s="500"/>
      <c r="AL23"/>
      <c r="AM23"/>
      <c r="AN23"/>
      <c r="AO23"/>
      <c r="AP23"/>
      <c r="AQ23" s="502"/>
      <c r="AR23" s="500"/>
      <c r="AU23"/>
      <c r="AV23"/>
      <c r="AW23"/>
      <c r="AX23"/>
      <c r="AY23"/>
      <c r="AZ23" s="502"/>
      <c r="BA23" s="500"/>
    </row>
    <row r="24" spans="2:53">
      <c r="C24" s="501"/>
      <c r="D24" s="501"/>
      <c r="F24" s="501"/>
      <c r="P24" s="502"/>
      <c r="Q24" s="500"/>
      <c r="Y24" s="502"/>
      <c r="Z24" s="500"/>
      <c r="AH24" s="502"/>
      <c r="AI24" s="500"/>
      <c r="AQ24" s="502"/>
      <c r="AR24" s="500"/>
      <c r="AZ24" s="502"/>
      <c r="BA24" s="500"/>
    </row>
    <row r="25" spans="2:53">
      <c r="C25" s="501"/>
      <c r="D25" s="501"/>
      <c r="F25" s="501"/>
    </row>
    <row r="26" spans="2:53">
      <c r="C26" s="501"/>
      <c r="D26" s="501"/>
      <c r="F26" s="501"/>
    </row>
    <row r="27" spans="2:53" ht="15">
      <c r="B27" s="507"/>
      <c r="C27" s="508"/>
      <c r="D27" s="508"/>
      <c r="E27" s="508"/>
      <c r="F27" s="508"/>
      <c r="G27" s="506"/>
      <c r="H27" s="505"/>
      <c r="K27"/>
      <c r="L27"/>
      <c r="M27"/>
      <c r="N27"/>
      <c r="O27"/>
      <c r="P27" s="506"/>
      <c r="Q27" s="505"/>
      <c r="T27" s="624"/>
      <c r="U27" s="625"/>
      <c r="V27" s="625"/>
      <c r="W27" s="625"/>
      <c r="X27" s="625"/>
      <c r="Y27" s="506"/>
      <c r="Z27" s="505"/>
      <c r="AC27"/>
      <c r="AD27"/>
      <c r="AE27"/>
      <c r="AF27"/>
      <c r="AG27"/>
      <c r="AH27" s="506"/>
      <c r="AI27" s="505"/>
      <c r="AM27" s="505"/>
      <c r="AN27" s="505"/>
      <c r="AO27" s="505"/>
      <c r="AP27" s="505"/>
      <c r="AQ27" s="506"/>
      <c r="AR27" s="505"/>
      <c r="AU27"/>
      <c r="AV27"/>
      <c r="AW27"/>
      <c r="AX27"/>
      <c r="AY27"/>
      <c r="AZ27" s="506"/>
      <c r="BA27" s="505"/>
    </row>
    <row r="28" spans="2:53">
      <c r="C28" s="501"/>
      <c r="D28" s="501"/>
      <c r="F28" s="501"/>
    </row>
    <row r="29" spans="2:53">
      <c r="C29" s="501"/>
      <c r="D29" s="501"/>
      <c r="F29" s="501"/>
    </row>
    <row r="30" spans="2:53">
      <c r="C30" s="501"/>
      <c r="D30" s="501"/>
      <c r="F30" s="501"/>
    </row>
    <row r="31" spans="2:53">
      <c r="C31" s="501"/>
      <c r="D31" s="501"/>
      <c r="F31" s="501"/>
    </row>
    <row r="32" spans="2:53">
      <c r="C32" s="501"/>
      <c r="D32" s="501"/>
      <c r="F32" s="501"/>
    </row>
    <row r="33" spans="3:6">
      <c r="C33" s="501"/>
      <c r="D33" s="501"/>
      <c r="F33" s="501"/>
    </row>
    <row r="34" spans="3:6">
      <c r="C34" s="501"/>
      <c r="D34" s="501"/>
      <c r="F34" s="501"/>
    </row>
    <row r="35" spans="3:6">
      <c r="C35" s="501"/>
      <c r="D35" s="501"/>
      <c r="F35" s="501"/>
    </row>
    <row r="36" spans="3:6">
      <c r="C36" s="501"/>
      <c r="D36" s="501"/>
      <c r="F36" s="501"/>
    </row>
    <row r="37" spans="3:6">
      <c r="C37" s="501"/>
      <c r="D37" s="501"/>
      <c r="F37" s="501"/>
    </row>
  </sheetData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B9C-4035-4948-8362-813CAC5C656B}">
  <sheetPr>
    <tabColor rgb="FFFFFF00"/>
  </sheetPr>
  <dimension ref="A1:XFD930"/>
  <sheetViews>
    <sheetView zoomScaleNormal="100" workbookViewId="0">
      <selection activeCell="A2" sqref="A2"/>
    </sheetView>
  </sheetViews>
  <sheetFormatPr defaultColWidth="8.85546875" defaultRowHeight="12"/>
  <cols>
    <col min="1" max="1" width="6" style="389" bestFit="1" customWidth="1"/>
    <col min="2" max="2" width="21" style="39" customWidth="1"/>
    <col min="3" max="3" width="13.85546875" style="405" customWidth="1"/>
    <col min="4" max="4" width="16.7109375" style="406" customWidth="1"/>
    <col min="5" max="5" width="41.85546875" style="39" customWidth="1"/>
    <col min="6" max="6" width="13.140625" style="39" customWidth="1"/>
    <col min="7" max="7" width="21.28515625" style="389" customWidth="1"/>
    <col min="8" max="8" width="18.5703125" style="389" customWidth="1"/>
    <col min="9" max="11" width="8.85546875" style="4"/>
    <col min="12" max="12" width="18.42578125" style="4" bestFit="1" customWidth="1"/>
    <col min="13" max="13" width="16.42578125" style="4" bestFit="1" customWidth="1"/>
    <col min="14" max="14" width="8.85546875" style="4"/>
    <col min="15" max="15" width="24" style="4" bestFit="1" customWidth="1"/>
    <col min="16" max="22" width="8.85546875" style="4"/>
    <col min="23" max="23" width="17.85546875" style="4" bestFit="1" customWidth="1"/>
    <col min="24" max="16384" width="8.85546875" style="4"/>
  </cols>
  <sheetData>
    <row r="1" spans="1:23" s="376" customFormat="1" ht="43.9" customHeight="1">
      <c r="A1" s="375" t="s">
        <v>0</v>
      </c>
      <c r="B1" s="375" t="s">
        <v>1</v>
      </c>
      <c r="C1" s="399" t="s">
        <v>2</v>
      </c>
      <c r="D1" s="400" t="s">
        <v>3</v>
      </c>
      <c r="E1" s="375" t="s">
        <v>4</v>
      </c>
      <c r="F1" s="375" t="s">
        <v>5</v>
      </c>
      <c r="G1" s="375" t="s">
        <v>6</v>
      </c>
      <c r="H1" s="375" t="s">
        <v>894</v>
      </c>
      <c r="K1" s="377" t="s">
        <v>0</v>
      </c>
      <c r="L1" s="377" t="s">
        <v>793</v>
      </c>
      <c r="M1" s="378" t="s">
        <v>1</v>
      </c>
      <c r="N1" s="379" t="s">
        <v>791</v>
      </c>
      <c r="O1" s="379" t="s">
        <v>837</v>
      </c>
      <c r="W1" s="372" t="s">
        <v>21</v>
      </c>
    </row>
    <row r="2" spans="1:23">
      <c r="A2" s="393" t="s">
        <v>185</v>
      </c>
      <c r="B2" s="380" t="s">
        <v>186</v>
      </c>
      <c r="C2" s="401" t="s">
        <v>15</v>
      </c>
      <c r="D2" s="402" t="s">
        <v>821</v>
      </c>
      <c r="E2" s="380" t="s">
        <v>16</v>
      </c>
      <c r="F2" s="380" t="s">
        <v>17</v>
      </c>
      <c r="G2" s="381" t="s">
        <v>1021</v>
      </c>
      <c r="H2" s="381" t="s">
        <v>1021</v>
      </c>
      <c r="K2" s="3">
        <v>1000</v>
      </c>
      <c r="L2" s="384" t="s">
        <v>794</v>
      </c>
      <c r="M2" s="395" t="s">
        <v>837</v>
      </c>
      <c r="N2" s="383" t="s">
        <v>13</v>
      </c>
      <c r="O2" s="383" t="s">
        <v>838</v>
      </c>
      <c r="W2" s="373" t="s">
        <v>18</v>
      </c>
    </row>
    <row r="3" spans="1:23">
      <c r="A3" s="380" t="s">
        <v>13</v>
      </c>
      <c r="B3" s="380" t="s">
        <v>14</v>
      </c>
      <c r="C3" s="401" t="s">
        <v>15</v>
      </c>
      <c r="D3" s="402" t="s">
        <v>753</v>
      </c>
      <c r="E3" s="380" t="s">
        <v>16</v>
      </c>
      <c r="F3" s="380" t="s">
        <v>17</v>
      </c>
      <c r="G3" s="381" t="s">
        <v>1021</v>
      </c>
      <c r="H3" s="381" t="s">
        <v>1021</v>
      </c>
      <c r="K3" s="382">
        <v>1110</v>
      </c>
      <c r="L3" s="382" t="s">
        <v>795</v>
      </c>
      <c r="M3" s="4" t="e">
        <v>#N/A</v>
      </c>
      <c r="N3" s="383" t="s">
        <v>792</v>
      </c>
      <c r="O3" s="383" t="s">
        <v>839</v>
      </c>
      <c r="W3" s="373" t="s">
        <v>1049</v>
      </c>
    </row>
    <row r="4" spans="1:23">
      <c r="A4" s="380" t="s">
        <v>13</v>
      </c>
      <c r="B4" s="380" t="s">
        <v>14</v>
      </c>
      <c r="C4" s="401" t="s">
        <v>55</v>
      </c>
      <c r="D4" s="402" t="s">
        <v>754</v>
      </c>
      <c r="E4" s="380" t="s">
        <v>56</v>
      </c>
      <c r="F4" s="380" t="s">
        <v>17</v>
      </c>
      <c r="G4" s="381" t="s">
        <v>1021</v>
      </c>
      <c r="H4" s="381" t="s">
        <v>1021</v>
      </c>
      <c r="K4" s="384">
        <v>1200</v>
      </c>
      <c r="L4" s="384" t="s">
        <v>179</v>
      </c>
      <c r="M4" s="4" t="e">
        <v>#N/A</v>
      </c>
      <c r="N4" s="383" t="s">
        <v>26</v>
      </c>
      <c r="O4" s="383" t="s">
        <v>27</v>
      </c>
      <c r="W4" s="373" t="s">
        <v>1050</v>
      </c>
    </row>
    <row r="5" spans="1:23">
      <c r="A5" s="380" t="s">
        <v>13</v>
      </c>
      <c r="B5" s="380" t="s">
        <v>14</v>
      </c>
      <c r="C5" s="401" t="s">
        <v>19</v>
      </c>
      <c r="D5" s="402" t="s">
        <v>200</v>
      </c>
      <c r="E5" s="380" t="s">
        <v>20</v>
      </c>
      <c r="F5" s="380" t="s">
        <v>17</v>
      </c>
      <c r="G5" s="381" t="s">
        <v>21</v>
      </c>
      <c r="H5" s="381" t="s">
        <v>864</v>
      </c>
      <c r="K5" s="384">
        <v>2000</v>
      </c>
      <c r="L5" s="384" t="s">
        <v>796</v>
      </c>
      <c r="M5" s="4" t="s">
        <v>14</v>
      </c>
      <c r="N5" s="383" t="s">
        <v>86</v>
      </c>
      <c r="O5" s="383" t="s">
        <v>87</v>
      </c>
      <c r="W5" s="373" t="s">
        <v>172</v>
      </c>
    </row>
    <row r="6" spans="1:23">
      <c r="A6" s="380" t="s">
        <v>13</v>
      </c>
      <c r="B6" s="380" t="s">
        <v>14</v>
      </c>
      <c r="C6" s="401" t="s">
        <v>61</v>
      </c>
      <c r="D6" s="402" t="s">
        <v>755</v>
      </c>
      <c r="E6" s="380" t="s">
        <v>62</v>
      </c>
      <c r="F6" s="380" t="s">
        <v>17</v>
      </c>
      <c r="G6" s="381" t="s">
        <v>1021</v>
      </c>
      <c r="H6" s="381" t="s">
        <v>1021</v>
      </c>
      <c r="K6" s="382">
        <v>3500</v>
      </c>
      <c r="L6" s="382" t="s">
        <v>797</v>
      </c>
      <c r="M6" s="4" t="e">
        <v>#N/A</v>
      </c>
      <c r="N6" s="383" t="s">
        <v>94</v>
      </c>
      <c r="O6" s="383" t="s">
        <v>95</v>
      </c>
      <c r="W6" s="373" t="s">
        <v>173</v>
      </c>
    </row>
    <row r="7" spans="1:23">
      <c r="A7" s="380" t="s">
        <v>13</v>
      </c>
      <c r="B7" s="380" t="s">
        <v>14</v>
      </c>
      <c r="C7" s="401" t="s">
        <v>22</v>
      </c>
      <c r="D7" s="402" t="s">
        <v>201</v>
      </c>
      <c r="E7" s="380" t="s">
        <v>23</v>
      </c>
      <c r="F7" s="380" t="s">
        <v>17</v>
      </c>
      <c r="G7" s="381" t="s">
        <v>1021</v>
      </c>
      <c r="H7" s="381" t="s">
        <v>1021</v>
      </c>
      <c r="K7" s="384">
        <v>4100</v>
      </c>
      <c r="L7" s="384" t="s">
        <v>798</v>
      </c>
      <c r="M7" s="4" t="e">
        <v>#N/A</v>
      </c>
      <c r="N7" s="383" t="s">
        <v>96</v>
      </c>
      <c r="O7" s="383" t="s">
        <v>97</v>
      </c>
      <c r="W7" s="373" t="s">
        <v>1051</v>
      </c>
    </row>
    <row r="8" spans="1:23">
      <c r="A8" s="380" t="s">
        <v>13</v>
      </c>
      <c r="B8" s="380" t="s">
        <v>14</v>
      </c>
      <c r="C8" s="401" t="s">
        <v>191</v>
      </c>
      <c r="D8" s="402" t="s">
        <v>762</v>
      </c>
      <c r="E8" s="380" t="s">
        <v>192</v>
      </c>
      <c r="F8" s="380" t="s">
        <v>17</v>
      </c>
      <c r="G8" s="381" t="s">
        <v>18</v>
      </c>
      <c r="H8" s="381" t="s">
        <v>18</v>
      </c>
      <c r="K8" s="384">
        <v>4101</v>
      </c>
      <c r="L8" s="384" t="s">
        <v>133</v>
      </c>
      <c r="M8" s="4" t="s">
        <v>87</v>
      </c>
      <c r="N8" s="383" t="s">
        <v>152</v>
      </c>
      <c r="O8" s="383" t="s">
        <v>153</v>
      </c>
      <c r="W8" s="373" t="s">
        <v>1052</v>
      </c>
    </row>
    <row r="9" spans="1:23">
      <c r="A9" s="380" t="s">
        <v>13</v>
      </c>
      <c r="B9" s="380" t="s">
        <v>14</v>
      </c>
      <c r="C9" s="401" t="s">
        <v>855</v>
      </c>
      <c r="D9" s="402" t="s">
        <v>1053</v>
      </c>
      <c r="E9" s="380" t="s">
        <v>856</v>
      </c>
      <c r="F9" s="380" t="s">
        <v>17</v>
      </c>
      <c r="G9" s="381" t="s">
        <v>18</v>
      </c>
      <c r="H9" s="381" t="s">
        <v>18</v>
      </c>
      <c r="K9" s="384">
        <v>4102</v>
      </c>
      <c r="L9" s="384" t="s">
        <v>132</v>
      </c>
      <c r="M9" s="4" t="e">
        <v>#N/A</v>
      </c>
      <c r="N9" s="383" t="s">
        <v>98</v>
      </c>
      <c r="O9" s="383" t="s">
        <v>99</v>
      </c>
      <c r="W9" s="373" t="s">
        <v>1054</v>
      </c>
    </row>
    <row r="10" spans="1:23" customFormat="1" ht="15">
      <c r="A10" s="356" t="s">
        <v>26</v>
      </c>
      <c r="B10" s="356" t="s">
        <v>27</v>
      </c>
      <c r="C10" s="356" t="s">
        <v>28</v>
      </c>
      <c r="D10" s="357" t="s">
        <v>202</v>
      </c>
      <c r="E10" s="356" t="s">
        <v>29</v>
      </c>
      <c r="F10" s="356" t="s">
        <v>30</v>
      </c>
      <c r="G10" s="358" t="s">
        <v>172</v>
      </c>
      <c r="H10" s="358" t="s">
        <v>896</v>
      </c>
      <c r="K10" s="68">
        <v>4104</v>
      </c>
      <c r="L10" s="34" t="s">
        <v>842</v>
      </c>
      <c r="M10" t="e">
        <v>#N/A</v>
      </c>
      <c r="N10" s="43" t="s">
        <v>100</v>
      </c>
      <c r="O10" s="43" t="s">
        <v>101</v>
      </c>
      <c r="W10" s="69" t="s">
        <v>1055</v>
      </c>
    </row>
    <row r="11" spans="1:23" customFormat="1" ht="15">
      <c r="A11" s="356" t="s">
        <v>26</v>
      </c>
      <c r="B11" s="356" t="s">
        <v>27</v>
      </c>
      <c r="C11" s="356" t="s">
        <v>88</v>
      </c>
      <c r="D11" s="357" t="s">
        <v>203</v>
      </c>
      <c r="E11" s="356" t="s">
        <v>89</v>
      </c>
      <c r="F11" s="356" t="s">
        <v>31</v>
      </c>
      <c r="G11" s="358" t="s">
        <v>172</v>
      </c>
      <c r="H11" s="358" t="s">
        <v>896</v>
      </c>
      <c r="K11" s="68">
        <v>4105</v>
      </c>
      <c r="L11" s="68" t="s">
        <v>155</v>
      </c>
      <c r="M11" t="e">
        <v>#N/A</v>
      </c>
      <c r="N11" s="43" t="s">
        <v>174</v>
      </c>
      <c r="O11" s="43" t="s">
        <v>175</v>
      </c>
      <c r="W11" s="75"/>
    </row>
    <row r="12" spans="1:23" customFormat="1" ht="15">
      <c r="A12" s="356" t="s">
        <v>26</v>
      </c>
      <c r="B12" s="356" t="s">
        <v>27</v>
      </c>
      <c r="C12" s="356" t="s">
        <v>144</v>
      </c>
      <c r="D12" s="357" t="s">
        <v>204</v>
      </c>
      <c r="E12" s="356" t="s">
        <v>145</v>
      </c>
      <c r="F12" s="356" t="s">
        <v>31</v>
      </c>
      <c r="G12" s="358" t="s">
        <v>172</v>
      </c>
      <c r="H12" s="358" t="s">
        <v>896</v>
      </c>
      <c r="K12" s="68">
        <v>4200</v>
      </c>
      <c r="L12" s="34" t="s">
        <v>799</v>
      </c>
      <c r="M12" t="e">
        <v>#N/A</v>
      </c>
      <c r="N12" s="43" t="s">
        <v>102</v>
      </c>
      <c r="O12" s="43" t="s">
        <v>103</v>
      </c>
    </row>
    <row r="13" spans="1:23" customFormat="1" ht="15">
      <c r="A13" s="356" t="s">
        <v>26</v>
      </c>
      <c r="B13" s="356" t="s">
        <v>27</v>
      </c>
      <c r="C13" s="356" t="s">
        <v>167</v>
      </c>
      <c r="D13" s="357" t="s">
        <v>205</v>
      </c>
      <c r="E13" s="356" t="s">
        <v>168</v>
      </c>
      <c r="F13" s="356" t="s">
        <v>169</v>
      </c>
      <c r="G13" s="358" t="s">
        <v>173</v>
      </c>
      <c r="H13" s="358" t="s">
        <v>896</v>
      </c>
      <c r="K13" s="68">
        <v>4201</v>
      </c>
      <c r="L13" s="68" t="s">
        <v>123</v>
      </c>
      <c r="M13" t="e">
        <v>#N/A</v>
      </c>
      <c r="N13" s="43" t="s">
        <v>104</v>
      </c>
      <c r="O13" s="43" t="s">
        <v>105</v>
      </c>
    </row>
    <row r="14" spans="1:23" customFormat="1" ht="15">
      <c r="A14" s="356" t="s">
        <v>26</v>
      </c>
      <c r="B14" s="356" t="s">
        <v>27</v>
      </c>
      <c r="C14" s="356" t="s">
        <v>198</v>
      </c>
      <c r="D14" s="357" t="s">
        <v>756</v>
      </c>
      <c r="E14" s="356" t="s">
        <v>199</v>
      </c>
      <c r="F14" s="356" t="s">
        <v>30</v>
      </c>
      <c r="G14" s="358" t="s">
        <v>172</v>
      </c>
      <c r="H14" s="358" t="s">
        <v>896</v>
      </c>
      <c r="K14" s="68">
        <v>4203</v>
      </c>
      <c r="L14" s="34" t="s">
        <v>176</v>
      </c>
      <c r="M14" t="e">
        <v>#N/A</v>
      </c>
      <c r="N14" s="43" t="s">
        <v>715</v>
      </c>
      <c r="O14" s="43" t="s">
        <v>716</v>
      </c>
    </row>
    <row r="15" spans="1:23" customFormat="1" ht="15">
      <c r="A15" s="356" t="s">
        <v>26</v>
      </c>
      <c r="B15" s="356" t="s">
        <v>27</v>
      </c>
      <c r="C15" s="356" t="s">
        <v>34</v>
      </c>
      <c r="D15" s="357" t="s">
        <v>206</v>
      </c>
      <c r="E15" s="356" t="s">
        <v>35</v>
      </c>
      <c r="F15" s="356" t="s">
        <v>36</v>
      </c>
      <c r="G15" s="358" t="s">
        <v>996</v>
      </c>
      <c r="H15" s="358" t="s">
        <v>895</v>
      </c>
      <c r="K15" s="68">
        <v>4300</v>
      </c>
      <c r="L15" s="68" t="s">
        <v>800</v>
      </c>
      <c r="M15" t="e">
        <v>#N/A</v>
      </c>
      <c r="N15" s="43" t="s">
        <v>106</v>
      </c>
      <c r="O15" s="43" t="s">
        <v>107</v>
      </c>
    </row>
    <row r="16" spans="1:23" customFormat="1" ht="15">
      <c r="A16" s="356" t="s">
        <v>26</v>
      </c>
      <c r="B16" s="356" t="s">
        <v>27</v>
      </c>
      <c r="C16" s="356" t="s">
        <v>37</v>
      </c>
      <c r="D16" s="357" t="s">
        <v>207</v>
      </c>
      <c r="E16" s="356" t="s">
        <v>38</v>
      </c>
      <c r="F16" s="356" t="s">
        <v>36</v>
      </c>
      <c r="G16" s="358" t="s">
        <v>996</v>
      </c>
      <c r="H16" s="358" t="s">
        <v>895</v>
      </c>
      <c r="K16" s="68">
        <v>4301</v>
      </c>
      <c r="L16" s="68" t="s">
        <v>121</v>
      </c>
      <c r="M16" t="s">
        <v>105</v>
      </c>
      <c r="N16" s="43" t="s">
        <v>108</v>
      </c>
      <c r="O16" s="43" t="s">
        <v>109</v>
      </c>
    </row>
    <row r="17" spans="1:15" customFormat="1" ht="15">
      <c r="A17" s="356" t="s">
        <v>26</v>
      </c>
      <c r="B17" s="356" t="s">
        <v>27</v>
      </c>
      <c r="C17" s="356" t="s">
        <v>41</v>
      </c>
      <c r="D17" s="357" t="s">
        <v>208</v>
      </c>
      <c r="E17" s="356" t="s">
        <v>42</v>
      </c>
      <c r="F17" s="356" t="s">
        <v>36</v>
      </c>
      <c r="G17" s="358" t="s">
        <v>996</v>
      </c>
      <c r="H17" s="358" t="s">
        <v>895</v>
      </c>
      <c r="K17" s="68">
        <v>4302</v>
      </c>
      <c r="L17" s="68" t="s">
        <v>801</v>
      </c>
      <c r="M17" t="e">
        <v>#N/A</v>
      </c>
      <c r="N17" s="43" t="s">
        <v>110</v>
      </c>
      <c r="O17" s="43" t="s">
        <v>111</v>
      </c>
    </row>
    <row r="18" spans="1:15" customFormat="1" ht="15">
      <c r="A18" s="356" t="s">
        <v>26</v>
      </c>
      <c r="B18" s="356" t="s">
        <v>27</v>
      </c>
      <c r="C18" s="356" t="s">
        <v>43</v>
      </c>
      <c r="D18" s="357" t="s">
        <v>209</v>
      </c>
      <c r="E18" s="356" t="s">
        <v>44</v>
      </c>
      <c r="F18" s="356" t="s">
        <v>36</v>
      </c>
      <c r="G18" s="358" t="s">
        <v>996</v>
      </c>
      <c r="H18" s="358" t="s">
        <v>895</v>
      </c>
      <c r="K18" s="68">
        <v>4400</v>
      </c>
      <c r="L18" s="68" t="s">
        <v>128</v>
      </c>
      <c r="M18" t="e">
        <v>#N/A</v>
      </c>
      <c r="N18" s="43" t="s">
        <v>112</v>
      </c>
      <c r="O18" s="43" t="s">
        <v>113</v>
      </c>
    </row>
    <row r="19" spans="1:15" customFormat="1" ht="15">
      <c r="A19" s="356" t="s">
        <v>26</v>
      </c>
      <c r="B19" s="356" t="s">
        <v>27</v>
      </c>
      <c r="C19" s="356" t="s">
        <v>45</v>
      </c>
      <c r="D19" s="357" t="s">
        <v>210</v>
      </c>
      <c r="E19" s="356" t="s">
        <v>46</v>
      </c>
      <c r="F19" s="356" t="s">
        <v>36</v>
      </c>
      <c r="G19" s="358" t="s">
        <v>996</v>
      </c>
      <c r="H19" s="358" t="s">
        <v>895</v>
      </c>
      <c r="K19" s="68">
        <v>4401</v>
      </c>
      <c r="L19" s="68" t="s">
        <v>802</v>
      </c>
      <c r="M19" t="e">
        <v>#N/A</v>
      </c>
    </row>
    <row r="20" spans="1:15" customFormat="1" ht="15">
      <c r="A20" s="356" t="s">
        <v>26</v>
      </c>
      <c r="B20" s="356" t="s">
        <v>27</v>
      </c>
      <c r="C20" s="356" t="s">
        <v>47</v>
      </c>
      <c r="D20" s="357" t="s">
        <v>211</v>
      </c>
      <c r="E20" s="356" t="s">
        <v>48</v>
      </c>
      <c r="F20" s="356" t="s">
        <v>36</v>
      </c>
      <c r="G20" s="358" t="s">
        <v>996</v>
      </c>
      <c r="H20" s="358" t="s">
        <v>895</v>
      </c>
      <c r="K20" s="68">
        <v>4403</v>
      </c>
      <c r="L20" s="68" t="s">
        <v>130</v>
      </c>
      <c r="M20" t="s">
        <v>111</v>
      </c>
    </row>
    <row r="21" spans="1:15" customFormat="1" ht="15">
      <c r="A21" s="356" t="s">
        <v>26</v>
      </c>
      <c r="B21" s="356" t="s">
        <v>27</v>
      </c>
      <c r="C21" s="356" t="s">
        <v>49</v>
      </c>
      <c r="D21" s="357" t="s">
        <v>212</v>
      </c>
      <c r="E21" s="356" t="s">
        <v>50</v>
      </c>
      <c r="F21" s="356" t="s">
        <v>36</v>
      </c>
      <c r="G21" s="358" t="s">
        <v>996</v>
      </c>
      <c r="H21" s="358" t="s">
        <v>895</v>
      </c>
      <c r="K21" s="68">
        <v>4404</v>
      </c>
      <c r="L21" s="68" t="s">
        <v>843</v>
      </c>
      <c r="M21" t="e">
        <v>#N/A</v>
      </c>
    </row>
    <row r="22" spans="1:15">
      <c r="A22" s="380" t="s">
        <v>26</v>
      </c>
      <c r="B22" s="380" t="s">
        <v>27</v>
      </c>
      <c r="C22" s="401" t="s">
        <v>51</v>
      </c>
      <c r="D22" s="402" t="s">
        <v>213</v>
      </c>
      <c r="E22" s="380" t="s">
        <v>52</v>
      </c>
      <c r="F22" s="380" t="s">
        <v>17</v>
      </c>
      <c r="G22" s="381" t="s">
        <v>995</v>
      </c>
      <c r="H22" s="381" t="s">
        <v>864</v>
      </c>
      <c r="K22" s="384">
        <v>5000</v>
      </c>
      <c r="L22" s="384" t="s">
        <v>803</v>
      </c>
      <c r="M22" s="4" t="e">
        <v>#N/A</v>
      </c>
    </row>
    <row r="23" spans="1:15">
      <c r="A23" s="380" t="s">
        <v>26</v>
      </c>
      <c r="B23" s="380" t="s">
        <v>27</v>
      </c>
      <c r="C23" s="401" t="s">
        <v>53</v>
      </c>
      <c r="D23" s="402" t="s">
        <v>214</v>
      </c>
      <c r="E23" s="380" t="s">
        <v>54</v>
      </c>
      <c r="F23" s="380" t="s">
        <v>17</v>
      </c>
      <c r="G23" s="381" t="s">
        <v>999</v>
      </c>
      <c r="H23" s="381" t="s">
        <v>999</v>
      </c>
      <c r="K23" s="396">
        <v>4106</v>
      </c>
      <c r="L23" s="27" t="s">
        <v>187</v>
      </c>
      <c r="M23" s="13" t="s">
        <v>186</v>
      </c>
    </row>
    <row r="24" spans="1:15">
      <c r="A24" s="380" t="s">
        <v>26</v>
      </c>
      <c r="B24" s="380" t="s">
        <v>27</v>
      </c>
      <c r="C24" s="401" t="s">
        <v>15</v>
      </c>
      <c r="D24" s="402" t="s">
        <v>215</v>
      </c>
      <c r="E24" s="380" t="s">
        <v>16</v>
      </c>
      <c r="F24" s="380" t="s">
        <v>17</v>
      </c>
      <c r="G24" s="381" t="s">
        <v>1021</v>
      </c>
      <c r="H24" s="381" t="s">
        <v>1021</v>
      </c>
      <c r="K24" s="382">
        <v>2000</v>
      </c>
      <c r="L24" s="27" t="s">
        <v>137</v>
      </c>
    </row>
    <row r="25" spans="1:15">
      <c r="A25" s="380" t="s">
        <v>26</v>
      </c>
      <c r="B25" s="380" t="s">
        <v>27</v>
      </c>
      <c r="C25" s="401" t="s">
        <v>55</v>
      </c>
      <c r="D25" s="402" t="s">
        <v>216</v>
      </c>
      <c r="E25" s="380" t="s">
        <v>56</v>
      </c>
      <c r="F25" s="380" t="s">
        <v>17</v>
      </c>
      <c r="G25" s="381" t="s">
        <v>1021</v>
      </c>
      <c r="H25" s="381" t="s">
        <v>1021</v>
      </c>
    </row>
    <row r="26" spans="1:15">
      <c r="A26" s="380" t="s">
        <v>26</v>
      </c>
      <c r="B26" s="380" t="s">
        <v>27</v>
      </c>
      <c r="C26" s="401" t="s">
        <v>57</v>
      </c>
      <c r="D26" s="402" t="s">
        <v>217</v>
      </c>
      <c r="E26" s="380" t="s">
        <v>58</v>
      </c>
      <c r="F26" s="380" t="s">
        <v>17</v>
      </c>
      <c r="G26" s="381" t="s">
        <v>18</v>
      </c>
      <c r="H26" s="381" t="s">
        <v>18</v>
      </c>
    </row>
    <row r="27" spans="1:15">
      <c r="A27" s="380" t="s">
        <v>26</v>
      </c>
      <c r="B27" s="380" t="s">
        <v>27</v>
      </c>
      <c r="C27" s="401" t="s">
        <v>59</v>
      </c>
      <c r="D27" s="402" t="s">
        <v>218</v>
      </c>
      <c r="E27" s="380" t="s">
        <v>60</v>
      </c>
      <c r="F27" s="380" t="s">
        <v>17</v>
      </c>
      <c r="G27" s="381" t="s">
        <v>995</v>
      </c>
      <c r="H27" s="381" t="s">
        <v>864</v>
      </c>
    </row>
    <row r="28" spans="1:15">
      <c r="A28" s="380" t="s">
        <v>26</v>
      </c>
      <c r="B28" s="380" t="s">
        <v>27</v>
      </c>
      <c r="C28" s="401" t="s">
        <v>19</v>
      </c>
      <c r="D28" s="402" t="s">
        <v>219</v>
      </c>
      <c r="E28" s="380" t="s">
        <v>20</v>
      </c>
      <c r="F28" s="380" t="s">
        <v>17</v>
      </c>
      <c r="G28" s="381" t="s">
        <v>995</v>
      </c>
      <c r="H28" s="381" t="s">
        <v>864</v>
      </c>
    </row>
    <row r="29" spans="1:15">
      <c r="A29" s="380" t="s">
        <v>26</v>
      </c>
      <c r="B29" s="380" t="s">
        <v>27</v>
      </c>
      <c r="C29" s="401" t="s">
        <v>61</v>
      </c>
      <c r="D29" s="402" t="s">
        <v>220</v>
      </c>
      <c r="E29" s="380" t="s">
        <v>62</v>
      </c>
      <c r="F29" s="380" t="s">
        <v>17</v>
      </c>
      <c r="G29" s="381" t="s">
        <v>1021</v>
      </c>
      <c r="H29" s="381" t="s">
        <v>1021</v>
      </c>
    </row>
    <row r="30" spans="1:15">
      <c r="A30" s="380" t="s">
        <v>26</v>
      </c>
      <c r="B30" s="380" t="s">
        <v>27</v>
      </c>
      <c r="C30" s="401" t="s">
        <v>22</v>
      </c>
      <c r="D30" s="402" t="s">
        <v>221</v>
      </c>
      <c r="E30" s="380" t="s">
        <v>23</v>
      </c>
      <c r="F30" s="380" t="s">
        <v>17</v>
      </c>
      <c r="G30" s="381" t="s">
        <v>1021</v>
      </c>
      <c r="H30" s="381" t="s">
        <v>1021</v>
      </c>
    </row>
    <row r="31" spans="1:15">
      <c r="A31" s="380" t="s">
        <v>26</v>
      </c>
      <c r="B31" s="380" t="s">
        <v>27</v>
      </c>
      <c r="C31" s="401" t="s">
        <v>65</v>
      </c>
      <c r="D31" s="402" t="s">
        <v>222</v>
      </c>
      <c r="E31" s="380" t="s">
        <v>66</v>
      </c>
      <c r="F31" s="380" t="s">
        <v>17</v>
      </c>
      <c r="G31" s="381" t="s">
        <v>18</v>
      </c>
      <c r="H31" s="381" t="s">
        <v>18</v>
      </c>
    </row>
    <row r="32" spans="1:15">
      <c r="A32" s="380" t="s">
        <v>26</v>
      </c>
      <c r="B32" s="380" t="s">
        <v>27</v>
      </c>
      <c r="C32" s="401" t="s">
        <v>67</v>
      </c>
      <c r="D32" s="402" t="s">
        <v>223</v>
      </c>
      <c r="E32" s="380" t="s">
        <v>68</v>
      </c>
      <c r="F32" s="380" t="s">
        <v>17</v>
      </c>
      <c r="G32" s="381" t="s">
        <v>995</v>
      </c>
      <c r="H32" s="381" t="s">
        <v>864</v>
      </c>
    </row>
    <row r="33" spans="1:8">
      <c r="A33" s="380" t="s">
        <v>26</v>
      </c>
      <c r="B33" s="380" t="s">
        <v>27</v>
      </c>
      <c r="C33" s="401" t="s">
        <v>69</v>
      </c>
      <c r="D33" s="402" t="s">
        <v>224</v>
      </c>
      <c r="E33" s="380" t="s">
        <v>70</v>
      </c>
      <c r="F33" s="380" t="s">
        <v>17</v>
      </c>
      <c r="G33" s="381" t="s">
        <v>18</v>
      </c>
      <c r="H33" s="381" t="s">
        <v>18</v>
      </c>
    </row>
    <row r="34" spans="1:8" customFormat="1" ht="15">
      <c r="A34" s="356" t="s">
        <v>26</v>
      </c>
      <c r="B34" s="356" t="s">
        <v>27</v>
      </c>
      <c r="C34" s="356" t="s">
        <v>71</v>
      </c>
      <c r="D34" s="357" t="s">
        <v>225</v>
      </c>
      <c r="E34" s="356" t="s">
        <v>72</v>
      </c>
      <c r="F34" s="356" t="s">
        <v>73</v>
      </c>
      <c r="G34" s="358" t="s">
        <v>997</v>
      </c>
      <c r="H34" s="358" t="s">
        <v>998</v>
      </c>
    </row>
    <row r="35" spans="1:8">
      <c r="A35" s="380" t="s">
        <v>26</v>
      </c>
      <c r="B35" s="380" t="s">
        <v>27</v>
      </c>
      <c r="C35" s="401" t="s">
        <v>74</v>
      </c>
      <c r="D35" s="402" t="s">
        <v>226</v>
      </c>
      <c r="E35" s="380" t="s">
        <v>75</v>
      </c>
      <c r="F35" s="380" t="s">
        <v>17</v>
      </c>
      <c r="G35" s="381" t="s">
        <v>18</v>
      </c>
      <c r="H35" s="381" t="s">
        <v>18</v>
      </c>
    </row>
    <row r="36" spans="1:8">
      <c r="A36" s="380" t="s">
        <v>26</v>
      </c>
      <c r="B36" s="380" t="s">
        <v>27</v>
      </c>
      <c r="C36" s="401" t="s">
        <v>24</v>
      </c>
      <c r="D36" s="402" t="s">
        <v>227</v>
      </c>
      <c r="E36" s="380" t="s">
        <v>25</v>
      </c>
      <c r="F36" s="380" t="s">
        <v>17</v>
      </c>
      <c r="G36" s="381" t="s">
        <v>995</v>
      </c>
      <c r="H36" s="381" t="s">
        <v>864</v>
      </c>
    </row>
    <row r="37" spans="1:8">
      <c r="A37" s="380" t="s">
        <v>26</v>
      </c>
      <c r="B37" s="380" t="s">
        <v>27</v>
      </c>
      <c r="C37" s="401" t="s">
        <v>78</v>
      </c>
      <c r="D37" s="402" t="s">
        <v>228</v>
      </c>
      <c r="E37" s="380" t="s">
        <v>79</v>
      </c>
      <c r="F37" s="380" t="s">
        <v>17</v>
      </c>
      <c r="G37" s="381" t="s">
        <v>18</v>
      </c>
      <c r="H37" s="381" t="s">
        <v>18</v>
      </c>
    </row>
    <row r="38" spans="1:8">
      <c r="A38" s="380" t="s">
        <v>26</v>
      </c>
      <c r="B38" s="380" t="s">
        <v>27</v>
      </c>
      <c r="C38" s="401" t="s">
        <v>80</v>
      </c>
      <c r="D38" s="402" t="s">
        <v>229</v>
      </c>
      <c r="E38" s="380" t="s">
        <v>81</v>
      </c>
      <c r="F38" s="380" t="s">
        <v>17</v>
      </c>
      <c r="G38" s="381" t="s">
        <v>999</v>
      </c>
      <c r="H38" s="381" t="s">
        <v>999</v>
      </c>
    </row>
    <row r="39" spans="1:8">
      <c r="A39" s="380" t="s">
        <v>26</v>
      </c>
      <c r="B39" s="380" t="s">
        <v>27</v>
      </c>
      <c r="C39" s="401" t="s">
        <v>84</v>
      </c>
      <c r="D39" s="402" t="s">
        <v>230</v>
      </c>
      <c r="E39" s="380" t="s">
        <v>85</v>
      </c>
      <c r="F39" s="380" t="s">
        <v>17</v>
      </c>
      <c r="G39" s="381" t="s">
        <v>18</v>
      </c>
      <c r="H39" s="381" t="s">
        <v>18</v>
      </c>
    </row>
    <row r="40" spans="1:8" customFormat="1" ht="15">
      <c r="A40" s="356" t="s">
        <v>26</v>
      </c>
      <c r="B40" s="356" t="s">
        <v>27</v>
      </c>
      <c r="C40" s="356" t="s">
        <v>114</v>
      </c>
      <c r="D40" s="357" t="s">
        <v>763</v>
      </c>
      <c r="E40" s="356" t="s">
        <v>115</v>
      </c>
      <c r="F40" s="356" t="s">
        <v>73</v>
      </c>
      <c r="G40" s="358" t="s">
        <v>997</v>
      </c>
      <c r="H40" s="358" t="s">
        <v>998</v>
      </c>
    </row>
    <row r="41" spans="1:8">
      <c r="A41" s="380" t="s">
        <v>26</v>
      </c>
      <c r="B41" s="380" t="s">
        <v>27</v>
      </c>
      <c r="C41" s="401" t="s">
        <v>92</v>
      </c>
      <c r="D41" s="402" t="s">
        <v>231</v>
      </c>
      <c r="E41" s="380" t="s">
        <v>93</v>
      </c>
      <c r="F41" s="380" t="s">
        <v>17</v>
      </c>
      <c r="G41" s="381" t="s">
        <v>999</v>
      </c>
      <c r="H41" s="381" t="s">
        <v>999</v>
      </c>
    </row>
    <row r="42" spans="1:8">
      <c r="A42" s="380" t="s">
        <v>26</v>
      </c>
      <c r="B42" s="380" t="s">
        <v>27</v>
      </c>
      <c r="C42" s="401" t="s">
        <v>32</v>
      </c>
      <c r="D42" s="402" t="s">
        <v>232</v>
      </c>
      <c r="E42" s="380" t="s">
        <v>33</v>
      </c>
      <c r="F42" s="380" t="s">
        <v>17</v>
      </c>
      <c r="G42" s="381" t="s">
        <v>999</v>
      </c>
      <c r="H42" s="381" t="s">
        <v>999</v>
      </c>
    </row>
    <row r="43" spans="1:8">
      <c r="A43" s="380" t="s">
        <v>26</v>
      </c>
      <c r="B43" s="380" t="s">
        <v>27</v>
      </c>
      <c r="C43" s="401" t="s">
        <v>63</v>
      </c>
      <c r="D43" s="402" t="s">
        <v>233</v>
      </c>
      <c r="E43" s="380" t="s">
        <v>140</v>
      </c>
      <c r="F43" s="380" t="s">
        <v>17</v>
      </c>
      <c r="G43" s="381" t="s">
        <v>999</v>
      </c>
      <c r="H43" s="381" t="s">
        <v>999</v>
      </c>
    </row>
    <row r="44" spans="1:8">
      <c r="A44" s="380" t="s">
        <v>26</v>
      </c>
      <c r="B44" s="380" t="s">
        <v>27</v>
      </c>
      <c r="C44" s="401" t="s">
        <v>146</v>
      </c>
      <c r="D44" s="402" t="s">
        <v>234</v>
      </c>
      <c r="E44" s="380" t="s">
        <v>147</v>
      </c>
      <c r="F44" s="380" t="s">
        <v>17</v>
      </c>
      <c r="G44" s="381" t="s">
        <v>1021</v>
      </c>
      <c r="H44" s="381" t="s">
        <v>1021</v>
      </c>
    </row>
    <row r="45" spans="1:8" customFormat="1" ht="15">
      <c r="A45" s="356" t="s">
        <v>26</v>
      </c>
      <c r="B45" s="356" t="s">
        <v>27</v>
      </c>
      <c r="C45" s="356" t="s">
        <v>149</v>
      </c>
      <c r="D45" s="357" t="s">
        <v>235</v>
      </c>
      <c r="E45" s="356" t="s">
        <v>150</v>
      </c>
      <c r="F45" s="356" t="s">
        <v>73</v>
      </c>
      <c r="G45" s="358" t="s">
        <v>997</v>
      </c>
      <c r="H45" s="358" t="s">
        <v>998</v>
      </c>
    </row>
    <row r="46" spans="1:8">
      <c r="A46" s="380" t="s">
        <v>26</v>
      </c>
      <c r="B46" s="380" t="s">
        <v>27</v>
      </c>
      <c r="C46" s="401" t="s">
        <v>170</v>
      </c>
      <c r="D46" s="402" t="s">
        <v>764</v>
      </c>
      <c r="E46" s="380" t="s">
        <v>171</v>
      </c>
      <c r="F46" s="380" t="s">
        <v>17</v>
      </c>
      <c r="G46" s="381" t="s">
        <v>18</v>
      </c>
      <c r="H46" s="381" t="s">
        <v>18</v>
      </c>
    </row>
    <row r="47" spans="1:8">
      <c r="A47" s="380" t="s">
        <v>26</v>
      </c>
      <c r="B47" s="380" t="s">
        <v>27</v>
      </c>
      <c r="C47" s="401" t="s">
        <v>180</v>
      </c>
      <c r="D47" s="402" t="s">
        <v>236</v>
      </c>
      <c r="E47" s="380" t="s">
        <v>181</v>
      </c>
      <c r="F47" s="380" t="s">
        <v>17</v>
      </c>
      <c r="G47" s="381" t="s">
        <v>1021</v>
      </c>
      <c r="H47" s="381" t="s">
        <v>1021</v>
      </c>
    </row>
    <row r="48" spans="1:8">
      <c r="A48" s="380" t="s">
        <v>26</v>
      </c>
      <c r="B48" s="380" t="s">
        <v>27</v>
      </c>
      <c r="C48" s="401" t="s">
        <v>183</v>
      </c>
      <c r="D48" s="402" t="s">
        <v>237</v>
      </c>
      <c r="E48" s="380" t="s">
        <v>184</v>
      </c>
      <c r="F48" s="380" t="s">
        <v>17</v>
      </c>
      <c r="G48" s="381" t="s">
        <v>18</v>
      </c>
      <c r="H48" s="381" t="s">
        <v>18</v>
      </c>
    </row>
    <row r="49" spans="1:8">
      <c r="A49" s="380" t="s">
        <v>26</v>
      </c>
      <c r="B49" s="380" t="s">
        <v>27</v>
      </c>
      <c r="C49" s="401" t="s">
        <v>191</v>
      </c>
      <c r="D49" s="402" t="s">
        <v>238</v>
      </c>
      <c r="E49" s="380" t="s">
        <v>192</v>
      </c>
      <c r="F49" s="380" t="s">
        <v>17</v>
      </c>
      <c r="G49" s="381" t="s">
        <v>18</v>
      </c>
      <c r="H49" s="381" t="s">
        <v>18</v>
      </c>
    </row>
    <row r="50" spans="1:8">
      <c r="A50" s="380" t="s">
        <v>26</v>
      </c>
      <c r="B50" s="380" t="s">
        <v>27</v>
      </c>
      <c r="C50" s="401" t="s">
        <v>189</v>
      </c>
      <c r="D50" s="402" t="s">
        <v>239</v>
      </c>
      <c r="E50" s="380" t="s">
        <v>190</v>
      </c>
      <c r="F50" s="380" t="s">
        <v>17</v>
      </c>
      <c r="G50" s="381" t="s">
        <v>18</v>
      </c>
      <c r="H50" s="381" t="s">
        <v>18</v>
      </c>
    </row>
    <row r="51" spans="1:8">
      <c r="A51" s="380" t="s">
        <v>26</v>
      </c>
      <c r="B51" s="380" t="s">
        <v>27</v>
      </c>
      <c r="C51" s="401" t="s">
        <v>194</v>
      </c>
      <c r="D51" s="402" t="s">
        <v>240</v>
      </c>
      <c r="E51" s="380" t="s">
        <v>195</v>
      </c>
      <c r="F51" s="380" t="s">
        <v>17</v>
      </c>
      <c r="G51" s="381" t="s">
        <v>999</v>
      </c>
      <c r="H51" s="381" t="s">
        <v>999</v>
      </c>
    </row>
    <row r="52" spans="1:8" customFormat="1" ht="15">
      <c r="A52" s="356" t="s">
        <v>86</v>
      </c>
      <c r="B52" s="356" t="s">
        <v>87</v>
      </c>
      <c r="C52" s="356" t="s">
        <v>28</v>
      </c>
      <c r="D52" s="357" t="s">
        <v>241</v>
      </c>
      <c r="E52" s="356" t="s">
        <v>29</v>
      </c>
      <c r="F52" s="356" t="s">
        <v>30</v>
      </c>
      <c r="G52" s="358" t="s">
        <v>172</v>
      </c>
      <c r="H52" s="358" t="s">
        <v>896</v>
      </c>
    </row>
    <row r="53" spans="1:8" customFormat="1" ht="15">
      <c r="A53" s="356" t="s">
        <v>86</v>
      </c>
      <c r="B53" s="356" t="s">
        <v>87</v>
      </c>
      <c r="C53" s="356" t="s">
        <v>88</v>
      </c>
      <c r="D53" s="357" t="s">
        <v>242</v>
      </c>
      <c r="E53" s="356" t="s">
        <v>89</v>
      </c>
      <c r="F53" s="356" t="s">
        <v>31</v>
      </c>
      <c r="G53" s="358" t="s">
        <v>172</v>
      </c>
      <c r="H53" s="358" t="s">
        <v>896</v>
      </c>
    </row>
    <row r="54" spans="1:8" customFormat="1" ht="15">
      <c r="A54" s="356" t="s">
        <v>86</v>
      </c>
      <c r="B54" s="356" t="s">
        <v>87</v>
      </c>
      <c r="C54" s="356" t="s">
        <v>144</v>
      </c>
      <c r="D54" s="357" t="s">
        <v>243</v>
      </c>
      <c r="E54" s="356" t="s">
        <v>145</v>
      </c>
      <c r="F54" s="356" t="s">
        <v>31</v>
      </c>
      <c r="G54" s="358" t="s">
        <v>172</v>
      </c>
      <c r="H54" s="358" t="s">
        <v>896</v>
      </c>
    </row>
    <row r="55" spans="1:8" customFormat="1" ht="15">
      <c r="A55" s="356" t="s">
        <v>86</v>
      </c>
      <c r="B55" s="356" t="s">
        <v>87</v>
      </c>
      <c r="C55" s="356" t="s">
        <v>167</v>
      </c>
      <c r="D55" s="357" t="s">
        <v>244</v>
      </c>
      <c r="E55" s="356" t="s">
        <v>168</v>
      </c>
      <c r="F55" s="356" t="s">
        <v>169</v>
      </c>
      <c r="G55" s="358" t="s">
        <v>173</v>
      </c>
      <c r="H55" s="358" t="s">
        <v>896</v>
      </c>
    </row>
    <row r="56" spans="1:8" customFormat="1" ht="15">
      <c r="A56" s="356" t="s">
        <v>86</v>
      </c>
      <c r="B56" s="356" t="s">
        <v>87</v>
      </c>
      <c r="C56" s="356" t="s">
        <v>198</v>
      </c>
      <c r="D56" s="357" t="s">
        <v>245</v>
      </c>
      <c r="E56" s="356" t="s">
        <v>199</v>
      </c>
      <c r="F56" s="356" t="s">
        <v>30</v>
      </c>
      <c r="G56" s="358" t="s">
        <v>172</v>
      </c>
      <c r="H56" s="358" t="s">
        <v>896</v>
      </c>
    </row>
    <row r="57" spans="1:8" customFormat="1" ht="15">
      <c r="A57" s="356" t="s">
        <v>86</v>
      </c>
      <c r="B57" s="356" t="s">
        <v>87</v>
      </c>
      <c r="C57" s="356" t="s">
        <v>34</v>
      </c>
      <c r="D57" s="357" t="s">
        <v>246</v>
      </c>
      <c r="E57" s="356" t="s">
        <v>35</v>
      </c>
      <c r="F57" s="356" t="s">
        <v>36</v>
      </c>
      <c r="G57" s="358" t="s">
        <v>996</v>
      </c>
      <c r="H57" s="358" t="s">
        <v>895</v>
      </c>
    </row>
    <row r="58" spans="1:8" customFormat="1" ht="15">
      <c r="A58" s="356" t="s">
        <v>86</v>
      </c>
      <c r="B58" s="356" t="s">
        <v>87</v>
      </c>
      <c r="C58" s="356" t="s">
        <v>37</v>
      </c>
      <c r="D58" s="357" t="s">
        <v>247</v>
      </c>
      <c r="E58" s="356" t="s">
        <v>38</v>
      </c>
      <c r="F58" s="356" t="s">
        <v>36</v>
      </c>
      <c r="G58" s="358" t="s">
        <v>996</v>
      </c>
      <c r="H58" s="358" t="s">
        <v>895</v>
      </c>
    </row>
    <row r="59" spans="1:8" customFormat="1" ht="15">
      <c r="A59" s="356" t="s">
        <v>86</v>
      </c>
      <c r="B59" s="356" t="s">
        <v>87</v>
      </c>
      <c r="C59" s="356" t="s">
        <v>41</v>
      </c>
      <c r="D59" s="357" t="s">
        <v>248</v>
      </c>
      <c r="E59" s="356" t="s">
        <v>42</v>
      </c>
      <c r="F59" s="356" t="s">
        <v>36</v>
      </c>
      <c r="G59" s="358" t="s">
        <v>996</v>
      </c>
      <c r="H59" s="358" t="s">
        <v>895</v>
      </c>
    </row>
    <row r="60" spans="1:8" customFormat="1" ht="15">
      <c r="A60" s="356" t="s">
        <v>86</v>
      </c>
      <c r="B60" s="356" t="s">
        <v>87</v>
      </c>
      <c r="C60" s="356" t="s">
        <v>43</v>
      </c>
      <c r="D60" s="357" t="s">
        <v>249</v>
      </c>
      <c r="E60" s="356" t="s">
        <v>44</v>
      </c>
      <c r="F60" s="356" t="s">
        <v>36</v>
      </c>
      <c r="G60" s="358" t="s">
        <v>996</v>
      </c>
      <c r="H60" s="358" t="s">
        <v>895</v>
      </c>
    </row>
    <row r="61" spans="1:8" customFormat="1" ht="15">
      <c r="A61" s="356" t="s">
        <v>86</v>
      </c>
      <c r="B61" s="356" t="s">
        <v>87</v>
      </c>
      <c r="C61" s="356" t="s">
        <v>45</v>
      </c>
      <c r="D61" s="357" t="s">
        <v>250</v>
      </c>
      <c r="E61" s="356" t="s">
        <v>46</v>
      </c>
      <c r="F61" s="356" t="s">
        <v>36</v>
      </c>
      <c r="G61" s="358" t="s">
        <v>996</v>
      </c>
      <c r="H61" s="358" t="s">
        <v>895</v>
      </c>
    </row>
    <row r="62" spans="1:8" customFormat="1" ht="15">
      <c r="A62" s="356" t="s">
        <v>86</v>
      </c>
      <c r="B62" s="356" t="s">
        <v>87</v>
      </c>
      <c r="C62" s="356" t="s">
        <v>47</v>
      </c>
      <c r="D62" s="357" t="s">
        <v>251</v>
      </c>
      <c r="E62" s="356" t="s">
        <v>48</v>
      </c>
      <c r="F62" s="356" t="s">
        <v>36</v>
      </c>
      <c r="G62" s="358" t="s">
        <v>996</v>
      </c>
      <c r="H62" s="358" t="s">
        <v>895</v>
      </c>
    </row>
    <row r="63" spans="1:8" customFormat="1" ht="15">
      <c r="A63" s="356" t="s">
        <v>86</v>
      </c>
      <c r="B63" s="356" t="s">
        <v>87</v>
      </c>
      <c r="C63" s="356" t="s">
        <v>49</v>
      </c>
      <c r="D63" s="357" t="s">
        <v>252</v>
      </c>
      <c r="E63" s="356" t="s">
        <v>50</v>
      </c>
      <c r="F63" s="356" t="s">
        <v>36</v>
      </c>
      <c r="G63" s="358" t="s">
        <v>996</v>
      </c>
      <c r="H63" s="358" t="s">
        <v>895</v>
      </c>
    </row>
    <row r="64" spans="1:8">
      <c r="A64" s="380" t="s">
        <v>86</v>
      </c>
      <c r="B64" s="380" t="s">
        <v>87</v>
      </c>
      <c r="C64" s="401" t="s">
        <v>51</v>
      </c>
      <c r="D64" s="402" t="s">
        <v>253</v>
      </c>
      <c r="E64" s="380" t="s">
        <v>52</v>
      </c>
      <c r="F64" s="380" t="s">
        <v>17</v>
      </c>
      <c r="G64" s="381" t="s">
        <v>995</v>
      </c>
      <c r="H64" s="381" t="s">
        <v>864</v>
      </c>
    </row>
    <row r="65" spans="1:8">
      <c r="A65" s="380" t="s">
        <v>86</v>
      </c>
      <c r="B65" s="380" t="s">
        <v>87</v>
      </c>
      <c r="C65" s="401" t="s">
        <v>53</v>
      </c>
      <c r="D65" s="402" t="s">
        <v>254</v>
      </c>
      <c r="E65" s="380" t="s">
        <v>54</v>
      </c>
      <c r="F65" s="380" t="s">
        <v>17</v>
      </c>
      <c r="G65" s="381" t="s">
        <v>999</v>
      </c>
      <c r="H65" s="381" t="s">
        <v>999</v>
      </c>
    </row>
    <row r="66" spans="1:8">
      <c r="A66" s="380" t="s">
        <v>86</v>
      </c>
      <c r="B66" s="380" t="s">
        <v>87</v>
      </c>
      <c r="C66" s="401" t="s">
        <v>15</v>
      </c>
      <c r="D66" s="402" t="s">
        <v>255</v>
      </c>
      <c r="E66" s="380" t="s">
        <v>16</v>
      </c>
      <c r="F66" s="380" t="s">
        <v>17</v>
      </c>
      <c r="G66" s="381" t="s">
        <v>1021</v>
      </c>
      <c r="H66" s="381" t="s">
        <v>1021</v>
      </c>
    </row>
    <row r="67" spans="1:8">
      <c r="A67" s="380" t="s">
        <v>86</v>
      </c>
      <c r="B67" s="380" t="s">
        <v>87</v>
      </c>
      <c r="C67" s="401" t="s">
        <v>55</v>
      </c>
      <c r="D67" s="402" t="s">
        <v>256</v>
      </c>
      <c r="E67" s="380" t="s">
        <v>56</v>
      </c>
      <c r="F67" s="380" t="s">
        <v>17</v>
      </c>
      <c r="G67" s="381" t="s">
        <v>1021</v>
      </c>
      <c r="H67" s="381" t="s">
        <v>1021</v>
      </c>
    </row>
    <row r="68" spans="1:8">
      <c r="A68" s="380" t="s">
        <v>86</v>
      </c>
      <c r="B68" s="380" t="s">
        <v>87</v>
      </c>
      <c r="C68" s="401" t="s">
        <v>57</v>
      </c>
      <c r="D68" s="402" t="s">
        <v>257</v>
      </c>
      <c r="E68" s="380" t="s">
        <v>58</v>
      </c>
      <c r="F68" s="380" t="s">
        <v>17</v>
      </c>
      <c r="G68" s="381" t="s">
        <v>18</v>
      </c>
      <c r="H68" s="381" t="s">
        <v>18</v>
      </c>
    </row>
    <row r="69" spans="1:8">
      <c r="A69" s="380" t="s">
        <v>86</v>
      </c>
      <c r="B69" s="380" t="s">
        <v>87</v>
      </c>
      <c r="C69" s="401" t="s">
        <v>59</v>
      </c>
      <c r="D69" s="402" t="s">
        <v>258</v>
      </c>
      <c r="E69" s="380" t="s">
        <v>60</v>
      </c>
      <c r="F69" s="380" t="s">
        <v>17</v>
      </c>
      <c r="G69" s="381" t="s">
        <v>995</v>
      </c>
      <c r="H69" s="381" t="s">
        <v>864</v>
      </c>
    </row>
    <row r="70" spans="1:8">
      <c r="A70" s="380" t="s">
        <v>86</v>
      </c>
      <c r="B70" s="380" t="s">
        <v>87</v>
      </c>
      <c r="C70" s="401" t="s">
        <v>19</v>
      </c>
      <c r="D70" s="402" t="s">
        <v>259</v>
      </c>
      <c r="E70" s="380" t="s">
        <v>20</v>
      </c>
      <c r="F70" s="380" t="s">
        <v>17</v>
      </c>
      <c r="G70" s="381" t="s">
        <v>995</v>
      </c>
      <c r="H70" s="381" t="s">
        <v>864</v>
      </c>
    </row>
    <row r="71" spans="1:8">
      <c r="A71" s="380" t="s">
        <v>86</v>
      </c>
      <c r="B71" s="380" t="s">
        <v>87</v>
      </c>
      <c r="C71" s="401" t="s">
        <v>61</v>
      </c>
      <c r="D71" s="402" t="s">
        <v>260</v>
      </c>
      <c r="E71" s="380" t="s">
        <v>62</v>
      </c>
      <c r="F71" s="380" t="s">
        <v>17</v>
      </c>
      <c r="G71" s="381" t="s">
        <v>1021</v>
      </c>
      <c r="H71" s="381" t="s">
        <v>1021</v>
      </c>
    </row>
    <row r="72" spans="1:8">
      <c r="A72" s="380" t="s">
        <v>86</v>
      </c>
      <c r="B72" s="380" t="s">
        <v>87</v>
      </c>
      <c r="C72" s="401" t="s">
        <v>22</v>
      </c>
      <c r="D72" s="402" t="s">
        <v>261</v>
      </c>
      <c r="E72" s="380" t="s">
        <v>23</v>
      </c>
      <c r="F72" s="380" t="s">
        <v>17</v>
      </c>
      <c r="G72" s="381" t="s">
        <v>1021</v>
      </c>
      <c r="H72" s="381" t="s">
        <v>1021</v>
      </c>
    </row>
    <row r="73" spans="1:8">
      <c r="A73" s="380" t="s">
        <v>86</v>
      </c>
      <c r="B73" s="380" t="s">
        <v>87</v>
      </c>
      <c r="C73" s="401" t="s">
        <v>65</v>
      </c>
      <c r="D73" s="402" t="s">
        <v>262</v>
      </c>
      <c r="E73" s="380" t="s">
        <v>66</v>
      </c>
      <c r="F73" s="380" t="s">
        <v>17</v>
      </c>
      <c r="G73" s="381" t="s">
        <v>18</v>
      </c>
      <c r="H73" s="381" t="s">
        <v>18</v>
      </c>
    </row>
    <row r="74" spans="1:8">
      <c r="A74" s="380" t="s">
        <v>86</v>
      </c>
      <c r="B74" s="380" t="s">
        <v>87</v>
      </c>
      <c r="C74" s="401" t="s">
        <v>67</v>
      </c>
      <c r="D74" s="402" t="s">
        <v>263</v>
      </c>
      <c r="E74" s="380" t="s">
        <v>68</v>
      </c>
      <c r="F74" s="380" t="s">
        <v>17</v>
      </c>
      <c r="G74" s="381" t="s">
        <v>995</v>
      </c>
      <c r="H74" s="381" t="s">
        <v>864</v>
      </c>
    </row>
    <row r="75" spans="1:8">
      <c r="A75" s="380" t="s">
        <v>86</v>
      </c>
      <c r="B75" s="380" t="s">
        <v>87</v>
      </c>
      <c r="C75" s="401" t="s">
        <v>69</v>
      </c>
      <c r="D75" s="402" t="s">
        <v>264</v>
      </c>
      <c r="E75" s="380" t="s">
        <v>70</v>
      </c>
      <c r="F75" s="380" t="s">
        <v>17</v>
      </c>
      <c r="G75" s="381" t="s">
        <v>18</v>
      </c>
      <c r="H75" s="381" t="s">
        <v>18</v>
      </c>
    </row>
    <row r="76" spans="1:8">
      <c r="A76" s="380">
        <v>4101</v>
      </c>
      <c r="B76" s="380" t="s">
        <v>87</v>
      </c>
      <c r="C76" s="401" t="s">
        <v>90</v>
      </c>
      <c r="D76" s="402" t="s">
        <v>1056</v>
      </c>
      <c r="E76" s="380" t="s">
        <v>91</v>
      </c>
      <c r="F76" s="380" t="s">
        <v>17</v>
      </c>
      <c r="G76" s="381" t="s">
        <v>18</v>
      </c>
      <c r="H76" s="381" t="s">
        <v>18</v>
      </c>
    </row>
    <row r="77" spans="1:8" customFormat="1" ht="15">
      <c r="A77" s="356" t="s">
        <v>86</v>
      </c>
      <c r="B77" s="356" t="s">
        <v>87</v>
      </c>
      <c r="C77" s="356" t="s">
        <v>71</v>
      </c>
      <c r="D77" s="357" t="s">
        <v>265</v>
      </c>
      <c r="E77" s="356" t="s">
        <v>72</v>
      </c>
      <c r="F77" s="356" t="s">
        <v>73</v>
      </c>
      <c r="G77" s="358" t="s">
        <v>997</v>
      </c>
      <c r="H77" s="358" t="s">
        <v>998</v>
      </c>
    </row>
    <row r="78" spans="1:8">
      <c r="A78" s="380" t="s">
        <v>86</v>
      </c>
      <c r="B78" s="380" t="s">
        <v>87</v>
      </c>
      <c r="C78" s="401" t="s">
        <v>74</v>
      </c>
      <c r="D78" s="402" t="s">
        <v>266</v>
      </c>
      <c r="E78" s="380" t="s">
        <v>75</v>
      </c>
      <c r="F78" s="380" t="s">
        <v>17</v>
      </c>
      <c r="G78" s="381" t="s">
        <v>18</v>
      </c>
      <c r="H78" s="381" t="s">
        <v>18</v>
      </c>
    </row>
    <row r="79" spans="1:8">
      <c r="A79" s="380" t="s">
        <v>86</v>
      </c>
      <c r="B79" s="380" t="s">
        <v>87</v>
      </c>
      <c r="C79" s="401" t="s">
        <v>24</v>
      </c>
      <c r="D79" s="402" t="s">
        <v>267</v>
      </c>
      <c r="E79" s="380" t="s">
        <v>25</v>
      </c>
      <c r="F79" s="380" t="s">
        <v>17</v>
      </c>
      <c r="G79" s="381" t="s">
        <v>995</v>
      </c>
      <c r="H79" s="381" t="s">
        <v>864</v>
      </c>
    </row>
    <row r="80" spans="1:8">
      <c r="A80" s="380" t="s">
        <v>86</v>
      </c>
      <c r="B80" s="380" t="s">
        <v>87</v>
      </c>
      <c r="C80" s="401" t="s">
        <v>78</v>
      </c>
      <c r="D80" s="402" t="s">
        <v>268</v>
      </c>
      <c r="E80" s="380" t="s">
        <v>79</v>
      </c>
      <c r="F80" s="380" t="s">
        <v>17</v>
      </c>
      <c r="G80" s="381" t="s">
        <v>18</v>
      </c>
      <c r="H80" s="381" t="s">
        <v>18</v>
      </c>
    </row>
    <row r="81" spans="1:8">
      <c r="A81" s="380" t="s">
        <v>86</v>
      </c>
      <c r="B81" s="380" t="s">
        <v>87</v>
      </c>
      <c r="C81" s="401" t="s">
        <v>80</v>
      </c>
      <c r="D81" s="402" t="s">
        <v>269</v>
      </c>
      <c r="E81" s="380" t="s">
        <v>81</v>
      </c>
      <c r="F81" s="380" t="s">
        <v>17</v>
      </c>
      <c r="G81" s="381" t="s">
        <v>999</v>
      </c>
      <c r="H81" s="381" t="s">
        <v>999</v>
      </c>
    </row>
    <row r="82" spans="1:8">
      <c r="A82" s="380" t="s">
        <v>86</v>
      </c>
      <c r="B82" s="380" t="s">
        <v>87</v>
      </c>
      <c r="C82" s="401" t="s">
        <v>84</v>
      </c>
      <c r="D82" s="402" t="s">
        <v>270</v>
      </c>
      <c r="E82" s="380" t="s">
        <v>85</v>
      </c>
      <c r="F82" s="380" t="s">
        <v>17</v>
      </c>
      <c r="G82" s="381" t="s">
        <v>18</v>
      </c>
      <c r="H82" s="381" t="s">
        <v>18</v>
      </c>
    </row>
    <row r="83" spans="1:8" customFormat="1" ht="15">
      <c r="A83" s="356" t="s">
        <v>86</v>
      </c>
      <c r="B83" s="356" t="s">
        <v>87</v>
      </c>
      <c r="C83" s="356" t="s">
        <v>114</v>
      </c>
      <c r="D83" s="357" t="s">
        <v>271</v>
      </c>
      <c r="E83" s="356" t="s">
        <v>115</v>
      </c>
      <c r="F83" s="356" t="s">
        <v>73</v>
      </c>
      <c r="G83" s="358" t="s">
        <v>997</v>
      </c>
      <c r="H83" s="358" t="s">
        <v>998</v>
      </c>
    </row>
    <row r="84" spans="1:8">
      <c r="A84" s="380" t="s">
        <v>86</v>
      </c>
      <c r="B84" s="380" t="s">
        <v>87</v>
      </c>
      <c r="C84" s="401" t="s">
        <v>92</v>
      </c>
      <c r="D84" s="402" t="s">
        <v>272</v>
      </c>
      <c r="E84" s="380" t="s">
        <v>93</v>
      </c>
      <c r="F84" s="380" t="s">
        <v>17</v>
      </c>
      <c r="G84" s="381" t="s">
        <v>999</v>
      </c>
      <c r="H84" s="381" t="s">
        <v>999</v>
      </c>
    </row>
    <row r="85" spans="1:8">
      <c r="A85" s="380" t="s">
        <v>86</v>
      </c>
      <c r="B85" s="380" t="s">
        <v>87</v>
      </c>
      <c r="C85" s="401" t="s">
        <v>32</v>
      </c>
      <c r="D85" s="402" t="s">
        <v>273</v>
      </c>
      <c r="E85" s="380" t="s">
        <v>33</v>
      </c>
      <c r="F85" s="380" t="s">
        <v>17</v>
      </c>
      <c r="G85" s="381" t="s">
        <v>999</v>
      </c>
      <c r="H85" s="381" t="s">
        <v>999</v>
      </c>
    </row>
    <row r="86" spans="1:8">
      <c r="A86" s="380" t="s">
        <v>86</v>
      </c>
      <c r="B86" s="380" t="s">
        <v>87</v>
      </c>
      <c r="C86" s="401" t="s">
        <v>63</v>
      </c>
      <c r="D86" s="402" t="s">
        <v>274</v>
      </c>
      <c r="E86" s="380" t="s">
        <v>140</v>
      </c>
      <c r="F86" s="380" t="s">
        <v>17</v>
      </c>
      <c r="G86" s="381" t="s">
        <v>999</v>
      </c>
      <c r="H86" s="381" t="s">
        <v>999</v>
      </c>
    </row>
    <row r="87" spans="1:8">
      <c r="A87" s="380" t="s">
        <v>86</v>
      </c>
      <c r="B87" s="380" t="s">
        <v>87</v>
      </c>
      <c r="C87" s="401" t="s">
        <v>146</v>
      </c>
      <c r="D87" s="402" t="s">
        <v>275</v>
      </c>
      <c r="E87" s="380" t="s">
        <v>147</v>
      </c>
      <c r="F87" s="380" t="s">
        <v>17</v>
      </c>
      <c r="G87" s="381" t="s">
        <v>1021</v>
      </c>
      <c r="H87" s="381" t="s">
        <v>1021</v>
      </c>
    </row>
    <row r="88" spans="1:8" customFormat="1" ht="15">
      <c r="A88" s="356" t="s">
        <v>86</v>
      </c>
      <c r="B88" s="356" t="s">
        <v>87</v>
      </c>
      <c r="C88" s="356" t="s">
        <v>149</v>
      </c>
      <c r="D88" s="357" t="s">
        <v>276</v>
      </c>
      <c r="E88" s="356" t="s">
        <v>150</v>
      </c>
      <c r="F88" s="356" t="s">
        <v>73</v>
      </c>
      <c r="G88" s="358" t="s">
        <v>997</v>
      </c>
      <c r="H88" s="358" t="s">
        <v>998</v>
      </c>
    </row>
    <row r="89" spans="1:8">
      <c r="A89" s="380" t="s">
        <v>86</v>
      </c>
      <c r="B89" s="380" t="s">
        <v>87</v>
      </c>
      <c r="C89" s="401" t="s">
        <v>180</v>
      </c>
      <c r="D89" s="402" t="s">
        <v>277</v>
      </c>
      <c r="E89" s="380" t="s">
        <v>181</v>
      </c>
      <c r="F89" s="380" t="s">
        <v>17</v>
      </c>
      <c r="G89" s="381" t="s">
        <v>1021</v>
      </c>
      <c r="H89" s="381" t="s">
        <v>1021</v>
      </c>
    </row>
    <row r="90" spans="1:8">
      <c r="A90" s="380" t="s">
        <v>86</v>
      </c>
      <c r="B90" s="380" t="s">
        <v>87</v>
      </c>
      <c r="C90" s="401" t="s">
        <v>183</v>
      </c>
      <c r="D90" s="402" t="s">
        <v>278</v>
      </c>
      <c r="E90" s="380" t="s">
        <v>184</v>
      </c>
      <c r="F90" s="380" t="s">
        <v>17</v>
      </c>
      <c r="G90" s="381" t="s">
        <v>18</v>
      </c>
      <c r="H90" s="381" t="s">
        <v>18</v>
      </c>
    </row>
    <row r="91" spans="1:8">
      <c r="A91" s="380" t="s">
        <v>86</v>
      </c>
      <c r="B91" s="380" t="s">
        <v>87</v>
      </c>
      <c r="C91" s="401" t="s">
        <v>191</v>
      </c>
      <c r="D91" s="402" t="s">
        <v>279</v>
      </c>
      <c r="E91" s="380" t="s">
        <v>192</v>
      </c>
      <c r="F91" s="380" t="s">
        <v>17</v>
      </c>
      <c r="G91" s="381" t="s">
        <v>18</v>
      </c>
      <c r="H91" s="381" t="s">
        <v>18</v>
      </c>
    </row>
    <row r="92" spans="1:8">
      <c r="A92" s="380" t="s">
        <v>86</v>
      </c>
      <c r="B92" s="380" t="s">
        <v>87</v>
      </c>
      <c r="C92" s="401" t="s">
        <v>773</v>
      </c>
      <c r="D92" s="402" t="s">
        <v>783</v>
      </c>
      <c r="E92" s="380" t="s">
        <v>775</v>
      </c>
      <c r="F92" s="380" t="s">
        <v>17</v>
      </c>
      <c r="G92" s="381" t="s">
        <v>995</v>
      </c>
      <c r="H92" s="381" t="s">
        <v>999</v>
      </c>
    </row>
    <row r="93" spans="1:8">
      <c r="A93" s="380" t="s">
        <v>86</v>
      </c>
      <c r="B93" s="380" t="s">
        <v>87</v>
      </c>
      <c r="C93" s="401" t="s">
        <v>189</v>
      </c>
      <c r="D93" s="402" t="s">
        <v>280</v>
      </c>
      <c r="E93" s="380" t="s">
        <v>190</v>
      </c>
      <c r="F93" s="380" t="s">
        <v>17</v>
      </c>
      <c r="G93" s="381" t="s">
        <v>18</v>
      </c>
      <c r="H93" s="381" t="s">
        <v>18</v>
      </c>
    </row>
    <row r="94" spans="1:8">
      <c r="A94" s="380" t="s">
        <v>86</v>
      </c>
      <c r="B94" s="380" t="s">
        <v>87</v>
      </c>
      <c r="C94" s="401" t="s">
        <v>194</v>
      </c>
      <c r="D94" s="402" t="s">
        <v>281</v>
      </c>
      <c r="E94" s="380" t="s">
        <v>195</v>
      </c>
      <c r="F94" s="380" t="s">
        <v>17</v>
      </c>
      <c r="G94" s="381" t="s">
        <v>999</v>
      </c>
      <c r="H94" s="381" t="s">
        <v>999</v>
      </c>
    </row>
    <row r="95" spans="1:8" customFormat="1" ht="15">
      <c r="A95" s="356" t="s">
        <v>94</v>
      </c>
      <c r="B95" s="356" t="s">
        <v>95</v>
      </c>
      <c r="C95" s="356" t="s">
        <v>28</v>
      </c>
      <c r="D95" s="357" t="s">
        <v>282</v>
      </c>
      <c r="E95" s="356" t="s">
        <v>29</v>
      </c>
      <c r="F95" s="356" t="s">
        <v>30</v>
      </c>
      <c r="G95" s="358" t="s">
        <v>172</v>
      </c>
      <c r="H95" s="358" t="s">
        <v>896</v>
      </c>
    </row>
    <row r="96" spans="1:8" customFormat="1" ht="15">
      <c r="A96" s="356" t="s">
        <v>94</v>
      </c>
      <c r="B96" s="356" t="s">
        <v>95</v>
      </c>
      <c r="C96" s="356" t="s">
        <v>88</v>
      </c>
      <c r="D96" s="357" t="s">
        <v>283</v>
      </c>
      <c r="E96" s="356" t="s">
        <v>89</v>
      </c>
      <c r="F96" s="356" t="s">
        <v>31</v>
      </c>
      <c r="G96" s="358" t="s">
        <v>172</v>
      </c>
      <c r="H96" s="358" t="s">
        <v>896</v>
      </c>
    </row>
    <row r="97" spans="1:8" customFormat="1" ht="15">
      <c r="A97" s="356" t="s">
        <v>94</v>
      </c>
      <c r="B97" s="356" t="s">
        <v>95</v>
      </c>
      <c r="C97" s="356" t="s">
        <v>144</v>
      </c>
      <c r="D97" s="357" t="s">
        <v>284</v>
      </c>
      <c r="E97" s="356" t="s">
        <v>145</v>
      </c>
      <c r="F97" s="356" t="s">
        <v>31</v>
      </c>
      <c r="G97" s="358" t="s">
        <v>172</v>
      </c>
      <c r="H97" s="358" t="s">
        <v>896</v>
      </c>
    </row>
    <row r="98" spans="1:8" customFormat="1" ht="15">
      <c r="A98" s="356" t="s">
        <v>94</v>
      </c>
      <c r="B98" s="356" t="s">
        <v>95</v>
      </c>
      <c r="C98" s="356" t="s">
        <v>167</v>
      </c>
      <c r="D98" s="357" t="s">
        <v>285</v>
      </c>
      <c r="E98" s="356" t="s">
        <v>168</v>
      </c>
      <c r="F98" s="356" t="s">
        <v>169</v>
      </c>
      <c r="G98" s="358" t="s">
        <v>173</v>
      </c>
      <c r="H98" s="358" t="s">
        <v>896</v>
      </c>
    </row>
    <row r="99" spans="1:8" customFormat="1" ht="15">
      <c r="A99" s="356" t="s">
        <v>94</v>
      </c>
      <c r="B99" s="356" t="s">
        <v>95</v>
      </c>
      <c r="C99" s="356" t="s">
        <v>34</v>
      </c>
      <c r="D99" s="357" t="s">
        <v>286</v>
      </c>
      <c r="E99" s="356" t="s">
        <v>35</v>
      </c>
      <c r="F99" s="356" t="s">
        <v>36</v>
      </c>
      <c r="G99" s="358" t="s">
        <v>996</v>
      </c>
      <c r="H99" s="358" t="s">
        <v>895</v>
      </c>
    </row>
    <row r="100" spans="1:8" customFormat="1" ht="15">
      <c r="A100" s="356" t="s">
        <v>94</v>
      </c>
      <c r="B100" s="356" t="s">
        <v>95</v>
      </c>
      <c r="C100" s="356" t="s">
        <v>37</v>
      </c>
      <c r="D100" s="357" t="s">
        <v>287</v>
      </c>
      <c r="E100" s="356" t="s">
        <v>38</v>
      </c>
      <c r="F100" s="356" t="s">
        <v>36</v>
      </c>
      <c r="G100" s="358" t="s">
        <v>996</v>
      </c>
      <c r="H100" s="358" t="s">
        <v>895</v>
      </c>
    </row>
    <row r="101" spans="1:8" customFormat="1" ht="15">
      <c r="A101" s="356" t="s">
        <v>94</v>
      </c>
      <c r="B101" s="356" t="s">
        <v>95</v>
      </c>
      <c r="C101" s="356" t="s">
        <v>41</v>
      </c>
      <c r="D101" s="357" t="s">
        <v>288</v>
      </c>
      <c r="E101" s="356" t="s">
        <v>42</v>
      </c>
      <c r="F101" s="356" t="s">
        <v>36</v>
      </c>
      <c r="G101" s="358" t="s">
        <v>996</v>
      </c>
      <c r="H101" s="358" t="s">
        <v>895</v>
      </c>
    </row>
    <row r="102" spans="1:8" customFormat="1" ht="15">
      <c r="A102" s="356" t="s">
        <v>94</v>
      </c>
      <c r="B102" s="356" t="s">
        <v>95</v>
      </c>
      <c r="C102" s="356" t="s">
        <v>43</v>
      </c>
      <c r="D102" s="357" t="s">
        <v>289</v>
      </c>
      <c r="E102" s="356" t="s">
        <v>44</v>
      </c>
      <c r="F102" s="356" t="s">
        <v>36</v>
      </c>
      <c r="G102" s="358" t="s">
        <v>996</v>
      </c>
      <c r="H102" s="358" t="s">
        <v>895</v>
      </c>
    </row>
    <row r="103" spans="1:8" customFormat="1" ht="15">
      <c r="A103" s="356" t="s">
        <v>94</v>
      </c>
      <c r="B103" s="356" t="s">
        <v>95</v>
      </c>
      <c r="C103" s="356" t="s">
        <v>45</v>
      </c>
      <c r="D103" s="357" t="s">
        <v>290</v>
      </c>
      <c r="E103" s="356" t="s">
        <v>46</v>
      </c>
      <c r="F103" s="356" t="s">
        <v>36</v>
      </c>
      <c r="G103" s="358" t="s">
        <v>996</v>
      </c>
      <c r="H103" s="358" t="s">
        <v>895</v>
      </c>
    </row>
    <row r="104" spans="1:8" customFormat="1" ht="15">
      <c r="A104" s="356" t="s">
        <v>94</v>
      </c>
      <c r="B104" s="356" t="s">
        <v>95</v>
      </c>
      <c r="C104" s="356" t="s">
        <v>47</v>
      </c>
      <c r="D104" s="357" t="s">
        <v>291</v>
      </c>
      <c r="E104" s="356" t="s">
        <v>48</v>
      </c>
      <c r="F104" s="356" t="s">
        <v>36</v>
      </c>
      <c r="G104" s="358" t="s">
        <v>996</v>
      </c>
      <c r="H104" s="358" t="s">
        <v>895</v>
      </c>
    </row>
    <row r="105" spans="1:8" customFormat="1" ht="15">
      <c r="A105" s="356" t="s">
        <v>94</v>
      </c>
      <c r="B105" s="356" t="s">
        <v>95</v>
      </c>
      <c r="C105" s="356" t="s">
        <v>49</v>
      </c>
      <c r="D105" s="357" t="s">
        <v>292</v>
      </c>
      <c r="E105" s="356" t="s">
        <v>50</v>
      </c>
      <c r="F105" s="356" t="s">
        <v>36</v>
      </c>
      <c r="G105" s="358" t="s">
        <v>996</v>
      </c>
      <c r="H105" s="358" t="s">
        <v>895</v>
      </c>
    </row>
    <row r="106" spans="1:8">
      <c r="A106" s="380" t="s">
        <v>94</v>
      </c>
      <c r="B106" s="380" t="s">
        <v>95</v>
      </c>
      <c r="C106" s="401" t="s">
        <v>51</v>
      </c>
      <c r="D106" s="402" t="s">
        <v>293</v>
      </c>
      <c r="E106" s="380" t="s">
        <v>52</v>
      </c>
      <c r="F106" s="380" t="s">
        <v>17</v>
      </c>
      <c r="G106" s="381" t="s">
        <v>995</v>
      </c>
      <c r="H106" s="381" t="s">
        <v>864</v>
      </c>
    </row>
    <row r="107" spans="1:8">
      <c r="A107" s="380" t="s">
        <v>94</v>
      </c>
      <c r="B107" s="380" t="s">
        <v>95</v>
      </c>
      <c r="C107" s="401" t="s">
        <v>53</v>
      </c>
      <c r="D107" s="402" t="s">
        <v>294</v>
      </c>
      <c r="E107" s="380" t="s">
        <v>54</v>
      </c>
      <c r="F107" s="380" t="s">
        <v>17</v>
      </c>
      <c r="G107" s="381" t="s">
        <v>999</v>
      </c>
      <c r="H107" s="381" t="s">
        <v>999</v>
      </c>
    </row>
    <row r="108" spans="1:8">
      <c r="A108" s="380" t="s">
        <v>94</v>
      </c>
      <c r="B108" s="380" t="s">
        <v>95</v>
      </c>
      <c r="C108" s="401" t="s">
        <v>15</v>
      </c>
      <c r="D108" s="402" t="s">
        <v>295</v>
      </c>
      <c r="E108" s="380" t="s">
        <v>16</v>
      </c>
      <c r="F108" s="380" t="s">
        <v>17</v>
      </c>
      <c r="G108" s="381" t="s">
        <v>1021</v>
      </c>
      <c r="H108" s="381" t="s">
        <v>1021</v>
      </c>
    </row>
    <row r="109" spans="1:8">
      <c r="A109" s="380" t="s">
        <v>94</v>
      </c>
      <c r="B109" s="380" t="s">
        <v>95</v>
      </c>
      <c r="C109" s="401" t="s">
        <v>55</v>
      </c>
      <c r="D109" s="402" t="s">
        <v>296</v>
      </c>
      <c r="E109" s="380" t="s">
        <v>56</v>
      </c>
      <c r="F109" s="380" t="s">
        <v>17</v>
      </c>
      <c r="G109" s="381" t="s">
        <v>1021</v>
      </c>
      <c r="H109" s="381" t="s">
        <v>1021</v>
      </c>
    </row>
    <row r="110" spans="1:8">
      <c r="A110" s="380" t="s">
        <v>94</v>
      </c>
      <c r="B110" s="380" t="s">
        <v>95</v>
      </c>
      <c r="C110" s="401" t="s">
        <v>57</v>
      </c>
      <c r="D110" s="402" t="s">
        <v>297</v>
      </c>
      <c r="E110" s="380" t="s">
        <v>58</v>
      </c>
      <c r="F110" s="380" t="s">
        <v>17</v>
      </c>
      <c r="G110" s="381" t="s">
        <v>18</v>
      </c>
      <c r="H110" s="381" t="s">
        <v>18</v>
      </c>
    </row>
    <row r="111" spans="1:8">
      <c r="A111" s="380" t="s">
        <v>94</v>
      </c>
      <c r="B111" s="380" t="s">
        <v>95</v>
      </c>
      <c r="C111" s="401" t="s">
        <v>59</v>
      </c>
      <c r="D111" s="402" t="s">
        <v>298</v>
      </c>
      <c r="E111" s="380" t="s">
        <v>60</v>
      </c>
      <c r="F111" s="380" t="s">
        <v>17</v>
      </c>
      <c r="G111" s="381" t="s">
        <v>995</v>
      </c>
      <c r="H111" s="381" t="s">
        <v>864</v>
      </c>
    </row>
    <row r="112" spans="1:8">
      <c r="A112" s="380" t="s">
        <v>94</v>
      </c>
      <c r="B112" s="380" t="s">
        <v>95</v>
      </c>
      <c r="C112" s="401" t="s">
        <v>19</v>
      </c>
      <c r="D112" s="402" t="s">
        <v>299</v>
      </c>
      <c r="E112" s="380" t="s">
        <v>20</v>
      </c>
      <c r="F112" s="380" t="s">
        <v>17</v>
      </c>
      <c r="G112" s="381" t="s">
        <v>995</v>
      </c>
      <c r="H112" s="381" t="s">
        <v>864</v>
      </c>
    </row>
    <row r="113" spans="1:8">
      <c r="A113" s="380" t="s">
        <v>94</v>
      </c>
      <c r="B113" s="380" t="s">
        <v>95</v>
      </c>
      <c r="C113" s="401" t="s">
        <v>61</v>
      </c>
      <c r="D113" s="402" t="s">
        <v>300</v>
      </c>
      <c r="E113" s="380" t="s">
        <v>62</v>
      </c>
      <c r="F113" s="380" t="s">
        <v>17</v>
      </c>
      <c r="G113" s="381" t="s">
        <v>1021</v>
      </c>
      <c r="H113" s="381" t="s">
        <v>1021</v>
      </c>
    </row>
    <row r="114" spans="1:8">
      <c r="A114" s="380" t="s">
        <v>94</v>
      </c>
      <c r="B114" s="380" t="s">
        <v>95</v>
      </c>
      <c r="C114" s="401" t="s">
        <v>22</v>
      </c>
      <c r="D114" s="402" t="s">
        <v>301</v>
      </c>
      <c r="E114" s="380" t="s">
        <v>23</v>
      </c>
      <c r="F114" s="380" t="s">
        <v>17</v>
      </c>
      <c r="G114" s="381" t="s">
        <v>1021</v>
      </c>
      <c r="H114" s="381" t="s">
        <v>1021</v>
      </c>
    </row>
    <row r="115" spans="1:8">
      <c r="A115" s="380" t="s">
        <v>94</v>
      </c>
      <c r="B115" s="380" t="s">
        <v>95</v>
      </c>
      <c r="C115" s="401" t="s">
        <v>65</v>
      </c>
      <c r="D115" s="402" t="s">
        <v>302</v>
      </c>
      <c r="E115" s="380" t="s">
        <v>66</v>
      </c>
      <c r="F115" s="380" t="s">
        <v>17</v>
      </c>
      <c r="G115" s="381" t="s">
        <v>18</v>
      </c>
      <c r="H115" s="381" t="s">
        <v>18</v>
      </c>
    </row>
    <row r="116" spans="1:8">
      <c r="A116" s="380" t="s">
        <v>94</v>
      </c>
      <c r="B116" s="380" t="s">
        <v>95</v>
      </c>
      <c r="C116" s="401" t="s">
        <v>67</v>
      </c>
      <c r="D116" s="402" t="s">
        <v>303</v>
      </c>
      <c r="E116" s="380" t="s">
        <v>68</v>
      </c>
      <c r="F116" s="380" t="s">
        <v>17</v>
      </c>
      <c r="G116" s="381" t="s">
        <v>995</v>
      </c>
      <c r="H116" s="381" t="s">
        <v>864</v>
      </c>
    </row>
    <row r="117" spans="1:8">
      <c r="A117" s="380" t="s">
        <v>94</v>
      </c>
      <c r="B117" s="380" t="s">
        <v>95</v>
      </c>
      <c r="C117" s="401" t="s">
        <v>69</v>
      </c>
      <c r="D117" s="402" t="s">
        <v>304</v>
      </c>
      <c r="E117" s="380" t="s">
        <v>70</v>
      </c>
      <c r="F117" s="380" t="s">
        <v>17</v>
      </c>
      <c r="G117" s="381" t="s">
        <v>18</v>
      </c>
      <c r="H117" s="381" t="s">
        <v>18</v>
      </c>
    </row>
    <row r="118" spans="1:8" customFormat="1" ht="15">
      <c r="A118" s="356" t="s">
        <v>94</v>
      </c>
      <c r="B118" s="356" t="s">
        <v>95</v>
      </c>
      <c r="C118" s="356" t="s">
        <v>71</v>
      </c>
      <c r="D118" s="357" t="s">
        <v>305</v>
      </c>
      <c r="E118" s="356" t="s">
        <v>72</v>
      </c>
      <c r="F118" s="356" t="s">
        <v>73</v>
      </c>
      <c r="G118" s="358" t="s">
        <v>997</v>
      </c>
      <c r="H118" s="358" t="s">
        <v>998</v>
      </c>
    </row>
    <row r="119" spans="1:8">
      <c r="A119" s="380" t="s">
        <v>94</v>
      </c>
      <c r="B119" s="380" t="s">
        <v>95</v>
      </c>
      <c r="C119" s="401" t="s">
        <v>24</v>
      </c>
      <c r="D119" s="402" t="s">
        <v>306</v>
      </c>
      <c r="E119" s="380" t="s">
        <v>25</v>
      </c>
      <c r="F119" s="380" t="s">
        <v>17</v>
      </c>
      <c r="G119" s="381" t="s">
        <v>995</v>
      </c>
      <c r="H119" s="381" t="s">
        <v>864</v>
      </c>
    </row>
    <row r="120" spans="1:8">
      <c r="A120" s="380" t="s">
        <v>94</v>
      </c>
      <c r="B120" s="380" t="s">
        <v>95</v>
      </c>
      <c r="C120" s="401" t="s">
        <v>78</v>
      </c>
      <c r="D120" s="402" t="s">
        <v>307</v>
      </c>
      <c r="E120" s="380" t="s">
        <v>79</v>
      </c>
      <c r="F120" s="380" t="s">
        <v>17</v>
      </c>
      <c r="G120" s="381" t="s">
        <v>18</v>
      </c>
      <c r="H120" s="381" t="s">
        <v>18</v>
      </c>
    </row>
    <row r="121" spans="1:8">
      <c r="A121" s="380" t="s">
        <v>94</v>
      </c>
      <c r="B121" s="380" t="s">
        <v>95</v>
      </c>
      <c r="C121" s="401" t="s">
        <v>80</v>
      </c>
      <c r="D121" s="402" t="s">
        <v>308</v>
      </c>
      <c r="E121" s="380" t="s">
        <v>81</v>
      </c>
      <c r="F121" s="380" t="s">
        <v>17</v>
      </c>
      <c r="G121" s="381" t="s">
        <v>999</v>
      </c>
      <c r="H121" s="381" t="s">
        <v>999</v>
      </c>
    </row>
    <row r="122" spans="1:8">
      <c r="A122" s="380" t="s">
        <v>94</v>
      </c>
      <c r="B122" s="380" t="s">
        <v>95</v>
      </c>
      <c r="C122" s="401" t="s">
        <v>84</v>
      </c>
      <c r="D122" s="402" t="s">
        <v>309</v>
      </c>
      <c r="E122" s="380" t="s">
        <v>85</v>
      </c>
      <c r="F122" s="380" t="s">
        <v>17</v>
      </c>
      <c r="G122" s="381" t="s">
        <v>18</v>
      </c>
      <c r="H122" s="381" t="s">
        <v>18</v>
      </c>
    </row>
    <row r="123" spans="1:8">
      <c r="A123" s="380" t="s">
        <v>94</v>
      </c>
      <c r="B123" s="380" t="s">
        <v>95</v>
      </c>
      <c r="C123" s="401" t="s">
        <v>92</v>
      </c>
      <c r="D123" s="402" t="s">
        <v>310</v>
      </c>
      <c r="E123" s="380" t="s">
        <v>93</v>
      </c>
      <c r="F123" s="380" t="s">
        <v>17</v>
      </c>
      <c r="G123" s="381" t="s">
        <v>999</v>
      </c>
      <c r="H123" s="381" t="s">
        <v>999</v>
      </c>
    </row>
    <row r="124" spans="1:8">
      <c r="A124" s="380" t="s">
        <v>94</v>
      </c>
      <c r="B124" s="380" t="s">
        <v>95</v>
      </c>
      <c r="C124" s="401" t="s">
        <v>32</v>
      </c>
      <c r="D124" s="402" t="s">
        <v>311</v>
      </c>
      <c r="E124" s="380" t="s">
        <v>33</v>
      </c>
      <c r="F124" s="380" t="s">
        <v>17</v>
      </c>
      <c r="G124" s="381" t="s">
        <v>999</v>
      </c>
      <c r="H124" s="381" t="s">
        <v>999</v>
      </c>
    </row>
    <row r="125" spans="1:8">
      <c r="A125" s="380" t="s">
        <v>94</v>
      </c>
      <c r="B125" s="380" t="s">
        <v>95</v>
      </c>
      <c r="C125" s="401" t="s">
        <v>63</v>
      </c>
      <c r="D125" s="402" t="s">
        <v>312</v>
      </c>
      <c r="E125" s="380" t="s">
        <v>140</v>
      </c>
      <c r="F125" s="380" t="s">
        <v>17</v>
      </c>
      <c r="G125" s="381" t="s">
        <v>999</v>
      </c>
      <c r="H125" s="381" t="s">
        <v>999</v>
      </c>
    </row>
    <row r="126" spans="1:8">
      <c r="A126" s="380" t="s">
        <v>94</v>
      </c>
      <c r="B126" s="380" t="s">
        <v>95</v>
      </c>
      <c r="C126" s="401" t="s">
        <v>146</v>
      </c>
      <c r="D126" s="402" t="s">
        <v>313</v>
      </c>
      <c r="E126" s="380" t="s">
        <v>147</v>
      </c>
      <c r="F126" s="380" t="s">
        <v>17</v>
      </c>
      <c r="G126" s="381" t="s">
        <v>1021</v>
      </c>
      <c r="H126" s="381" t="s">
        <v>1021</v>
      </c>
    </row>
    <row r="127" spans="1:8" customFormat="1" ht="15">
      <c r="A127" s="356" t="s">
        <v>94</v>
      </c>
      <c r="B127" s="356" t="s">
        <v>95</v>
      </c>
      <c r="C127" s="356" t="s">
        <v>149</v>
      </c>
      <c r="D127" s="357" t="s">
        <v>314</v>
      </c>
      <c r="E127" s="356" t="s">
        <v>150</v>
      </c>
      <c r="F127" s="356" t="s">
        <v>73</v>
      </c>
      <c r="G127" s="358" t="s">
        <v>997</v>
      </c>
      <c r="H127" s="358" t="s">
        <v>998</v>
      </c>
    </row>
    <row r="128" spans="1:8">
      <c r="A128" s="380" t="s">
        <v>94</v>
      </c>
      <c r="B128" s="380" t="s">
        <v>95</v>
      </c>
      <c r="C128" s="401" t="s">
        <v>180</v>
      </c>
      <c r="D128" s="402" t="s">
        <v>315</v>
      </c>
      <c r="E128" s="380" t="s">
        <v>181</v>
      </c>
      <c r="F128" s="380" t="s">
        <v>17</v>
      </c>
      <c r="G128" s="381" t="s">
        <v>1021</v>
      </c>
      <c r="H128" s="381" t="s">
        <v>1021</v>
      </c>
    </row>
    <row r="129" spans="1:8">
      <c r="A129" s="380" t="s">
        <v>94</v>
      </c>
      <c r="B129" s="380" t="s">
        <v>95</v>
      </c>
      <c r="C129" s="401" t="s">
        <v>183</v>
      </c>
      <c r="D129" s="402" t="s">
        <v>316</v>
      </c>
      <c r="E129" s="380" t="s">
        <v>184</v>
      </c>
      <c r="F129" s="380" t="s">
        <v>17</v>
      </c>
      <c r="G129" s="381" t="s">
        <v>18</v>
      </c>
      <c r="H129" s="381" t="s">
        <v>18</v>
      </c>
    </row>
    <row r="130" spans="1:8">
      <c r="A130" s="380" t="s">
        <v>94</v>
      </c>
      <c r="B130" s="380" t="s">
        <v>95</v>
      </c>
      <c r="C130" s="401" t="s">
        <v>191</v>
      </c>
      <c r="D130" s="402" t="s">
        <v>317</v>
      </c>
      <c r="E130" s="380" t="s">
        <v>192</v>
      </c>
      <c r="F130" s="380" t="s">
        <v>17</v>
      </c>
      <c r="G130" s="381" t="s">
        <v>18</v>
      </c>
      <c r="H130" s="381" t="s">
        <v>18</v>
      </c>
    </row>
    <row r="131" spans="1:8">
      <c r="A131" s="380" t="s">
        <v>94</v>
      </c>
      <c r="B131" s="380" t="s">
        <v>95</v>
      </c>
      <c r="C131" s="401" t="s">
        <v>189</v>
      </c>
      <c r="D131" s="402" t="s">
        <v>318</v>
      </c>
      <c r="E131" s="380" t="s">
        <v>190</v>
      </c>
      <c r="F131" s="380" t="s">
        <v>17</v>
      </c>
      <c r="G131" s="381" t="s">
        <v>18</v>
      </c>
      <c r="H131" s="381" t="s">
        <v>18</v>
      </c>
    </row>
    <row r="132" spans="1:8">
      <c r="A132" s="380" t="s">
        <v>94</v>
      </c>
      <c r="B132" s="380" t="s">
        <v>95</v>
      </c>
      <c r="C132" s="401" t="s">
        <v>194</v>
      </c>
      <c r="D132" s="402" t="s">
        <v>319</v>
      </c>
      <c r="E132" s="380" t="s">
        <v>195</v>
      </c>
      <c r="F132" s="380" t="s">
        <v>17</v>
      </c>
      <c r="G132" s="381" t="s">
        <v>999</v>
      </c>
      <c r="H132" s="381" t="s">
        <v>999</v>
      </c>
    </row>
    <row r="133" spans="1:8" customFormat="1" ht="15">
      <c r="A133" s="356" t="s">
        <v>96</v>
      </c>
      <c r="B133" s="356" t="s">
        <v>97</v>
      </c>
      <c r="C133" s="356" t="s">
        <v>28</v>
      </c>
      <c r="D133" s="357" t="s">
        <v>320</v>
      </c>
      <c r="E133" s="356" t="s">
        <v>29</v>
      </c>
      <c r="F133" s="356" t="s">
        <v>30</v>
      </c>
      <c r="G133" s="358" t="s">
        <v>172</v>
      </c>
      <c r="H133" s="358" t="s">
        <v>896</v>
      </c>
    </row>
    <row r="134" spans="1:8" customFormat="1" ht="15">
      <c r="A134" s="356" t="s">
        <v>96</v>
      </c>
      <c r="B134" s="356" t="s">
        <v>97</v>
      </c>
      <c r="C134" s="356" t="s">
        <v>88</v>
      </c>
      <c r="D134" s="357" t="s">
        <v>321</v>
      </c>
      <c r="E134" s="356" t="s">
        <v>89</v>
      </c>
      <c r="F134" s="356" t="s">
        <v>31</v>
      </c>
      <c r="G134" s="358" t="s">
        <v>172</v>
      </c>
      <c r="H134" s="358" t="s">
        <v>896</v>
      </c>
    </row>
    <row r="135" spans="1:8" customFormat="1" ht="15">
      <c r="A135" s="356" t="s">
        <v>96</v>
      </c>
      <c r="B135" s="356" t="s">
        <v>97</v>
      </c>
      <c r="C135" s="356" t="s">
        <v>144</v>
      </c>
      <c r="D135" s="357" t="s">
        <v>765</v>
      </c>
      <c r="E135" s="356" t="s">
        <v>145</v>
      </c>
      <c r="F135" s="356" t="s">
        <v>31</v>
      </c>
      <c r="G135" s="358" t="s">
        <v>172</v>
      </c>
      <c r="H135" s="358" t="s">
        <v>896</v>
      </c>
    </row>
    <row r="136" spans="1:8" customFormat="1" ht="15">
      <c r="A136" s="356" t="s">
        <v>96</v>
      </c>
      <c r="B136" s="356" t="s">
        <v>97</v>
      </c>
      <c r="C136" s="356" t="s">
        <v>167</v>
      </c>
      <c r="D136" s="357" t="s">
        <v>322</v>
      </c>
      <c r="E136" s="356" t="s">
        <v>168</v>
      </c>
      <c r="F136" s="356" t="s">
        <v>169</v>
      </c>
      <c r="G136" s="358" t="s">
        <v>173</v>
      </c>
      <c r="H136" s="358" t="s">
        <v>896</v>
      </c>
    </row>
    <row r="137" spans="1:8" customFormat="1" ht="15">
      <c r="A137" s="356" t="s">
        <v>96</v>
      </c>
      <c r="B137" s="356" t="s">
        <v>97</v>
      </c>
      <c r="C137" s="356" t="s">
        <v>198</v>
      </c>
      <c r="D137" s="357" t="s">
        <v>766</v>
      </c>
      <c r="E137" s="356" t="s">
        <v>199</v>
      </c>
      <c r="F137" s="356" t="s">
        <v>30</v>
      </c>
      <c r="G137" s="358" t="s">
        <v>172</v>
      </c>
      <c r="H137" s="358" t="s">
        <v>896</v>
      </c>
    </row>
    <row r="138" spans="1:8" customFormat="1" ht="15">
      <c r="A138" s="356" t="s">
        <v>96</v>
      </c>
      <c r="B138" s="356" t="s">
        <v>97</v>
      </c>
      <c r="C138" s="356" t="s">
        <v>34</v>
      </c>
      <c r="D138" s="357" t="s">
        <v>323</v>
      </c>
      <c r="E138" s="356" t="s">
        <v>35</v>
      </c>
      <c r="F138" s="356" t="s">
        <v>36</v>
      </c>
      <c r="G138" s="358" t="s">
        <v>996</v>
      </c>
      <c r="H138" s="358" t="s">
        <v>895</v>
      </c>
    </row>
    <row r="139" spans="1:8" customFormat="1" ht="15">
      <c r="A139" s="356" t="s">
        <v>96</v>
      </c>
      <c r="B139" s="356" t="s">
        <v>97</v>
      </c>
      <c r="C139" s="356" t="s">
        <v>37</v>
      </c>
      <c r="D139" s="357" t="s">
        <v>324</v>
      </c>
      <c r="E139" s="356" t="s">
        <v>38</v>
      </c>
      <c r="F139" s="356" t="s">
        <v>36</v>
      </c>
      <c r="G139" s="358" t="s">
        <v>996</v>
      </c>
      <c r="H139" s="358" t="s">
        <v>895</v>
      </c>
    </row>
    <row r="140" spans="1:8" customFormat="1" ht="15">
      <c r="A140" s="356" t="s">
        <v>96</v>
      </c>
      <c r="B140" s="356" t="s">
        <v>97</v>
      </c>
      <c r="C140" s="356" t="s">
        <v>41</v>
      </c>
      <c r="D140" s="357" t="s">
        <v>325</v>
      </c>
      <c r="E140" s="356" t="s">
        <v>42</v>
      </c>
      <c r="F140" s="356" t="s">
        <v>36</v>
      </c>
      <c r="G140" s="358" t="s">
        <v>996</v>
      </c>
      <c r="H140" s="358" t="s">
        <v>895</v>
      </c>
    </row>
    <row r="141" spans="1:8" customFormat="1" ht="15">
      <c r="A141" s="356" t="s">
        <v>96</v>
      </c>
      <c r="B141" s="356" t="s">
        <v>97</v>
      </c>
      <c r="C141" s="356" t="s">
        <v>43</v>
      </c>
      <c r="D141" s="357" t="s">
        <v>326</v>
      </c>
      <c r="E141" s="356" t="s">
        <v>44</v>
      </c>
      <c r="F141" s="356" t="s">
        <v>36</v>
      </c>
      <c r="G141" s="358" t="s">
        <v>996</v>
      </c>
      <c r="H141" s="358" t="s">
        <v>895</v>
      </c>
    </row>
    <row r="142" spans="1:8" customFormat="1" ht="15">
      <c r="A142" s="356" t="s">
        <v>96</v>
      </c>
      <c r="B142" s="356" t="s">
        <v>97</v>
      </c>
      <c r="C142" s="356" t="s">
        <v>45</v>
      </c>
      <c r="D142" s="357" t="s">
        <v>327</v>
      </c>
      <c r="E142" s="356" t="s">
        <v>46</v>
      </c>
      <c r="F142" s="356" t="s">
        <v>36</v>
      </c>
      <c r="G142" s="358" t="s">
        <v>996</v>
      </c>
      <c r="H142" s="358" t="s">
        <v>895</v>
      </c>
    </row>
    <row r="143" spans="1:8" customFormat="1" ht="15">
      <c r="A143" s="356" t="s">
        <v>96</v>
      </c>
      <c r="B143" s="356" t="s">
        <v>97</v>
      </c>
      <c r="C143" s="356" t="s">
        <v>47</v>
      </c>
      <c r="D143" s="357" t="s">
        <v>328</v>
      </c>
      <c r="E143" s="356" t="s">
        <v>48</v>
      </c>
      <c r="F143" s="356" t="s">
        <v>36</v>
      </c>
      <c r="G143" s="358" t="s">
        <v>996</v>
      </c>
      <c r="H143" s="358" t="s">
        <v>895</v>
      </c>
    </row>
    <row r="144" spans="1:8" customFormat="1" ht="15">
      <c r="A144" s="356" t="s">
        <v>96</v>
      </c>
      <c r="B144" s="356" t="s">
        <v>97</v>
      </c>
      <c r="C144" s="356" t="s">
        <v>49</v>
      </c>
      <c r="D144" s="357" t="s">
        <v>329</v>
      </c>
      <c r="E144" s="356" t="s">
        <v>50</v>
      </c>
      <c r="F144" s="356" t="s">
        <v>36</v>
      </c>
      <c r="G144" s="358" t="s">
        <v>996</v>
      </c>
      <c r="H144" s="358" t="s">
        <v>895</v>
      </c>
    </row>
    <row r="145" spans="1:8">
      <c r="A145" s="380" t="s">
        <v>96</v>
      </c>
      <c r="B145" s="380" t="s">
        <v>97</v>
      </c>
      <c r="C145" s="401" t="s">
        <v>51</v>
      </c>
      <c r="D145" s="402" t="s">
        <v>330</v>
      </c>
      <c r="E145" s="380" t="s">
        <v>52</v>
      </c>
      <c r="F145" s="380" t="s">
        <v>17</v>
      </c>
      <c r="G145" s="381" t="s">
        <v>21</v>
      </c>
      <c r="H145" s="381" t="s">
        <v>864</v>
      </c>
    </row>
    <row r="146" spans="1:8">
      <c r="A146" s="380" t="s">
        <v>96</v>
      </c>
      <c r="B146" s="380" t="s">
        <v>97</v>
      </c>
      <c r="C146" s="401" t="s">
        <v>53</v>
      </c>
      <c r="D146" s="402" t="s">
        <v>331</v>
      </c>
      <c r="E146" s="380" t="s">
        <v>54</v>
      </c>
      <c r="F146" s="380" t="s">
        <v>17</v>
      </c>
      <c r="G146" s="381" t="s">
        <v>999</v>
      </c>
      <c r="H146" s="381" t="s">
        <v>999</v>
      </c>
    </row>
    <row r="147" spans="1:8">
      <c r="A147" s="380" t="s">
        <v>96</v>
      </c>
      <c r="B147" s="380" t="s">
        <v>97</v>
      </c>
      <c r="C147" s="401" t="s">
        <v>15</v>
      </c>
      <c r="D147" s="402" t="s">
        <v>332</v>
      </c>
      <c r="E147" s="380" t="s">
        <v>16</v>
      </c>
      <c r="F147" s="380" t="s">
        <v>17</v>
      </c>
      <c r="G147" s="381" t="s">
        <v>1021</v>
      </c>
      <c r="H147" s="381" t="s">
        <v>1021</v>
      </c>
    </row>
    <row r="148" spans="1:8">
      <c r="A148" s="380" t="s">
        <v>96</v>
      </c>
      <c r="B148" s="380" t="s">
        <v>97</v>
      </c>
      <c r="C148" s="401" t="s">
        <v>55</v>
      </c>
      <c r="D148" s="402" t="s">
        <v>333</v>
      </c>
      <c r="E148" s="380" t="s">
        <v>56</v>
      </c>
      <c r="F148" s="380" t="s">
        <v>17</v>
      </c>
      <c r="G148" s="381" t="s">
        <v>1021</v>
      </c>
      <c r="H148" s="381" t="s">
        <v>1021</v>
      </c>
    </row>
    <row r="149" spans="1:8">
      <c r="A149" s="380" t="s">
        <v>96</v>
      </c>
      <c r="B149" s="380" t="s">
        <v>97</v>
      </c>
      <c r="C149" s="401" t="s">
        <v>57</v>
      </c>
      <c r="D149" s="402" t="s">
        <v>334</v>
      </c>
      <c r="E149" s="380" t="s">
        <v>58</v>
      </c>
      <c r="F149" s="380" t="s">
        <v>17</v>
      </c>
      <c r="G149" s="381" t="s">
        <v>18</v>
      </c>
      <c r="H149" s="381" t="s">
        <v>18</v>
      </c>
    </row>
    <row r="150" spans="1:8">
      <c r="A150" s="380" t="s">
        <v>96</v>
      </c>
      <c r="B150" s="380" t="s">
        <v>97</v>
      </c>
      <c r="C150" s="401" t="s">
        <v>59</v>
      </c>
      <c r="D150" s="402" t="s">
        <v>335</v>
      </c>
      <c r="E150" s="380" t="s">
        <v>60</v>
      </c>
      <c r="F150" s="380" t="s">
        <v>17</v>
      </c>
      <c r="G150" s="381" t="s">
        <v>995</v>
      </c>
      <c r="H150" s="381" t="s">
        <v>864</v>
      </c>
    </row>
    <row r="151" spans="1:8">
      <c r="A151" s="380" t="s">
        <v>96</v>
      </c>
      <c r="B151" s="380" t="s">
        <v>97</v>
      </c>
      <c r="C151" s="401" t="s">
        <v>19</v>
      </c>
      <c r="D151" s="402" t="s">
        <v>336</v>
      </c>
      <c r="E151" s="380" t="s">
        <v>20</v>
      </c>
      <c r="F151" s="380" t="s">
        <v>17</v>
      </c>
      <c r="G151" s="381" t="s">
        <v>21</v>
      </c>
      <c r="H151" s="381" t="s">
        <v>864</v>
      </c>
    </row>
    <row r="152" spans="1:8">
      <c r="A152" s="380" t="s">
        <v>96</v>
      </c>
      <c r="B152" s="380" t="s">
        <v>97</v>
      </c>
      <c r="C152" s="401" t="s">
        <v>61</v>
      </c>
      <c r="D152" s="402" t="s">
        <v>337</v>
      </c>
      <c r="E152" s="380" t="s">
        <v>62</v>
      </c>
      <c r="F152" s="380" t="s">
        <v>17</v>
      </c>
      <c r="G152" s="381" t="s">
        <v>1021</v>
      </c>
      <c r="H152" s="381" t="s">
        <v>1021</v>
      </c>
    </row>
    <row r="153" spans="1:8">
      <c r="A153" s="380" t="s">
        <v>96</v>
      </c>
      <c r="B153" s="380" t="s">
        <v>97</v>
      </c>
      <c r="C153" s="401" t="s">
        <v>22</v>
      </c>
      <c r="D153" s="402" t="s">
        <v>338</v>
      </c>
      <c r="E153" s="380" t="s">
        <v>23</v>
      </c>
      <c r="F153" s="380" t="s">
        <v>17</v>
      </c>
      <c r="G153" s="381" t="s">
        <v>1021</v>
      </c>
      <c r="H153" s="381" t="s">
        <v>1021</v>
      </c>
    </row>
    <row r="154" spans="1:8">
      <c r="A154" s="380" t="s">
        <v>96</v>
      </c>
      <c r="B154" s="380" t="s">
        <v>97</v>
      </c>
      <c r="C154" s="401" t="s">
        <v>65</v>
      </c>
      <c r="D154" s="402" t="s">
        <v>339</v>
      </c>
      <c r="E154" s="380" t="s">
        <v>66</v>
      </c>
      <c r="F154" s="380" t="s">
        <v>17</v>
      </c>
      <c r="G154" s="381" t="s">
        <v>18</v>
      </c>
      <c r="H154" s="381" t="s">
        <v>18</v>
      </c>
    </row>
    <row r="155" spans="1:8">
      <c r="A155" s="380" t="s">
        <v>96</v>
      </c>
      <c r="B155" s="380" t="s">
        <v>97</v>
      </c>
      <c r="C155" s="401" t="s">
        <v>67</v>
      </c>
      <c r="D155" s="402" t="s">
        <v>340</v>
      </c>
      <c r="E155" s="380" t="s">
        <v>68</v>
      </c>
      <c r="F155" s="380" t="s">
        <v>17</v>
      </c>
      <c r="G155" s="381" t="s">
        <v>21</v>
      </c>
      <c r="H155" s="381" t="s">
        <v>864</v>
      </c>
    </row>
    <row r="156" spans="1:8">
      <c r="A156" s="380" t="s">
        <v>96</v>
      </c>
      <c r="B156" s="380" t="s">
        <v>97</v>
      </c>
      <c r="C156" s="401" t="s">
        <v>69</v>
      </c>
      <c r="D156" s="402" t="s">
        <v>341</v>
      </c>
      <c r="E156" s="380" t="s">
        <v>70</v>
      </c>
      <c r="F156" s="380" t="s">
        <v>17</v>
      </c>
      <c r="G156" s="381" t="s">
        <v>18</v>
      </c>
      <c r="H156" s="381" t="s">
        <v>18</v>
      </c>
    </row>
    <row r="157" spans="1:8" customFormat="1" ht="15">
      <c r="A157" s="356" t="s">
        <v>96</v>
      </c>
      <c r="B157" s="356" t="s">
        <v>97</v>
      </c>
      <c r="C157" s="356" t="s">
        <v>71</v>
      </c>
      <c r="D157" s="357" t="s">
        <v>342</v>
      </c>
      <c r="E157" s="356" t="s">
        <v>72</v>
      </c>
      <c r="F157" s="356" t="s">
        <v>73</v>
      </c>
      <c r="G157" s="358" t="s">
        <v>997</v>
      </c>
      <c r="H157" s="358" t="s">
        <v>998</v>
      </c>
    </row>
    <row r="158" spans="1:8">
      <c r="A158" s="380" t="s">
        <v>96</v>
      </c>
      <c r="B158" s="380" t="s">
        <v>97</v>
      </c>
      <c r="C158" s="401" t="s">
        <v>74</v>
      </c>
      <c r="D158" s="402" t="s">
        <v>343</v>
      </c>
      <c r="E158" s="380" t="s">
        <v>75</v>
      </c>
      <c r="F158" s="380" t="s">
        <v>17</v>
      </c>
      <c r="G158" s="381" t="s">
        <v>18</v>
      </c>
      <c r="H158" s="381" t="s">
        <v>18</v>
      </c>
    </row>
    <row r="159" spans="1:8">
      <c r="A159" s="380" t="s">
        <v>96</v>
      </c>
      <c r="B159" s="380" t="s">
        <v>97</v>
      </c>
      <c r="C159" s="401" t="s">
        <v>24</v>
      </c>
      <c r="D159" s="402" t="s">
        <v>344</v>
      </c>
      <c r="E159" s="380" t="s">
        <v>25</v>
      </c>
      <c r="F159" s="380" t="s">
        <v>17</v>
      </c>
      <c r="G159" s="381" t="s">
        <v>21</v>
      </c>
      <c r="H159" s="381" t="s">
        <v>864</v>
      </c>
    </row>
    <row r="160" spans="1:8">
      <c r="A160" s="380" t="s">
        <v>96</v>
      </c>
      <c r="B160" s="380" t="s">
        <v>97</v>
      </c>
      <c r="C160" s="401" t="s">
        <v>78</v>
      </c>
      <c r="D160" s="402" t="s">
        <v>345</v>
      </c>
      <c r="E160" s="380" t="s">
        <v>79</v>
      </c>
      <c r="F160" s="380" t="s">
        <v>17</v>
      </c>
      <c r="G160" s="381" t="s">
        <v>18</v>
      </c>
      <c r="H160" s="381" t="s">
        <v>18</v>
      </c>
    </row>
    <row r="161" spans="1:8">
      <c r="A161" s="380" t="s">
        <v>96</v>
      </c>
      <c r="B161" s="380" t="s">
        <v>97</v>
      </c>
      <c r="C161" s="401" t="s">
        <v>80</v>
      </c>
      <c r="D161" s="402" t="s">
        <v>346</v>
      </c>
      <c r="E161" s="380" t="s">
        <v>81</v>
      </c>
      <c r="F161" s="380" t="s">
        <v>17</v>
      </c>
      <c r="G161" s="381" t="s">
        <v>999</v>
      </c>
      <c r="H161" s="381" t="s">
        <v>999</v>
      </c>
    </row>
    <row r="162" spans="1:8">
      <c r="A162" s="380" t="s">
        <v>96</v>
      </c>
      <c r="B162" s="380" t="s">
        <v>97</v>
      </c>
      <c r="C162" s="401" t="s">
        <v>84</v>
      </c>
      <c r="D162" s="402" t="s">
        <v>347</v>
      </c>
      <c r="E162" s="380" t="s">
        <v>85</v>
      </c>
      <c r="F162" s="380" t="s">
        <v>17</v>
      </c>
      <c r="G162" s="381" t="s">
        <v>18</v>
      </c>
      <c r="H162" s="381" t="s">
        <v>18</v>
      </c>
    </row>
    <row r="163" spans="1:8" customFormat="1" ht="15">
      <c r="A163" s="356" t="s">
        <v>96</v>
      </c>
      <c r="B163" s="356" t="s">
        <v>97</v>
      </c>
      <c r="C163" s="356" t="s">
        <v>114</v>
      </c>
      <c r="D163" s="357" t="s">
        <v>348</v>
      </c>
      <c r="E163" s="356" t="s">
        <v>115</v>
      </c>
      <c r="F163" s="356" t="s">
        <v>73</v>
      </c>
      <c r="G163" s="358" t="s">
        <v>997</v>
      </c>
      <c r="H163" s="358" t="s">
        <v>998</v>
      </c>
    </row>
    <row r="164" spans="1:8">
      <c r="A164" s="380" t="s">
        <v>96</v>
      </c>
      <c r="B164" s="380" t="s">
        <v>97</v>
      </c>
      <c r="C164" s="401" t="s">
        <v>92</v>
      </c>
      <c r="D164" s="402" t="s">
        <v>349</v>
      </c>
      <c r="E164" s="380" t="s">
        <v>93</v>
      </c>
      <c r="F164" s="380" t="s">
        <v>17</v>
      </c>
      <c r="G164" s="381" t="s">
        <v>999</v>
      </c>
      <c r="H164" s="381" t="s">
        <v>999</v>
      </c>
    </row>
    <row r="165" spans="1:8">
      <c r="A165" s="380" t="s">
        <v>96</v>
      </c>
      <c r="B165" s="380" t="s">
        <v>97</v>
      </c>
      <c r="C165" s="401" t="s">
        <v>32</v>
      </c>
      <c r="D165" s="402" t="s">
        <v>350</v>
      </c>
      <c r="E165" s="380" t="s">
        <v>33</v>
      </c>
      <c r="F165" s="380" t="s">
        <v>17</v>
      </c>
      <c r="G165" s="381" t="s">
        <v>999</v>
      </c>
      <c r="H165" s="381" t="s">
        <v>999</v>
      </c>
    </row>
    <row r="166" spans="1:8">
      <c r="A166" s="380" t="s">
        <v>96</v>
      </c>
      <c r="B166" s="380" t="s">
        <v>97</v>
      </c>
      <c r="C166" s="401" t="s">
        <v>63</v>
      </c>
      <c r="D166" s="402" t="s">
        <v>351</v>
      </c>
      <c r="E166" s="380" t="s">
        <v>140</v>
      </c>
      <c r="F166" s="380" t="s">
        <v>17</v>
      </c>
      <c r="G166" s="381" t="s">
        <v>999</v>
      </c>
      <c r="H166" s="381" t="s">
        <v>999</v>
      </c>
    </row>
    <row r="167" spans="1:8" customFormat="1" ht="15">
      <c r="A167" s="356" t="s">
        <v>96</v>
      </c>
      <c r="B167" s="356" t="s">
        <v>97</v>
      </c>
      <c r="C167" s="356" t="s">
        <v>149</v>
      </c>
      <c r="D167" s="357" t="s">
        <v>352</v>
      </c>
      <c r="E167" s="356" t="s">
        <v>150</v>
      </c>
      <c r="F167" s="356" t="s">
        <v>73</v>
      </c>
      <c r="G167" s="358" t="s">
        <v>997</v>
      </c>
      <c r="H167" s="358" t="s">
        <v>998</v>
      </c>
    </row>
    <row r="168" spans="1:8">
      <c r="A168" s="380" t="s">
        <v>96</v>
      </c>
      <c r="B168" s="380" t="s">
        <v>97</v>
      </c>
      <c r="C168" s="401" t="s">
        <v>183</v>
      </c>
      <c r="D168" s="402" t="s">
        <v>353</v>
      </c>
      <c r="E168" s="380" t="s">
        <v>184</v>
      </c>
      <c r="F168" s="380" t="s">
        <v>17</v>
      </c>
      <c r="G168" s="381" t="s">
        <v>18</v>
      </c>
      <c r="H168" s="381" t="s">
        <v>18</v>
      </c>
    </row>
    <row r="169" spans="1:8">
      <c r="A169" s="380" t="s">
        <v>96</v>
      </c>
      <c r="B169" s="380" t="s">
        <v>97</v>
      </c>
      <c r="C169" s="401" t="s">
        <v>191</v>
      </c>
      <c r="D169" s="402" t="s">
        <v>354</v>
      </c>
      <c r="E169" s="380" t="s">
        <v>192</v>
      </c>
      <c r="F169" s="380" t="s">
        <v>17</v>
      </c>
      <c r="G169" s="381" t="s">
        <v>18</v>
      </c>
      <c r="H169" s="381" t="s">
        <v>18</v>
      </c>
    </row>
    <row r="170" spans="1:8">
      <c r="A170" s="380" t="s">
        <v>96</v>
      </c>
      <c r="B170" s="380" t="s">
        <v>97</v>
      </c>
      <c r="C170" s="401" t="s">
        <v>189</v>
      </c>
      <c r="D170" s="402" t="s">
        <v>767</v>
      </c>
      <c r="E170" s="380" t="s">
        <v>190</v>
      </c>
      <c r="F170" s="380" t="s">
        <v>17</v>
      </c>
      <c r="G170" s="381" t="s">
        <v>18</v>
      </c>
      <c r="H170" s="381" t="s">
        <v>18</v>
      </c>
    </row>
    <row r="171" spans="1:8">
      <c r="A171" s="380" t="s">
        <v>96</v>
      </c>
      <c r="B171" s="380" t="s">
        <v>97</v>
      </c>
      <c r="C171" s="401" t="s">
        <v>194</v>
      </c>
      <c r="D171" s="402" t="s">
        <v>790</v>
      </c>
      <c r="E171" s="380" t="s">
        <v>195</v>
      </c>
      <c r="F171" s="380" t="s">
        <v>17</v>
      </c>
      <c r="G171" s="381" t="s">
        <v>999</v>
      </c>
      <c r="H171" s="381" t="s">
        <v>999</v>
      </c>
    </row>
    <row r="172" spans="1:8" customFormat="1" ht="15">
      <c r="A172" s="356" t="s">
        <v>152</v>
      </c>
      <c r="B172" s="356" t="s">
        <v>153</v>
      </c>
      <c r="C172" s="356" t="s">
        <v>28</v>
      </c>
      <c r="D172" s="357" t="s">
        <v>355</v>
      </c>
      <c r="E172" s="356" t="s">
        <v>29</v>
      </c>
      <c r="F172" s="356" t="s">
        <v>30</v>
      </c>
      <c r="G172" s="358" t="s">
        <v>172</v>
      </c>
      <c r="H172" s="358" t="s">
        <v>896</v>
      </c>
    </row>
    <row r="173" spans="1:8" customFormat="1" ht="15">
      <c r="A173" s="356" t="s">
        <v>152</v>
      </c>
      <c r="B173" s="356" t="s">
        <v>153</v>
      </c>
      <c r="C173" s="356" t="s">
        <v>88</v>
      </c>
      <c r="D173" s="357" t="s">
        <v>356</v>
      </c>
      <c r="E173" s="356" t="s">
        <v>89</v>
      </c>
      <c r="F173" s="356" t="s">
        <v>31</v>
      </c>
      <c r="G173" s="358" t="s">
        <v>172</v>
      </c>
      <c r="H173" s="358" t="s">
        <v>896</v>
      </c>
    </row>
    <row r="174" spans="1:8" customFormat="1" ht="15">
      <c r="A174" s="356" t="s">
        <v>152</v>
      </c>
      <c r="B174" s="356" t="s">
        <v>153</v>
      </c>
      <c r="C174" s="356" t="s">
        <v>144</v>
      </c>
      <c r="D174" s="357" t="s">
        <v>357</v>
      </c>
      <c r="E174" s="356" t="s">
        <v>145</v>
      </c>
      <c r="F174" s="356" t="s">
        <v>31</v>
      </c>
      <c r="G174" s="358" t="s">
        <v>172</v>
      </c>
      <c r="H174" s="358" t="s">
        <v>896</v>
      </c>
    </row>
    <row r="175" spans="1:8" customFormat="1" ht="15">
      <c r="A175" s="356" t="s">
        <v>152</v>
      </c>
      <c r="B175" s="356" t="s">
        <v>153</v>
      </c>
      <c r="C175" s="356" t="s">
        <v>167</v>
      </c>
      <c r="D175" s="357" t="s">
        <v>358</v>
      </c>
      <c r="E175" s="356" t="s">
        <v>168</v>
      </c>
      <c r="F175" s="356" t="s">
        <v>169</v>
      </c>
      <c r="G175" s="358" t="s">
        <v>173</v>
      </c>
      <c r="H175" s="358" t="s">
        <v>896</v>
      </c>
    </row>
    <row r="176" spans="1:8" customFormat="1" ht="15">
      <c r="A176" s="356" t="s">
        <v>152</v>
      </c>
      <c r="B176" s="356" t="s">
        <v>153</v>
      </c>
      <c r="C176" s="356" t="s">
        <v>34</v>
      </c>
      <c r="D176" s="357" t="s">
        <v>359</v>
      </c>
      <c r="E176" s="356" t="s">
        <v>35</v>
      </c>
      <c r="F176" s="356" t="s">
        <v>36</v>
      </c>
      <c r="G176" s="358" t="s">
        <v>996</v>
      </c>
      <c r="H176" s="358" t="s">
        <v>895</v>
      </c>
    </row>
    <row r="177" spans="1:8" customFormat="1" ht="15">
      <c r="A177" s="356" t="s">
        <v>152</v>
      </c>
      <c r="B177" s="356" t="s">
        <v>153</v>
      </c>
      <c r="C177" s="356" t="s">
        <v>37</v>
      </c>
      <c r="D177" s="357" t="s">
        <v>360</v>
      </c>
      <c r="E177" s="356" t="s">
        <v>38</v>
      </c>
      <c r="F177" s="356" t="s">
        <v>36</v>
      </c>
      <c r="G177" s="358" t="s">
        <v>996</v>
      </c>
      <c r="H177" s="358" t="s">
        <v>895</v>
      </c>
    </row>
    <row r="178" spans="1:8" customFormat="1" ht="15">
      <c r="A178" s="356" t="s">
        <v>152</v>
      </c>
      <c r="B178" s="356" t="s">
        <v>153</v>
      </c>
      <c r="C178" s="356" t="s">
        <v>41</v>
      </c>
      <c r="D178" s="357" t="s">
        <v>361</v>
      </c>
      <c r="E178" s="356" t="s">
        <v>42</v>
      </c>
      <c r="F178" s="356" t="s">
        <v>36</v>
      </c>
      <c r="G178" s="358" t="s">
        <v>996</v>
      </c>
      <c r="H178" s="358" t="s">
        <v>895</v>
      </c>
    </row>
    <row r="179" spans="1:8" customFormat="1" ht="15">
      <c r="A179" s="356" t="s">
        <v>152</v>
      </c>
      <c r="B179" s="356" t="s">
        <v>153</v>
      </c>
      <c r="C179" s="356" t="s">
        <v>43</v>
      </c>
      <c r="D179" s="357" t="s">
        <v>362</v>
      </c>
      <c r="E179" s="356" t="s">
        <v>44</v>
      </c>
      <c r="F179" s="356" t="s">
        <v>36</v>
      </c>
      <c r="G179" s="358" t="s">
        <v>996</v>
      </c>
      <c r="H179" s="358" t="s">
        <v>895</v>
      </c>
    </row>
    <row r="180" spans="1:8" customFormat="1" ht="15">
      <c r="A180" s="356" t="s">
        <v>152</v>
      </c>
      <c r="B180" s="356" t="s">
        <v>153</v>
      </c>
      <c r="C180" s="356" t="s">
        <v>45</v>
      </c>
      <c r="D180" s="357" t="s">
        <v>363</v>
      </c>
      <c r="E180" s="356" t="s">
        <v>46</v>
      </c>
      <c r="F180" s="356" t="s">
        <v>36</v>
      </c>
      <c r="G180" s="358" t="s">
        <v>996</v>
      </c>
      <c r="H180" s="358" t="s">
        <v>895</v>
      </c>
    </row>
    <row r="181" spans="1:8" customFormat="1" ht="15">
      <c r="A181" s="356" t="s">
        <v>152</v>
      </c>
      <c r="B181" s="356" t="s">
        <v>153</v>
      </c>
      <c r="C181" s="356" t="s">
        <v>47</v>
      </c>
      <c r="D181" s="357" t="s">
        <v>364</v>
      </c>
      <c r="E181" s="356" t="s">
        <v>48</v>
      </c>
      <c r="F181" s="356" t="s">
        <v>36</v>
      </c>
      <c r="G181" s="358" t="s">
        <v>996</v>
      </c>
      <c r="H181" s="358" t="s">
        <v>895</v>
      </c>
    </row>
    <row r="182" spans="1:8" customFormat="1" ht="15">
      <c r="A182" s="356" t="s">
        <v>152</v>
      </c>
      <c r="B182" s="356" t="s">
        <v>153</v>
      </c>
      <c r="C182" s="356" t="s">
        <v>49</v>
      </c>
      <c r="D182" s="357" t="s">
        <v>365</v>
      </c>
      <c r="E182" s="356" t="s">
        <v>50</v>
      </c>
      <c r="F182" s="356" t="s">
        <v>36</v>
      </c>
      <c r="G182" s="358" t="s">
        <v>996</v>
      </c>
      <c r="H182" s="358" t="s">
        <v>895</v>
      </c>
    </row>
    <row r="183" spans="1:8">
      <c r="A183" s="380" t="s">
        <v>152</v>
      </c>
      <c r="B183" s="380" t="s">
        <v>153</v>
      </c>
      <c r="C183" s="401" t="s">
        <v>51</v>
      </c>
      <c r="D183" s="402" t="s">
        <v>366</v>
      </c>
      <c r="E183" s="380" t="s">
        <v>52</v>
      </c>
      <c r="F183" s="380" t="s">
        <v>17</v>
      </c>
      <c r="G183" s="381" t="s">
        <v>995</v>
      </c>
      <c r="H183" s="381" t="s">
        <v>864</v>
      </c>
    </row>
    <row r="184" spans="1:8">
      <c r="A184" s="380" t="s">
        <v>152</v>
      </c>
      <c r="B184" s="380" t="s">
        <v>153</v>
      </c>
      <c r="C184" s="401" t="s">
        <v>53</v>
      </c>
      <c r="D184" s="402" t="s">
        <v>367</v>
      </c>
      <c r="E184" s="380" t="s">
        <v>54</v>
      </c>
      <c r="F184" s="380" t="s">
        <v>17</v>
      </c>
      <c r="G184" s="381" t="s">
        <v>999</v>
      </c>
      <c r="H184" s="381" t="s">
        <v>999</v>
      </c>
    </row>
    <row r="185" spans="1:8">
      <c r="A185" s="380" t="s">
        <v>152</v>
      </c>
      <c r="B185" s="380" t="s">
        <v>153</v>
      </c>
      <c r="C185" s="401" t="s">
        <v>15</v>
      </c>
      <c r="D185" s="402" t="s">
        <v>368</v>
      </c>
      <c r="E185" s="380" t="s">
        <v>16</v>
      </c>
      <c r="F185" s="380" t="s">
        <v>17</v>
      </c>
      <c r="G185" s="381" t="s">
        <v>1021</v>
      </c>
      <c r="H185" s="381" t="s">
        <v>1021</v>
      </c>
    </row>
    <row r="186" spans="1:8">
      <c r="A186" s="380" t="s">
        <v>152</v>
      </c>
      <c r="B186" s="380" t="s">
        <v>153</v>
      </c>
      <c r="C186" s="401" t="s">
        <v>55</v>
      </c>
      <c r="D186" s="402" t="s">
        <v>369</v>
      </c>
      <c r="E186" s="380" t="s">
        <v>56</v>
      </c>
      <c r="F186" s="380" t="s">
        <v>17</v>
      </c>
      <c r="G186" s="381" t="s">
        <v>1021</v>
      </c>
      <c r="H186" s="381" t="s">
        <v>1021</v>
      </c>
    </row>
    <row r="187" spans="1:8">
      <c r="A187" s="380" t="s">
        <v>152</v>
      </c>
      <c r="B187" s="380" t="s">
        <v>153</v>
      </c>
      <c r="C187" s="401" t="s">
        <v>59</v>
      </c>
      <c r="D187" s="402" t="s">
        <v>370</v>
      </c>
      <c r="E187" s="380" t="s">
        <v>60</v>
      </c>
      <c r="F187" s="380" t="s">
        <v>17</v>
      </c>
      <c r="G187" s="381" t="s">
        <v>995</v>
      </c>
      <c r="H187" s="381" t="s">
        <v>864</v>
      </c>
    </row>
    <row r="188" spans="1:8">
      <c r="A188" s="380" t="s">
        <v>152</v>
      </c>
      <c r="B188" s="380" t="s">
        <v>153</v>
      </c>
      <c r="C188" s="401" t="s">
        <v>19</v>
      </c>
      <c r="D188" s="402" t="s">
        <v>371</v>
      </c>
      <c r="E188" s="380" t="s">
        <v>20</v>
      </c>
      <c r="F188" s="380" t="s">
        <v>17</v>
      </c>
      <c r="G188" s="381" t="s">
        <v>995</v>
      </c>
      <c r="H188" s="381" t="s">
        <v>864</v>
      </c>
    </row>
    <row r="189" spans="1:8">
      <c r="A189" s="380" t="s">
        <v>152</v>
      </c>
      <c r="B189" s="380" t="s">
        <v>153</v>
      </c>
      <c r="C189" s="401" t="s">
        <v>61</v>
      </c>
      <c r="D189" s="402" t="s">
        <v>372</v>
      </c>
      <c r="E189" s="380" t="s">
        <v>62</v>
      </c>
      <c r="F189" s="380" t="s">
        <v>17</v>
      </c>
      <c r="G189" s="381" t="s">
        <v>1021</v>
      </c>
      <c r="H189" s="381" t="s">
        <v>1021</v>
      </c>
    </row>
    <row r="190" spans="1:8">
      <c r="A190" s="380" t="s">
        <v>152</v>
      </c>
      <c r="B190" s="380" t="s">
        <v>153</v>
      </c>
      <c r="C190" s="401" t="s">
        <v>22</v>
      </c>
      <c r="D190" s="402" t="s">
        <v>373</v>
      </c>
      <c r="E190" s="380" t="s">
        <v>23</v>
      </c>
      <c r="F190" s="380" t="s">
        <v>17</v>
      </c>
      <c r="G190" s="381" t="s">
        <v>1021</v>
      </c>
      <c r="H190" s="381" t="s">
        <v>1021</v>
      </c>
    </row>
    <row r="191" spans="1:8">
      <c r="A191" s="380" t="s">
        <v>152</v>
      </c>
      <c r="B191" s="380" t="s">
        <v>153</v>
      </c>
      <c r="C191" s="401" t="s">
        <v>65</v>
      </c>
      <c r="D191" s="402" t="s">
        <v>374</v>
      </c>
      <c r="E191" s="380" t="s">
        <v>66</v>
      </c>
      <c r="F191" s="380" t="s">
        <v>17</v>
      </c>
      <c r="G191" s="381" t="s">
        <v>18</v>
      </c>
      <c r="H191" s="381" t="s">
        <v>18</v>
      </c>
    </row>
    <row r="192" spans="1:8">
      <c r="A192" s="380" t="s">
        <v>152</v>
      </c>
      <c r="B192" s="380" t="s">
        <v>153</v>
      </c>
      <c r="C192" s="401" t="s">
        <v>67</v>
      </c>
      <c r="D192" s="402" t="s">
        <v>375</v>
      </c>
      <c r="E192" s="380" t="s">
        <v>68</v>
      </c>
      <c r="F192" s="380" t="s">
        <v>17</v>
      </c>
      <c r="G192" s="381" t="s">
        <v>995</v>
      </c>
      <c r="H192" s="381" t="s">
        <v>864</v>
      </c>
    </row>
    <row r="193" spans="1:8">
      <c r="A193" s="380" t="s">
        <v>152</v>
      </c>
      <c r="B193" s="380" t="s">
        <v>153</v>
      </c>
      <c r="C193" s="401" t="s">
        <v>69</v>
      </c>
      <c r="D193" s="402" t="s">
        <v>376</v>
      </c>
      <c r="E193" s="380" t="s">
        <v>70</v>
      </c>
      <c r="F193" s="380" t="s">
        <v>17</v>
      </c>
      <c r="G193" s="381" t="s">
        <v>18</v>
      </c>
      <c r="H193" s="381" t="s">
        <v>18</v>
      </c>
    </row>
    <row r="194" spans="1:8" customFormat="1" ht="15">
      <c r="A194" s="356" t="s">
        <v>152</v>
      </c>
      <c r="B194" s="356" t="s">
        <v>153</v>
      </c>
      <c r="C194" s="356" t="s">
        <v>71</v>
      </c>
      <c r="D194" s="357" t="s">
        <v>377</v>
      </c>
      <c r="E194" s="356" t="s">
        <v>72</v>
      </c>
      <c r="F194" s="356" t="s">
        <v>73</v>
      </c>
      <c r="G194" s="358" t="s">
        <v>997</v>
      </c>
      <c r="H194" s="358" t="s">
        <v>998</v>
      </c>
    </row>
    <row r="195" spans="1:8">
      <c r="A195" s="380" t="s">
        <v>152</v>
      </c>
      <c r="B195" s="380" t="s">
        <v>153</v>
      </c>
      <c r="C195" s="401" t="s">
        <v>74</v>
      </c>
      <c r="D195" s="402" t="s">
        <v>378</v>
      </c>
      <c r="E195" s="380" t="s">
        <v>75</v>
      </c>
      <c r="F195" s="380" t="s">
        <v>17</v>
      </c>
      <c r="G195" s="381" t="s">
        <v>18</v>
      </c>
      <c r="H195" s="381" t="s">
        <v>18</v>
      </c>
    </row>
    <row r="196" spans="1:8">
      <c r="A196" s="380" t="s">
        <v>152</v>
      </c>
      <c r="B196" s="380" t="s">
        <v>153</v>
      </c>
      <c r="C196" s="401" t="s">
        <v>24</v>
      </c>
      <c r="D196" s="402" t="s">
        <v>379</v>
      </c>
      <c r="E196" s="380" t="s">
        <v>25</v>
      </c>
      <c r="F196" s="380" t="s">
        <v>17</v>
      </c>
      <c r="G196" s="381" t="s">
        <v>995</v>
      </c>
      <c r="H196" s="381" t="s">
        <v>864</v>
      </c>
    </row>
    <row r="197" spans="1:8">
      <c r="A197" s="380" t="s">
        <v>152</v>
      </c>
      <c r="B197" s="380" t="s">
        <v>153</v>
      </c>
      <c r="C197" s="401" t="s">
        <v>78</v>
      </c>
      <c r="D197" s="402" t="s">
        <v>380</v>
      </c>
      <c r="E197" s="380" t="s">
        <v>79</v>
      </c>
      <c r="F197" s="380" t="s">
        <v>17</v>
      </c>
      <c r="G197" s="381" t="s">
        <v>18</v>
      </c>
      <c r="H197" s="381" t="s">
        <v>18</v>
      </c>
    </row>
    <row r="198" spans="1:8">
      <c r="A198" s="380" t="s">
        <v>152</v>
      </c>
      <c r="B198" s="380" t="s">
        <v>153</v>
      </c>
      <c r="C198" s="401" t="s">
        <v>80</v>
      </c>
      <c r="D198" s="402" t="s">
        <v>381</v>
      </c>
      <c r="E198" s="380" t="s">
        <v>81</v>
      </c>
      <c r="F198" s="380" t="s">
        <v>17</v>
      </c>
      <c r="G198" s="381" t="s">
        <v>999</v>
      </c>
      <c r="H198" s="381" t="s">
        <v>999</v>
      </c>
    </row>
    <row r="199" spans="1:8">
      <c r="A199" s="380" t="s">
        <v>152</v>
      </c>
      <c r="B199" s="380" t="s">
        <v>153</v>
      </c>
      <c r="C199" s="401" t="s">
        <v>84</v>
      </c>
      <c r="D199" s="402" t="s">
        <v>382</v>
      </c>
      <c r="E199" s="380" t="s">
        <v>85</v>
      </c>
      <c r="F199" s="380" t="s">
        <v>17</v>
      </c>
      <c r="G199" s="381" t="s">
        <v>18</v>
      </c>
      <c r="H199" s="381" t="s">
        <v>18</v>
      </c>
    </row>
    <row r="200" spans="1:8" customFormat="1" ht="15">
      <c r="A200" s="356" t="s">
        <v>152</v>
      </c>
      <c r="B200" s="356" t="s">
        <v>153</v>
      </c>
      <c r="C200" s="356" t="s">
        <v>114</v>
      </c>
      <c r="D200" s="357" t="s">
        <v>383</v>
      </c>
      <c r="E200" s="356" t="s">
        <v>115</v>
      </c>
      <c r="F200" s="356" t="s">
        <v>73</v>
      </c>
      <c r="G200" s="358" t="s">
        <v>997</v>
      </c>
      <c r="H200" s="358" t="s">
        <v>998</v>
      </c>
    </row>
    <row r="201" spans="1:8">
      <c r="A201" s="380" t="s">
        <v>152</v>
      </c>
      <c r="B201" s="380" t="s">
        <v>153</v>
      </c>
      <c r="C201" s="401" t="s">
        <v>92</v>
      </c>
      <c r="D201" s="402" t="s">
        <v>384</v>
      </c>
      <c r="E201" s="380" t="s">
        <v>93</v>
      </c>
      <c r="F201" s="380" t="s">
        <v>17</v>
      </c>
      <c r="G201" s="381" t="s">
        <v>999</v>
      </c>
      <c r="H201" s="381" t="s">
        <v>999</v>
      </c>
    </row>
    <row r="202" spans="1:8">
      <c r="A202" s="380" t="s">
        <v>152</v>
      </c>
      <c r="B202" s="380" t="s">
        <v>153</v>
      </c>
      <c r="C202" s="401" t="s">
        <v>32</v>
      </c>
      <c r="D202" s="402" t="s">
        <v>385</v>
      </c>
      <c r="E202" s="380" t="s">
        <v>33</v>
      </c>
      <c r="F202" s="380" t="s">
        <v>17</v>
      </c>
      <c r="G202" s="381" t="s">
        <v>999</v>
      </c>
      <c r="H202" s="381" t="s">
        <v>999</v>
      </c>
    </row>
    <row r="203" spans="1:8">
      <c r="A203" s="380" t="s">
        <v>152</v>
      </c>
      <c r="B203" s="380" t="s">
        <v>153</v>
      </c>
      <c r="C203" s="401" t="s">
        <v>63</v>
      </c>
      <c r="D203" s="402" t="s">
        <v>386</v>
      </c>
      <c r="E203" s="380" t="s">
        <v>140</v>
      </c>
      <c r="F203" s="380" t="s">
        <v>17</v>
      </c>
      <c r="G203" s="381" t="s">
        <v>999</v>
      </c>
      <c r="H203" s="381" t="s">
        <v>999</v>
      </c>
    </row>
    <row r="204" spans="1:8">
      <c r="A204" s="380" t="s">
        <v>152</v>
      </c>
      <c r="B204" s="380" t="s">
        <v>153</v>
      </c>
      <c r="C204" s="401" t="s">
        <v>146</v>
      </c>
      <c r="D204" s="402" t="s">
        <v>387</v>
      </c>
      <c r="E204" s="380" t="s">
        <v>147</v>
      </c>
      <c r="F204" s="380" t="s">
        <v>17</v>
      </c>
      <c r="G204" s="381" t="s">
        <v>1021</v>
      </c>
      <c r="H204" s="381" t="s">
        <v>1021</v>
      </c>
    </row>
    <row r="205" spans="1:8" customFormat="1" ht="15">
      <c r="A205" s="356" t="s">
        <v>152</v>
      </c>
      <c r="B205" s="356" t="s">
        <v>153</v>
      </c>
      <c r="C205" s="356" t="s">
        <v>149</v>
      </c>
      <c r="D205" s="357" t="s">
        <v>388</v>
      </c>
      <c r="E205" s="356" t="s">
        <v>150</v>
      </c>
      <c r="F205" s="356" t="s">
        <v>73</v>
      </c>
      <c r="G205" s="358" t="s">
        <v>997</v>
      </c>
      <c r="H205" s="358" t="s">
        <v>998</v>
      </c>
    </row>
    <row r="206" spans="1:8">
      <c r="A206" s="380" t="s">
        <v>152</v>
      </c>
      <c r="B206" s="380" t="s">
        <v>153</v>
      </c>
      <c r="C206" s="401" t="s">
        <v>180</v>
      </c>
      <c r="D206" s="402" t="s">
        <v>389</v>
      </c>
      <c r="E206" s="380" t="s">
        <v>181</v>
      </c>
      <c r="F206" s="380" t="s">
        <v>17</v>
      </c>
      <c r="G206" s="381" t="s">
        <v>1021</v>
      </c>
      <c r="H206" s="381" t="s">
        <v>1021</v>
      </c>
    </row>
    <row r="207" spans="1:8">
      <c r="A207" s="380" t="s">
        <v>152</v>
      </c>
      <c r="B207" s="380" t="s">
        <v>153</v>
      </c>
      <c r="C207" s="401" t="s">
        <v>183</v>
      </c>
      <c r="D207" s="402" t="s">
        <v>390</v>
      </c>
      <c r="E207" s="380" t="s">
        <v>184</v>
      </c>
      <c r="F207" s="380" t="s">
        <v>17</v>
      </c>
      <c r="G207" s="381" t="s">
        <v>18</v>
      </c>
      <c r="H207" s="381" t="s">
        <v>18</v>
      </c>
    </row>
    <row r="208" spans="1:8">
      <c r="A208" s="380" t="s">
        <v>152</v>
      </c>
      <c r="B208" s="380" t="s">
        <v>153</v>
      </c>
      <c r="C208" s="401" t="s">
        <v>191</v>
      </c>
      <c r="D208" s="402" t="s">
        <v>391</v>
      </c>
      <c r="E208" s="380" t="s">
        <v>192</v>
      </c>
      <c r="F208" s="380" t="s">
        <v>17</v>
      </c>
      <c r="G208" s="381" t="s">
        <v>18</v>
      </c>
      <c r="H208" s="381" t="s">
        <v>18</v>
      </c>
    </row>
    <row r="209" spans="1:8">
      <c r="A209" s="380" t="s">
        <v>152</v>
      </c>
      <c r="B209" s="380" t="s">
        <v>153</v>
      </c>
      <c r="C209" s="401" t="s">
        <v>189</v>
      </c>
      <c r="D209" s="402" t="s">
        <v>392</v>
      </c>
      <c r="E209" s="380" t="s">
        <v>190</v>
      </c>
      <c r="F209" s="380" t="s">
        <v>17</v>
      </c>
      <c r="G209" s="381" t="s">
        <v>18</v>
      </c>
      <c r="H209" s="381" t="s">
        <v>18</v>
      </c>
    </row>
    <row r="210" spans="1:8">
      <c r="A210" s="380" t="s">
        <v>152</v>
      </c>
      <c r="B210" s="380" t="s">
        <v>153</v>
      </c>
      <c r="C210" s="401" t="s">
        <v>194</v>
      </c>
      <c r="D210" s="402" t="s">
        <v>393</v>
      </c>
      <c r="E210" s="380" t="s">
        <v>195</v>
      </c>
      <c r="F210" s="380" t="s">
        <v>17</v>
      </c>
      <c r="G210" s="381" t="s">
        <v>999</v>
      </c>
      <c r="H210" s="381" t="s">
        <v>999</v>
      </c>
    </row>
    <row r="211" spans="1:8" customFormat="1" ht="15">
      <c r="A211" s="356" t="s">
        <v>98</v>
      </c>
      <c r="B211" s="356" t="s">
        <v>99</v>
      </c>
      <c r="C211" s="356" t="s">
        <v>28</v>
      </c>
      <c r="D211" s="357" t="s">
        <v>395</v>
      </c>
      <c r="E211" s="356" t="s">
        <v>29</v>
      </c>
      <c r="F211" s="356" t="s">
        <v>30</v>
      </c>
      <c r="G211" s="358" t="s">
        <v>172</v>
      </c>
      <c r="H211" s="358" t="s">
        <v>896</v>
      </c>
    </row>
    <row r="212" spans="1:8" customFormat="1" ht="15">
      <c r="A212" s="356" t="s">
        <v>98</v>
      </c>
      <c r="B212" s="356" t="s">
        <v>99</v>
      </c>
      <c r="C212" s="356" t="s">
        <v>88</v>
      </c>
      <c r="D212" s="357" t="s">
        <v>396</v>
      </c>
      <c r="E212" s="356" t="s">
        <v>89</v>
      </c>
      <c r="F212" s="356" t="s">
        <v>31</v>
      </c>
      <c r="G212" s="358" t="s">
        <v>172</v>
      </c>
      <c r="H212" s="358" t="s">
        <v>896</v>
      </c>
    </row>
    <row r="213" spans="1:8" customFormat="1" ht="15">
      <c r="A213" s="356" t="s">
        <v>98</v>
      </c>
      <c r="B213" s="356" t="s">
        <v>99</v>
      </c>
      <c r="C213" s="356" t="s">
        <v>144</v>
      </c>
      <c r="D213" s="357" t="s">
        <v>397</v>
      </c>
      <c r="E213" s="356" t="s">
        <v>145</v>
      </c>
      <c r="F213" s="356" t="s">
        <v>31</v>
      </c>
      <c r="G213" s="358" t="s">
        <v>172</v>
      </c>
      <c r="H213" s="358" t="s">
        <v>896</v>
      </c>
    </row>
    <row r="214" spans="1:8" customFormat="1" ht="15">
      <c r="A214" s="356" t="s">
        <v>98</v>
      </c>
      <c r="B214" s="356" t="s">
        <v>99</v>
      </c>
      <c r="C214" s="356" t="s">
        <v>167</v>
      </c>
      <c r="D214" s="357" t="s">
        <v>398</v>
      </c>
      <c r="E214" s="356" t="s">
        <v>168</v>
      </c>
      <c r="F214" s="356" t="s">
        <v>169</v>
      </c>
      <c r="G214" s="358" t="s">
        <v>173</v>
      </c>
      <c r="H214" s="358" t="s">
        <v>896</v>
      </c>
    </row>
    <row r="215" spans="1:8" customFormat="1" ht="15">
      <c r="A215" s="356" t="s">
        <v>98</v>
      </c>
      <c r="B215" s="356" t="s">
        <v>99</v>
      </c>
      <c r="C215" s="356" t="s">
        <v>34</v>
      </c>
      <c r="D215" s="357" t="s">
        <v>399</v>
      </c>
      <c r="E215" s="356" t="s">
        <v>35</v>
      </c>
      <c r="F215" s="356" t="s">
        <v>36</v>
      </c>
      <c r="G215" s="358" t="s">
        <v>996</v>
      </c>
      <c r="H215" s="358" t="s">
        <v>895</v>
      </c>
    </row>
    <row r="216" spans="1:8" customFormat="1" ht="15">
      <c r="A216" s="356" t="s">
        <v>98</v>
      </c>
      <c r="B216" s="356" t="s">
        <v>99</v>
      </c>
      <c r="C216" s="356" t="s">
        <v>37</v>
      </c>
      <c r="D216" s="357" t="s">
        <v>400</v>
      </c>
      <c r="E216" s="356" t="s">
        <v>38</v>
      </c>
      <c r="F216" s="356" t="s">
        <v>36</v>
      </c>
      <c r="G216" s="358" t="s">
        <v>996</v>
      </c>
      <c r="H216" s="358" t="s">
        <v>895</v>
      </c>
    </row>
    <row r="217" spans="1:8" customFormat="1" ht="15">
      <c r="A217" s="356" t="s">
        <v>98</v>
      </c>
      <c r="B217" s="356" t="s">
        <v>99</v>
      </c>
      <c r="C217" s="356" t="s">
        <v>41</v>
      </c>
      <c r="D217" s="357" t="s">
        <v>401</v>
      </c>
      <c r="E217" s="356" t="s">
        <v>42</v>
      </c>
      <c r="F217" s="356" t="s">
        <v>36</v>
      </c>
      <c r="G217" s="358" t="s">
        <v>996</v>
      </c>
      <c r="H217" s="358" t="s">
        <v>895</v>
      </c>
    </row>
    <row r="218" spans="1:8" customFormat="1" ht="15">
      <c r="A218" s="356" t="s">
        <v>98</v>
      </c>
      <c r="B218" s="356" t="s">
        <v>99</v>
      </c>
      <c r="C218" s="356" t="s">
        <v>43</v>
      </c>
      <c r="D218" s="357" t="s">
        <v>402</v>
      </c>
      <c r="E218" s="356" t="s">
        <v>44</v>
      </c>
      <c r="F218" s="356" t="s">
        <v>36</v>
      </c>
      <c r="G218" s="358" t="s">
        <v>996</v>
      </c>
      <c r="H218" s="358" t="s">
        <v>895</v>
      </c>
    </row>
    <row r="219" spans="1:8" customFormat="1" ht="15">
      <c r="A219" s="356" t="s">
        <v>98</v>
      </c>
      <c r="B219" s="356" t="s">
        <v>99</v>
      </c>
      <c r="C219" s="356" t="s">
        <v>45</v>
      </c>
      <c r="D219" s="357" t="s">
        <v>403</v>
      </c>
      <c r="E219" s="356" t="s">
        <v>46</v>
      </c>
      <c r="F219" s="356" t="s">
        <v>36</v>
      </c>
      <c r="G219" s="358" t="s">
        <v>996</v>
      </c>
      <c r="H219" s="358" t="s">
        <v>895</v>
      </c>
    </row>
    <row r="220" spans="1:8" customFormat="1" ht="15">
      <c r="A220" s="356" t="s">
        <v>98</v>
      </c>
      <c r="B220" s="356" t="s">
        <v>99</v>
      </c>
      <c r="C220" s="356" t="s">
        <v>47</v>
      </c>
      <c r="D220" s="357" t="s">
        <v>404</v>
      </c>
      <c r="E220" s="356" t="s">
        <v>48</v>
      </c>
      <c r="F220" s="356" t="s">
        <v>36</v>
      </c>
      <c r="G220" s="358" t="s">
        <v>996</v>
      </c>
      <c r="H220" s="358" t="s">
        <v>895</v>
      </c>
    </row>
    <row r="221" spans="1:8" customFormat="1" ht="15">
      <c r="A221" s="356" t="s">
        <v>98</v>
      </c>
      <c r="B221" s="356" t="s">
        <v>99</v>
      </c>
      <c r="C221" s="356" t="s">
        <v>49</v>
      </c>
      <c r="D221" s="357" t="s">
        <v>405</v>
      </c>
      <c r="E221" s="356" t="s">
        <v>50</v>
      </c>
      <c r="F221" s="356" t="s">
        <v>36</v>
      </c>
      <c r="G221" s="358" t="s">
        <v>996</v>
      </c>
      <c r="H221" s="358" t="s">
        <v>895</v>
      </c>
    </row>
    <row r="222" spans="1:8">
      <c r="A222" s="380" t="s">
        <v>98</v>
      </c>
      <c r="B222" s="380" t="s">
        <v>99</v>
      </c>
      <c r="C222" s="401" t="s">
        <v>51</v>
      </c>
      <c r="D222" s="402" t="s">
        <v>406</v>
      </c>
      <c r="E222" s="380" t="s">
        <v>52</v>
      </c>
      <c r="F222" s="380" t="s">
        <v>17</v>
      </c>
      <c r="G222" s="381" t="s">
        <v>21</v>
      </c>
      <c r="H222" s="381" t="s">
        <v>864</v>
      </c>
    </row>
    <row r="223" spans="1:8">
      <c r="A223" s="380" t="s">
        <v>98</v>
      </c>
      <c r="B223" s="380" t="s">
        <v>99</v>
      </c>
      <c r="C223" s="401" t="s">
        <v>53</v>
      </c>
      <c r="D223" s="402" t="s">
        <v>407</v>
      </c>
      <c r="E223" s="380" t="s">
        <v>54</v>
      </c>
      <c r="F223" s="380" t="s">
        <v>17</v>
      </c>
      <c r="G223" s="381" t="s">
        <v>999</v>
      </c>
      <c r="H223" s="381" t="s">
        <v>999</v>
      </c>
    </row>
    <row r="224" spans="1:8">
      <c r="A224" s="380" t="s">
        <v>98</v>
      </c>
      <c r="B224" s="380" t="s">
        <v>99</v>
      </c>
      <c r="C224" s="401" t="s">
        <v>15</v>
      </c>
      <c r="D224" s="402" t="s">
        <v>408</v>
      </c>
      <c r="E224" s="380" t="s">
        <v>16</v>
      </c>
      <c r="F224" s="380" t="s">
        <v>17</v>
      </c>
      <c r="G224" s="381" t="s">
        <v>1021</v>
      </c>
      <c r="H224" s="381" t="s">
        <v>1021</v>
      </c>
    </row>
    <row r="225" spans="1:8">
      <c r="A225" s="380" t="s">
        <v>98</v>
      </c>
      <c r="B225" s="380" t="s">
        <v>99</v>
      </c>
      <c r="C225" s="401" t="s">
        <v>55</v>
      </c>
      <c r="D225" s="402" t="s">
        <v>409</v>
      </c>
      <c r="E225" s="380" t="s">
        <v>56</v>
      </c>
      <c r="F225" s="380" t="s">
        <v>17</v>
      </c>
      <c r="G225" s="381" t="s">
        <v>1021</v>
      </c>
      <c r="H225" s="381" t="s">
        <v>1021</v>
      </c>
    </row>
    <row r="226" spans="1:8">
      <c r="A226" s="380" t="s">
        <v>98</v>
      </c>
      <c r="B226" s="380" t="s">
        <v>99</v>
      </c>
      <c r="C226" s="401" t="s">
        <v>59</v>
      </c>
      <c r="D226" s="402" t="s">
        <v>410</v>
      </c>
      <c r="E226" s="380" t="s">
        <v>60</v>
      </c>
      <c r="F226" s="380" t="s">
        <v>17</v>
      </c>
      <c r="G226" s="381" t="s">
        <v>995</v>
      </c>
      <c r="H226" s="381" t="s">
        <v>864</v>
      </c>
    </row>
    <row r="227" spans="1:8">
      <c r="A227" s="380" t="s">
        <v>98</v>
      </c>
      <c r="B227" s="380" t="s">
        <v>99</v>
      </c>
      <c r="C227" s="401" t="s">
        <v>19</v>
      </c>
      <c r="D227" s="402" t="s">
        <v>411</v>
      </c>
      <c r="E227" s="380" t="s">
        <v>20</v>
      </c>
      <c r="F227" s="380" t="s">
        <v>17</v>
      </c>
      <c r="G227" s="381" t="s">
        <v>21</v>
      </c>
      <c r="H227" s="381" t="s">
        <v>864</v>
      </c>
    </row>
    <row r="228" spans="1:8">
      <c r="A228" s="380" t="s">
        <v>98</v>
      </c>
      <c r="B228" s="380" t="s">
        <v>99</v>
      </c>
      <c r="C228" s="401" t="s">
        <v>61</v>
      </c>
      <c r="D228" s="402" t="s">
        <v>412</v>
      </c>
      <c r="E228" s="380" t="s">
        <v>62</v>
      </c>
      <c r="F228" s="380" t="s">
        <v>17</v>
      </c>
      <c r="G228" s="381" t="s">
        <v>1021</v>
      </c>
      <c r="H228" s="381" t="s">
        <v>1021</v>
      </c>
    </row>
    <row r="229" spans="1:8">
      <c r="A229" s="380" t="s">
        <v>98</v>
      </c>
      <c r="B229" s="380" t="s">
        <v>99</v>
      </c>
      <c r="C229" s="401" t="s">
        <v>65</v>
      </c>
      <c r="D229" s="402" t="s">
        <v>413</v>
      </c>
      <c r="E229" s="380" t="s">
        <v>66</v>
      </c>
      <c r="F229" s="380" t="s">
        <v>17</v>
      </c>
      <c r="G229" s="381" t="s">
        <v>18</v>
      </c>
      <c r="H229" s="381" t="s">
        <v>18</v>
      </c>
    </row>
    <row r="230" spans="1:8">
      <c r="A230" s="380" t="s">
        <v>98</v>
      </c>
      <c r="B230" s="380" t="s">
        <v>99</v>
      </c>
      <c r="C230" s="401" t="s">
        <v>67</v>
      </c>
      <c r="D230" s="402" t="s">
        <v>414</v>
      </c>
      <c r="E230" s="380" t="s">
        <v>68</v>
      </c>
      <c r="F230" s="380" t="s">
        <v>17</v>
      </c>
      <c r="G230" s="381" t="s">
        <v>21</v>
      </c>
      <c r="H230" s="381" t="s">
        <v>864</v>
      </c>
    </row>
    <row r="231" spans="1:8">
      <c r="A231" s="380" t="s">
        <v>98</v>
      </c>
      <c r="B231" s="380" t="s">
        <v>99</v>
      </c>
      <c r="C231" s="401" t="s">
        <v>69</v>
      </c>
      <c r="D231" s="402" t="s">
        <v>415</v>
      </c>
      <c r="E231" s="380" t="s">
        <v>70</v>
      </c>
      <c r="F231" s="380" t="s">
        <v>17</v>
      </c>
      <c r="G231" s="381" t="s">
        <v>18</v>
      </c>
      <c r="H231" s="381" t="s">
        <v>18</v>
      </c>
    </row>
    <row r="232" spans="1:8" customFormat="1" ht="15">
      <c r="A232" s="356" t="s">
        <v>98</v>
      </c>
      <c r="B232" s="356" t="s">
        <v>99</v>
      </c>
      <c r="C232" s="356" t="s">
        <v>71</v>
      </c>
      <c r="D232" s="357" t="s">
        <v>416</v>
      </c>
      <c r="E232" s="356" t="s">
        <v>72</v>
      </c>
      <c r="F232" s="356" t="s">
        <v>73</v>
      </c>
      <c r="G232" s="358" t="s">
        <v>997</v>
      </c>
      <c r="H232" s="358" t="s">
        <v>998</v>
      </c>
    </row>
    <row r="233" spans="1:8">
      <c r="A233" s="380" t="s">
        <v>98</v>
      </c>
      <c r="B233" s="380" t="s">
        <v>99</v>
      </c>
      <c r="C233" s="401" t="s">
        <v>74</v>
      </c>
      <c r="D233" s="402" t="s">
        <v>417</v>
      </c>
      <c r="E233" s="380" t="s">
        <v>75</v>
      </c>
      <c r="F233" s="380" t="s">
        <v>17</v>
      </c>
      <c r="G233" s="381" t="s">
        <v>18</v>
      </c>
      <c r="H233" s="381" t="s">
        <v>18</v>
      </c>
    </row>
    <row r="234" spans="1:8">
      <c r="A234" s="380" t="s">
        <v>98</v>
      </c>
      <c r="B234" s="380" t="s">
        <v>99</v>
      </c>
      <c r="C234" s="401" t="s">
        <v>24</v>
      </c>
      <c r="D234" s="402" t="s">
        <v>418</v>
      </c>
      <c r="E234" s="380" t="s">
        <v>25</v>
      </c>
      <c r="F234" s="380" t="s">
        <v>17</v>
      </c>
      <c r="G234" s="381" t="s">
        <v>21</v>
      </c>
      <c r="H234" s="381" t="s">
        <v>864</v>
      </c>
    </row>
    <row r="235" spans="1:8">
      <c r="A235" s="380" t="s">
        <v>98</v>
      </c>
      <c r="B235" s="380" t="s">
        <v>99</v>
      </c>
      <c r="C235" s="401" t="s">
        <v>78</v>
      </c>
      <c r="D235" s="402" t="s">
        <v>419</v>
      </c>
      <c r="E235" s="380" t="s">
        <v>79</v>
      </c>
      <c r="F235" s="380" t="s">
        <v>17</v>
      </c>
      <c r="G235" s="381" t="s">
        <v>18</v>
      </c>
      <c r="H235" s="381" t="s">
        <v>18</v>
      </c>
    </row>
    <row r="236" spans="1:8">
      <c r="A236" s="380" t="s">
        <v>98</v>
      </c>
      <c r="B236" s="380" t="s">
        <v>99</v>
      </c>
      <c r="C236" s="401" t="s">
        <v>80</v>
      </c>
      <c r="D236" s="402" t="s">
        <v>420</v>
      </c>
      <c r="E236" s="380" t="s">
        <v>81</v>
      </c>
      <c r="F236" s="380" t="s">
        <v>17</v>
      </c>
      <c r="G236" s="381" t="s">
        <v>999</v>
      </c>
      <c r="H236" s="381" t="s">
        <v>999</v>
      </c>
    </row>
    <row r="237" spans="1:8">
      <c r="A237" s="380" t="s">
        <v>98</v>
      </c>
      <c r="B237" s="380" t="s">
        <v>99</v>
      </c>
      <c r="C237" s="401" t="s">
        <v>84</v>
      </c>
      <c r="D237" s="402" t="s">
        <v>421</v>
      </c>
      <c r="E237" s="380" t="s">
        <v>85</v>
      </c>
      <c r="F237" s="380" t="s">
        <v>17</v>
      </c>
      <c r="G237" s="381" t="s">
        <v>18</v>
      </c>
      <c r="H237" s="381" t="s">
        <v>18</v>
      </c>
    </row>
    <row r="238" spans="1:8">
      <c r="A238" s="380" t="s">
        <v>98</v>
      </c>
      <c r="B238" s="380" t="s">
        <v>99</v>
      </c>
      <c r="C238" s="401" t="s">
        <v>92</v>
      </c>
      <c r="D238" s="402" t="s">
        <v>422</v>
      </c>
      <c r="E238" s="380" t="s">
        <v>93</v>
      </c>
      <c r="F238" s="380" t="s">
        <v>17</v>
      </c>
      <c r="G238" s="381" t="s">
        <v>999</v>
      </c>
      <c r="H238" s="381" t="s">
        <v>999</v>
      </c>
    </row>
    <row r="239" spans="1:8">
      <c r="A239" s="380" t="s">
        <v>98</v>
      </c>
      <c r="B239" s="380" t="s">
        <v>99</v>
      </c>
      <c r="C239" s="401" t="s">
        <v>32</v>
      </c>
      <c r="D239" s="402" t="s">
        <v>423</v>
      </c>
      <c r="E239" s="380" t="s">
        <v>33</v>
      </c>
      <c r="F239" s="380" t="s">
        <v>17</v>
      </c>
      <c r="G239" s="381" t="s">
        <v>999</v>
      </c>
      <c r="H239" s="381" t="s">
        <v>999</v>
      </c>
    </row>
    <row r="240" spans="1:8">
      <c r="A240" s="380" t="s">
        <v>98</v>
      </c>
      <c r="B240" s="380" t="s">
        <v>99</v>
      </c>
      <c r="C240" s="401" t="s">
        <v>63</v>
      </c>
      <c r="D240" s="402" t="s">
        <v>424</v>
      </c>
      <c r="E240" s="380" t="s">
        <v>140</v>
      </c>
      <c r="F240" s="380" t="s">
        <v>17</v>
      </c>
      <c r="G240" s="381" t="s">
        <v>999</v>
      </c>
      <c r="H240" s="381" t="s">
        <v>999</v>
      </c>
    </row>
    <row r="241" spans="1:8">
      <c r="A241" s="380" t="s">
        <v>98</v>
      </c>
      <c r="B241" s="380" t="s">
        <v>99</v>
      </c>
      <c r="C241" s="401" t="s">
        <v>146</v>
      </c>
      <c r="D241" s="402" t="s">
        <v>425</v>
      </c>
      <c r="E241" s="380" t="s">
        <v>147</v>
      </c>
      <c r="F241" s="380" t="s">
        <v>17</v>
      </c>
      <c r="G241" s="381" t="s">
        <v>1021</v>
      </c>
      <c r="H241" s="381" t="s">
        <v>1021</v>
      </c>
    </row>
    <row r="242" spans="1:8" customFormat="1" ht="15">
      <c r="A242" s="356" t="s">
        <v>98</v>
      </c>
      <c r="B242" s="356" t="s">
        <v>99</v>
      </c>
      <c r="C242" s="356" t="s">
        <v>149</v>
      </c>
      <c r="D242" s="357" t="s">
        <v>426</v>
      </c>
      <c r="E242" s="356" t="s">
        <v>150</v>
      </c>
      <c r="F242" s="356" t="s">
        <v>73</v>
      </c>
      <c r="G242" s="358" t="s">
        <v>997</v>
      </c>
      <c r="H242" s="358" t="s">
        <v>998</v>
      </c>
    </row>
    <row r="243" spans="1:8">
      <c r="A243" s="380" t="s">
        <v>98</v>
      </c>
      <c r="B243" s="380" t="s">
        <v>99</v>
      </c>
      <c r="C243" s="401" t="s">
        <v>180</v>
      </c>
      <c r="D243" s="402" t="s">
        <v>427</v>
      </c>
      <c r="E243" s="380" t="s">
        <v>181</v>
      </c>
      <c r="F243" s="380" t="s">
        <v>17</v>
      </c>
      <c r="G243" s="381" t="s">
        <v>1021</v>
      </c>
      <c r="H243" s="381" t="s">
        <v>1021</v>
      </c>
    </row>
    <row r="244" spans="1:8">
      <c r="A244" s="380" t="s">
        <v>98</v>
      </c>
      <c r="B244" s="380" t="s">
        <v>99</v>
      </c>
      <c r="C244" s="401" t="s">
        <v>183</v>
      </c>
      <c r="D244" s="402" t="s">
        <v>428</v>
      </c>
      <c r="E244" s="380" t="s">
        <v>184</v>
      </c>
      <c r="F244" s="380" t="s">
        <v>17</v>
      </c>
      <c r="G244" s="381" t="s">
        <v>18</v>
      </c>
      <c r="H244" s="381" t="s">
        <v>18</v>
      </c>
    </row>
    <row r="245" spans="1:8">
      <c r="A245" s="380" t="s">
        <v>98</v>
      </c>
      <c r="B245" s="380" t="s">
        <v>99</v>
      </c>
      <c r="C245" s="401" t="s">
        <v>191</v>
      </c>
      <c r="D245" s="402" t="s">
        <v>429</v>
      </c>
      <c r="E245" s="380" t="s">
        <v>192</v>
      </c>
      <c r="F245" s="380" t="s">
        <v>17</v>
      </c>
      <c r="G245" s="381" t="s">
        <v>18</v>
      </c>
      <c r="H245" s="381" t="s">
        <v>18</v>
      </c>
    </row>
    <row r="246" spans="1:8">
      <c r="A246" s="380" t="s">
        <v>98</v>
      </c>
      <c r="B246" s="380" t="s">
        <v>99</v>
      </c>
      <c r="C246" s="401" t="s">
        <v>189</v>
      </c>
      <c r="D246" s="402" t="s">
        <v>430</v>
      </c>
      <c r="E246" s="380" t="s">
        <v>190</v>
      </c>
      <c r="F246" s="380" t="s">
        <v>17</v>
      </c>
      <c r="G246" s="381" t="s">
        <v>18</v>
      </c>
      <c r="H246" s="381" t="s">
        <v>18</v>
      </c>
    </row>
    <row r="247" spans="1:8" customFormat="1" ht="15">
      <c r="A247" s="356" t="s">
        <v>100</v>
      </c>
      <c r="B247" s="356" t="s">
        <v>101</v>
      </c>
      <c r="C247" s="356" t="s">
        <v>28</v>
      </c>
      <c r="D247" s="357" t="s">
        <v>431</v>
      </c>
      <c r="E247" s="356" t="s">
        <v>29</v>
      </c>
      <c r="F247" s="356" t="s">
        <v>30</v>
      </c>
      <c r="G247" s="358" t="s">
        <v>172</v>
      </c>
      <c r="H247" s="358" t="s">
        <v>896</v>
      </c>
    </row>
    <row r="248" spans="1:8" customFormat="1" ht="15">
      <c r="A248" s="356" t="s">
        <v>100</v>
      </c>
      <c r="B248" s="356" t="s">
        <v>101</v>
      </c>
      <c r="C248" s="356" t="s">
        <v>88</v>
      </c>
      <c r="D248" s="357" t="s">
        <v>768</v>
      </c>
      <c r="E248" s="356" t="s">
        <v>89</v>
      </c>
      <c r="F248" s="356" t="s">
        <v>31</v>
      </c>
      <c r="G248" s="358" t="s">
        <v>172</v>
      </c>
      <c r="H248" s="358" t="s">
        <v>896</v>
      </c>
    </row>
    <row r="249" spans="1:8" customFormat="1" ht="15">
      <c r="A249" s="356" t="s">
        <v>100</v>
      </c>
      <c r="B249" s="356" t="s">
        <v>101</v>
      </c>
      <c r="C249" s="356" t="s">
        <v>167</v>
      </c>
      <c r="D249" s="357" t="s">
        <v>432</v>
      </c>
      <c r="E249" s="356" t="s">
        <v>168</v>
      </c>
      <c r="F249" s="356" t="s">
        <v>169</v>
      </c>
      <c r="G249" s="358" t="s">
        <v>173</v>
      </c>
      <c r="H249" s="358" t="s">
        <v>896</v>
      </c>
    </row>
    <row r="250" spans="1:8" customFormat="1" ht="15">
      <c r="A250" s="356" t="s">
        <v>100</v>
      </c>
      <c r="B250" s="356" t="s">
        <v>101</v>
      </c>
      <c r="C250" s="356" t="s">
        <v>34</v>
      </c>
      <c r="D250" s="357" t="s">
        <v>433</v>
      </c>
      <c r="E250" s="356" t="s">
        <v>35</v>
      </c>
      <c r="F250" s="356" t="s">
        <v>36</v>
      </c>
      <c r="G250" s="358" t="s">
        <v>996</v>
      </c>
      <c r="H250" s="358" t="s">
        <v>895</v>
      </c>
    </row>
    <row r="251" spans="1:8" customFormat="1" ht="15">
      <c r="A251" s="356" t="s">
        <v>100</v>
      </c>
      <c r="B251" s="356" t="s">
        <v>101</v>
      </c>
      <c r="C251" s="356" t="s">
        <v>37</v>
      </c>
      <c r="D251" s="357" t="s">
        <v>434</v>
      </c>
      <c r="E251" s="356" t="s">
        <v>38</v>
      </c>
      <c r="F251" s="356" t="s">
        <v>36</v>
      </c>
      <c r="G251" s="358" t="s">
        <v>996</v>
      </c>
      <c r="H251" s="358" t="s">
        <v>895</v>
      </c>
    </row>
    <row r="252" spans="1:8" customFormat="1" ht="15">
      <c r="A252" s="356" t="s">
        <v>100</v>
      </c>
      <c r="B252" s="356" t="s">
        <v>101</v>
      </c>
      <c r="C252" s="356" t="s">
        <v>41</v>
      </c>
      <c r="D252" s="357" t="s">
        <v>435</v>
      </c>
      <c r="E252" s="356" t="s">
        <v>42</v>
      </c>
      <c r="F252" s="356" t="s">
        <v>36</v>
      </c>
      <c r="G252" s="358" t="s">
        <v>996</v>
      </c>
      <c r="H252" s="358" t="s">
        <v>895</v>
      </c>
    </row>
    <row r="253" spans="1:8" customFormat="1" ht="15">
      <c r="A253" s="356" t="s">
        <v>100</v>
      </c>
      <c r="B253" s="356" t="s">
        <v>101</v>
      </c>
      <c r="C253" s="356" t="s">
        <v>43</v>
      </c>
      <c r="D253" s="357" t="s">
        <v>436</v>
      </c>
      <c r="E253" s="356" t="s">
        <v>44</v>
      </c>
      <c r="F253" s="356" t="s">
        <v>36</v>
      </c>
      <c r="G253" s="358" t="s">
        <v>996</v>
      </c>
      <c r="H253" s="358" t="s">
        <v>895</v>
      </c>
    </row>
    <row r="254" spans="1:8" customFormat="1" ht="15">
      <c r="A254" s="356" t="s">
        <v>100</v>
      </c>
      <c r="B254" s="356" t="s">
        <v>101</v>
      </c>
      <c r="C254" s="356" t="s">
        <v>45</v>
      </c>
      <c r="D254" s="357" t="s">
        <v>437</v>
      </c>
      <c r="E254" s="356" t="s">
        <v>46</v>
      </c>
      <c r="F254" s="356" t="s">
        <v>36</v>
      </c>
      <c r="G254" s="358" t="s">
        <v>996</v>
      </c>
      <c r="H254" s="358" t="s">
        <v>895</v>
      </c>
    </row>
    <row r="255" spans="1:8" customFormat="1" ht="15">
      <c r="A255" s="356" t="s">
        <v>100</v>
      </c>
      <c r="B255" s="356" t="s">
        <v>101</v>
      </c>
      <c r="C255" s="356" t="s">
        <v>47</v>
      </c>
      <c r="D255" s="357" t="s">
        <v>438</v>
      </c>
      <c r="E255" s="356" t="s">
        <v>48</v>
      </c>
      <c r="F255" s="356" t="s">
        <v>36</v>
      </c>
      <c r="G255" s="358" t="s">
        <v>996</v>
      </c>
      <c r="H255" s="358" t="s">
        <v>895</v>
      </c>
    </row>
    <row r="256" spans="1:8" customFormat="1" ht="15">
      <c r="A256" s="356" t="s">
        <v>100</v>
      </c>
      <c r="B256" s="356" t="s">
        <v>101</v>
      </c>
      <c r="C256" s="356" t="s">
        <v>49</v>
      </c>
      <c r="D256" s="357" t="s">
        <v>439</v>
      </c>
      <c r="E256" s="356" t="s">
        <v>50</v>
      </c>
      <c r="F256" s="356" t="s">
        <v>36</v>
      </c>
      <c r="G256" s="358" t="s">
        <v>996</v>
      </c>
      <c r="H256" s="358" t="s">
        <v>895</v>
      </c>
    </row>
    <row r="257" spans="1:8">
      <c r="A257" s="380" t="s">
        <v>100</v>
      </c>
      <c r="B257" s="380" t="s">
        <v>101</v>
      </c>
      <c r="C257" s="401" t="s">
        <v>51</v>
      </c>
      <c r="D257" s="402" t="s">
        <v>440</v>
      </c>
      <c r="E257" s="380" t="s">
        <v>52</v>
      </c>
      <c r="F257" s="380" t="s">
        <v>17</v>
      </c>
      <c r="G257" s="381" t="s">
        <v>21</v>
      </c>
      <c r="H257" s="381" t="s">
        <v>864</v>
      </c>
    </row>
    <row r="258" spans="1:8">
      <c r="A258" s="380" t="s">
        <v>100</v>
      </c>
      <c r="B258" s="380" t="s">
        <v>101</v>
      </c>
      <c r="C258" s="401" t="s">
        <v>53</v>
      </c>
      <c r="D258" s="402" t="s">
        <v>441</v>
      </c>
      <c r="E258" s="380" t="s">
        <v>54</v>
      </c>
      <c r="F258" s="380" t="s">
        <v>17</v>
      </c>
      <c r="G258" s="381" t="s">
        <v>999</v>
      </c>
      <c r="H258" s="381" t="s">
        <v>999</v>
      </c>
    </row>
    <row r="259" spans="1:8">
      <c r="A259" s="380" t="s">
        <v>100</v>
      </c>
      <c r="B259" s="380" t="s">
        <v>101</v>
      </c>
      <c r="C259" s="401" t="s">
        <v>15</v>
      </c>
      <c r="D259" s="402" t="s">
        <v>442</v>
      </c>
      <c r="E259" s="380" t="s">
        <v>16</v>
      </c>
      <c r="F259" s="380" t="s">
        <v>17</v>
      </c>
      <c r="G259" s="381" t="s">
        <v>1021</v>
      </c>
      <c r="H259" s="381" t="s">
        <v>1021</v>
      </c>
    </row>
    <row r="260" spans="1:8">
      <c r="A260" s="380" t="s">
        <v>100</v>
      </c>
      <c r="B260" s="380" t="s">
        <v>101</v>
      </c>
      <c r="C260" s="401" t="s">
        <v>55</v>
      </c>
      <c r="D260" s="402" t="s">
        <v>443</v>
      </c>
      <c r="E260" s="380" t="s">
        <v>56</v>
      </c>
      <c r="F260" s="380" t="s">
        <v>17</v>
      </c>
      <c r="G260" s="381" t="s">
        <v>1021</v>
      </c>
      <c r="H260" s="381" t="s">
        <v>1021</v>
      </c>
    </row>
    <row r="261" spans="1:8">
      <c r="A261" s="380" t="s">
        <v>100</v>
      </c>
      <c r="B261" s="380" t="s">
        <v>101</v>
      </c>
      <c r="C261" s="401" t="s">
        <v>57</v>
      </c>
      <c r="D261" s="402" t="s">
        <v>444</v>
      </c>
      <c r="E261" s="380" t="s">
        <v>58</v>
      </c>
      <c r="F261" s="380" t="s">
        <v>17</v>
      </c>
      <c r="G261" s="381" t="s">
        <v>18</v>
      </c>
      <c r="H261" s="381" t="s">
        <v>18</v>
      </c>
    </row>
    <row r="262" spans="1:8">
      <c r="A262" s="380" t="s">
        <v>100</v>
      </c>
      <c r="B262" s="380" t="s">
        <v>101</v>
      </c>
      <c r="C262" s="401" t="s">
        <v>59</v>
      </c>
      <c r="D262" s="402" t="s">
        <v>445</v>
      </c>
      <c r="E262" s="380" t="s">
        <v>60</v>
      </c>
      <c r="F262" s="380" t="s">
        <v>17</v>
      </c>
      <c r="G262" s="381" t="s">
        <v>995</v>
      </c>
      <c r="H262" s="381" t="s">
        <v>864</v>
      </c>
    </row>
    <row r="263" spans="1:8">
      <c r="A263" s="380" t="s">
        <v>100</v>
      </c>
      <c r="B263" s="380" t="s">
        <v>101</v>
      </c>
      <c r="C263" s="401" t="s">
        <v>19</v>
      </c>
      <c r="D263" s="402" t="s">
        <v>446</v>
      </c>
      <c r="E263" s="380" t="s">
        <v>20</v>
      </c>
      <c r="F263" s="380" t="s">
        <v>17</v>
      </c>
      <c r="G263" s="381" t="s">
        <v>21</v>
      </c>
      <c r="H263" s="381" t="s">
        <v>864</v>
      </c>
    </row>
    <row r="264" spans="1:8">
      <c r="A264" s="380" t="s">
        <v>100</v>
      </c>
      <c r="B264" s="380" t="s">
        <v>101</v>
      </c>
      <c r="C264" s="401" t="s">
        <v>61</v>
      </c>
      <c r="D264" s="402" t="s">
        <v>447</v>
      </c>
      <c r="E264" s="380" t="s">
        <v>62</v>
      </c>
      <c r="F264" s="380" t="s">
        <v>17</v>
      </c>
      <c r="G264" s="381" t="s">
        <v>1021</v>
      </c>
      <c r="H264" s="381" t="s">
        <v>1021</v>
      </c>
    </row>
    <row r="265" spans="1:8">
      <c r="A265" s="380" t="s">
        <v>100</v>
      </c>
      <c r="B265" s="380" t="s">
        <v>101</v>
      </c>
      <c r="C265" s="401" t="s">
        <v>65</v>
      </c>
      <c r="D265" s="402" t="s">
        <v>789</v>
      </c>
      <c r="E265" s="380" t="s">
        <v>66</v>
      </c>
      <c r="F265" s="380" t="s">
        <v>17</v>
      </c>
      <c r="G265" s="381" t="s">
        <v>18</v>
      </c>
      <c r="H265" s="381" t="s">
        <v>18</v>
      </c>
    </row>
    <row r="266" spans="1:8">
      <c r="A266" s="380" t="s">
        <v>100</v>
      </c>
      <c r="B266" s="380" t="s">
        <v>101</v>
      </c>
      <c r="C266" s="401" t="s">
        <v>67</v>
      </c>
      <c r="D266" s="402" t="s">
        <v>448</v>
      </c>
      <c r="E266" s="380" t="s">
        <v>68</v>
      </c>
      <c r="F266" s="380" t="s">
        <v>17</v>
      </c>
      <c r="G266" s="381" t="s">
        <v>21</v>
      </c>
      <c r="H266" s="381" t="s">
        <v>864</v>
      </c>
    </row>
    <row r="267" spans="1:8">
      <c r="A267" s="380" t="s">
        <v>100</v>
      </c>
      <c r="B267" s="380" t="s">
        <v>101</v>
      </c>
      <c r="C267" s="401" t="s">
        <v>69</v>
      </c>
      <c r="D267" s="402" t="s">
        <v>449</v>
      </c>
      <c r="E267" s="380" t="s">
        <v>70</v>
      </c>
      <c r="F267" s="380" t="s">
        <v>17</v>
      </c>
      <c r="G267" s="381" t="s">
        <v>18</v>
      </c>
      <c r="H267" s="381" t="s">
        <v>18</v>
      </c>
    </row>
    <row r="268" spans="1:8" customFormat="1" ht="15">
      <c r="A268" s="356" t="s">
        <v>100</v>
      </c>
      <c r="B268" s="356" t="s">
        <v>101</v>
      </c>
      <c r="C268" s="356" t="s">
        <v>71</v>
      </c>
      <c r="D268" s="357" t="s">
        <v>450</v>
      </c>
      <c r="E268" s="356" t="s">
        <v>72</v>
      </c>
      <c r="F268" s="356" t="s">
        <v>73</v>
      </c>
      <c r="G268" s="358" t="s">
        <v>997</v>
      </c>
      <c r="H268" s="358" t="s">
        <v>998</v>
      </c>
    </row>
    <row r="269" spans="1:8">
      <c r="A269" s="380" t="s">
        <v>100</v>
      </c>
      <c r="B269" s="380" t="s">
        <v>101</v>
      </c>
      <c r="C269" s="401" t="s">
        <v>24</v>
      </c>
      <c r="D269" s="402" t="s">
        <v>451</v>
      </c>
      <c r="E269" s="380" t="s">
        <v>25</v>
      </c>
      <c r="F269" s="380" t="s">
        <v>17</v>
      </c>
      <c r="G269" s="381" t="s">
        <v>21</v>
      </c>
      <c r="H269" s="381" t="s">
        <v>864</v>
      </c>
    </row>
    <row r="270" spans="1:8">
      <c r="A270" s="380" t="s">
        <v>100</v>
      </c>
      <c r="B270" s="380" t="s">
        <v>101</v>
      </c>
      <c r="C270" s="401" t="s">
        <v>78</v>
      </c>
      <c r="D270" s="402" t="s">
        <v>452</v>
      </c>
      <c r="E270" s="380" t="s">
        <v>79</v>
      </c>
      <c r="F270" s="380" t="s">
        <v>17</v>
      </c>
      <c r="G270" s="381" t="s">
        <v>18</v>
      </c>
      <c r="H270" s="381" t="s">
        <v>18</v>
      </c>
    </row>
    <row r="271" spans="1:8">
      <c r="A271" s="380" t="s">
        <v>100</v>
      </c>
      <c r="B271" s="380" t="s">
        <v>101</v>
      </c>
      <c r="C271" s="401" t="s">
        <v>80</v>
      </c>
      <c r="D271" s="402" t="s">
        <v>453</v>
      </c>
      <c r="E271" s="380" t="s">
        <v>81</v>
      </c>
      <c r="F271" s="380" t="s">
        <v>17</v>
      </c>
      <c r="G271" s="381" t="s">
        <v>999</v>
      </c>
      <c r="H271" s="381" t="s">
        <v>999</v>
      </c>
    </row>
    <row r="272" spans="1:8">
      <c r="A272" s="380" t="s">
        <v>100</v>
      </c>
      <c r="B272" s="380" t="s">
        <v>101</v>
      </c>
      <c r="C272" s="401" t="s">
        <v>84</v>
      </c>
      <c r="D272" s="402" t="s">
        <v>454</v>
      </c>
      <c r="E272" s="380" t="s">
        <v>85</v>
      </c>
      <c r="F272" s="380" t="s">
        <v>17</v>
      </c>
      <c r="G272" s="381" t="s">
        <v>18</v>
      </c>
      <c r="H272" s="381" t="s">
        <v>18</v>
      </c>
    </row>
    <row r="273" spans="1:8" customFormat="1" ht="15">
      <c r="A273" s="356" t="s">
        <v>100</v>
      </c>
      <c r="B273" s="356" t="s">
        <v>101</v>
      </c>
      <c r="C273" s="356" t="s">
        <v>114</v>
      </c>
      <c r="D273" s="357" t="s">
        <v>784</v>
      </c>
      <c r="E273" s="356" t="s">
        <v>115</v>
      </c>
      <c r="F273" s="356" t="s">
        <v>73</v>
      </c>
      <c r="G273" s="358" t="s">
        <v>997</v>
      </c>
      <c r="H273" s="358" t="s">
        <v>998</v>
      </c>
    </row>
    <row r="274" spans="1:8">
      <c r="A274" s="380" t="s">
        <v>100</v>
      </c>
      <c r="B274" s="380" t="s">
        <v>101</v>
      </c>
      <c r="C274" s="401" t="s">
        <v>92</v>
      </c>
      <c r="D274" s="402" t="s">
        <v>455</v>
      </c>
      <c r="E274" s="380" t="s">
        <v>93</v>
      </c>
      <c r="F274" s="380" t="s">
        <v>17</v>
      </c>
      <c r="G274" s="381" t="s">
        <v>999</v>
      </c>
      <c r="H274" s="381" t="s">
        <v>999</v>
      </c>
    </row>
    <row r="275" spans="1:8">
      <c r="A275" s="380" t="s">
        <v>100</v>
      </c>
      <c r="B275" s="380" t="s">
        <v>101</v>
      </c>
      <c r="C275" s="401" t="s">
        <v>32</v>
      </c>
      <c r="D275" s="402" t="s">
        <v>714</v>
      </c>
      <c r="E275" s="380" t="s">
        <v>33</v>
      </c>
      <c r="F275" s="380" t="s">
        <v>17</v>
      </c>
      <c r="G275" s="381" t="s">
        <v>999</v>
      </c>
      <c r="H275" s="381" t="s">
        <v>999</v>
      </c>
    </row>
    <row r="276" spans="1:8">
      <c r="A276" s="380" t="s">
        <v>100</v>
      </c>
      <c r="B276" s="380" t="s">
        <v>101</v>
      </c>
      <c r="C276" s="401" t="s">
        <v>63</v>
      </c>
      <c r="D276" s="402" t="s">
        <v>456</v>
      </c>
      <c r="E276" s="380" t="s">
        <v>140</v>
      </c>
      <c r="F276" s="380" t="s">
        <v>17</v>
      </c>
      <c r="G276" s="381" t="s">
        <v>999</v>
      </c>
      <c r="H276" s="381" t="s">
        <v>999</v>
      </c>
    </row>
    <row r="277" spans="1:8">
      <c r="A277" s="380" t="s">
        <v>100</v>
      </c>
      <c r="B277" s="380" t="s">
        <v>101</v>
      </c>
      <c r="C277" s="401" t="s">
        <v>146</v>
      </c>
      <c r="D277" s="402" t="s">
        <v>457</v>
      </c>
      <c r="E277" s="380" t="s">
        <v>147</v>
      </c>
      <c r="F277" s="380" t="s">
        <v>17</v>
      </c>
      <c r="G277" s="381" t="s">
        <v>1021</v>
      </c>
      <c r="H277" s="381" t="s">
        <v>1021</v>
      </c>
    </row>
    <row r="278" spans="1:8" customFormat="1" ht="15">
      <c r="A278" s="356" t="s">
        <v>100</v>
      </c>
      <c r="B278" s="356" t="s">
        <v>101</v>
      </c>
      <c r="C278" s="356" t="s">
        <v>149</v>
      </c>
      <c r="D278" s="357" t="s">
        <v>458</v>
      </c>
      <c r="E278" s="356" t="s">
        <v>150</v>
      </c>
      <c r="F278" s="356" t="s">
        <v>73</v>
      </c>
      <c r="G278" s="358" t="s">
        <v>997</v>
      </c>
      <c r="H278" s="358" t="s">
        <v>998</v>
      </c>
    </row>
    <row r="279" spans="1:8">
      <c r="A279" s="380" t="s">
        <v>100</v>
      </c>
      <c r="B279" s="380" t="s">
        <v>101</v>
      </c>
      <c r="C279" s="401" t="s">
        <v>183</v>
      </c>
      <c r="D279" s="402" t="s">
        <v>459</v>
      </c>
      <c r="E279" s="380" t="s">
        <v>184</v>
      </c>
      <c r="F279" s="380" t="s">
        <v>17</v>
      </c>
      <c r="G279" s="381" t="s">
        <v>18</v>
      </c>
      <c r="H279" s="381" t="s">
        <v>18</v>
      </c>
    </row>
    <row r="280" spans="1:8">
      <c r="A280" s="380" t="s">
        <v>100</v>
      </c>
      <c r="B280" s="380" t="s">
        <v>101</v>
      </c>
      <c r="C280" s="401" t="s">
        <v>191</v>
      </c>
      <c r="D280" s="402" t="s">
        <v>460</v>
      </c>
      <c r="E280" s="380" t="s">
        <v>192</v>
      </c>
      <c r="F280" s="380" t="s">
        <v>17</v>
      </c>
      <c r="G280" s="381" t="s">
        <v>18</v>
      </c>
      <c r="H280" s="381" t="s">
        <v>18</v>
      </c>
    </row>
    <row r="281" spans="1:8">
      <c r="A281" s="380" t="s">
        <v>100</v>
      </c>
      <c r="B281" s="380" t="s">
        <v>101</v>
      </c>
      <c r="C281" s="401" t="s">
        <v>189</v>
      </c>
      <c r="D281" s="402" t="s">
        <v>461</v>
      </c>
      <c r="E281" s="380" t="s">
        <v>190</v>
      </c>
      <c r="F281" s="380" t="s">
        <v>17</v>
      </c>
      <c r="G281" s="381" t="s">
        <v>18</v>
      </c>
      <c r="H281" s="381" t="s">
        <v>18</v>
      </c>
    </row>
    <row r="282" spans="1:8" customFormat="1" ht="15">
      <c r="A282" s="356" t="s">
        <v>174</v>
      </c>
      <c r="B282" s="356" t="s">
        <v>175</v>
      </c>
      <c r="C282" s="356" t="s">
        <v>28</v>
      </c>
      <c r="D282" s="357" t="s">
        <v>462</v>
      </c>
      <c r="E282" s="356" t="s">
        <v>29</v>
      </c>
      <c r="F282" s="356" t="s">
        <v>30</v>
      </c>
      <c r="G282" s="358" t="s">
        <v>172</v>
      </c>
      <c r="H282" s="358" t="s">
        <v>896</v>
      </c>
    </row>
    <row r="283" spans="1:8" customFormat="1" ht="15">
      <c r="A283" s="356" t="s">
        <v>174</v>
      </c>
      <c r="B283" s="356" t="s">
        <v>175</v>
      </c>
      <c r="C283" s="356" t="s">
        <v>88</v>
      </c>
      <c r="D283" s="357" t="s">
        <v>463</v>
      </c>
      <c r="E283" s="356" t="s">
        <v>89</v>
      </c>
      <c r="F283" s="356" t="s">
        <v>31</v>
      </c>
      <c r="G283" s="358" t="s">
        <v>172</v>
      </c>
      <c r="H283" s="358" t="s">
        <v>896</v>
      </c>
    </row>
    <row r="284" spans="1:8" customFormat="1" ht="15">
      <c r="A284" s="356" t="s">
        <v>174</v>
      </c>
      <c r="B284" s="356" t="s">
        <v>175</v>
      </c>
      <c r="C284" s="356" t="s">
        <v>144</v>
      </c>
      <c r="D284" s="357" t="s">
        <v>464</v>
      </c>
      <c r="E284" s="356" t="s">
        <v>145</v>
      </c>
      <c r="F284" s="356" t="s">
        <v>31</v>
      </c>
      <c r="G284" s="358" t="s">
        <v>172</v>
      </c>
      <c r="H284" s="358" t="s">
        <v>896</v>
      </c>
    </row>
    <row r="285" spans="1:8" customFormat="1" ht="15">
      <c r="A285" s="356" t="s">
        <v>174</v>
      </c>
      <c r="B285" s="356" t="s">
        <v>175</v>
      </c>
      <c r="C285" s="356" t="s">
        <v>167</v>
      </c>
      <c r="D285" s="357" t="s">
        <v>465</v>
      </c>
      <c r="E285" s="356" t="s">
        <v>168</v>
      </c>
      <c r="F285" s="356" t="s">
        <v>169</v>
      </c>
      <c r="G285" s="358" t="s">
        <v>173</v>
      </c>
      <c r="H285" s="358" t="s">
        <v>896</v>
      </c>
    </row>
    <row r="286" spans="1:8" customFormat="1" ht="15">
      <c r="A286" s="356" t="s">
        <v>174</v>
      </c>
      <c r="B286" s="356" t="s">
        <v>175</v>
      </c>
      <c r="C286" s="356" t="s">
        <v>34</v>
      </c>
      <c r="D286" s="357" t="s">
        <v>466</v>
      </c>
      <c r="E286" s="356" t="s">
        <v>35</v>
      </c>
      <c r="F286" s="356" t="s">
        <v>36</v>
      </c>
      <c r="G286" s="358" t="s">
        <v>996</v>
      </c>
      <c r="H286" s="358" t="s">
        <v>895</v>
      </c>
    </row>
    <row r="287" spans="1:8" customFormat="1" ht="15">
      <c r="A287" s="356" t="s">
        <v>174</v>
      </c>
      <c r="B287" s="356" t="s">
        <v>175</v>
      </c>
      <c r="C287" s="356" t="s">
        <v>37</v>
      </c>
      <c r="D287" s="357" t="s">
        <v>467</v>
      </c>
      <c r="E287" s="356" t="s">
        <v>38</v>
      </c>
      <c r="F287" s="356" t="s">
        <v>36</v>
      </c>
      <c r="G287" s="358" t="s">
        <v>996</v>
      </c>
      <c r="H287" s="358" t="s">
        <v>895</v>
      </c>
    </row>
    <row r="288" spans="1:8" customFormat="1" ht="15">
      <c r="A288" s="356" t="s">
        <v>174</v>
      </c>
      <c r="B288" s="356" t="s">
        <v>175</v>
      </c>
      <c r="C288" s="356" t="s">
        <v>41</v>
      </c>
      <c r="D288" s="357" t="s">
        <v>468</v>
      </c>
      <c r="E288" s="356" t="s">
        <v>42</v>
      </c>
      <c r="F288" s="356" t="s">
        <v>36</v>
      </c>
      <c r="G288" s="358" t="s">
        <v>996</v>
      </c>
      <c r="H288" s="358" t="s">
        <v>895</v>
      </c>
    </row>
    <row r="289" spans="1:8" customFormat="1" ht="15">
      <c r="A289" s="356" t="s">
        <v>174</v>
      </c>
      <c r="B289" s="356" t="s">
        <v>175</v>
      </c>
      <c r="C289" s="356" t="s">
        <v>43</v>
      </c>
      <c r="D289" s="357" t="s">
        <v>469</v>
      </c>
      <c r="E289" s="356" t="s">
        <v>44</v>
      </c>
      <c r="F289" s="356" t="s">
        <v>36</v>
      </c>
      <c r="G289" s="358" t="s">
        <v>996</v>
      </c>
      <c r="H289" s="358" t="s">
        <v>895</v>
      </c>
    </row>
    <row r="290" spans="1:8" customFormat="1" ht="15">
      <c r="A290" s="356" t="s">
        <v>174</v>
      </c>
      <c r="B290" s="356" t="s">
        <v>175</v>
      </c>
      <c r="C290" s="356" t="s">
        <v>45</v>
      </c>
      <c r="D290" s="357" t="s">
        <v>470</v>
      </c>
      <c r="E290" s="356" t="s">
        <v>46</v>
      </c>
      <c r="F290" s="356" t="s">
        <v>36</v>
      </c>
      <c r="G290" s="358" t="s">
        <v>996</v>
      </c>
      <c r="H290" s="358" t="s">
        <v>895</v>
      </c>
    </row>
    <row r="291" spans="1:8" customFormat="1" ht="15">
      <c r="A291" s="356" t="s">
        <v>174</v>
      </c>
      <c r="B291" s="356" t="s">
        <v>175</v>
      </c>
      <c r="C291" s="356" t="s">
        <v>47</v>
      </c>
      <c r="D291" s="357" t="s">
        <v>471</v>
      </c>
      <c r="E291" s="356" t="s">
        <v>48</v>
      </c>
      <c r="F291" s="356" t="s">
        <v>36</v>
      </c>
      <c r="G291" s="358" t="s">
        <v>996</v>
      </c>
      <c r="H291" s="358" t="s">
        <v>895</v>
      </c>
    </row>
    <row r="292" spans="1:8" customFormat="1" ht="15">
      <c r="A292" s="356" t="s">
        <v>174</v>
      </c>
      <c r="B292" s="356" t="s">
        <v>175</v>
      </c>
      <c r="C292" s="356" t="s">
        <v>49</v>
      </c>
      <c r="D292" s="357" t="s">
        <v>472</v>
      </c>
      <c r="E292" s="356" t="s">
        <v>50</v>
      </c>
      <c r="F292" s="356" t="s">
        <v>36</v>
      </c>
      <c r="G292" s="358" t="s">
        <v>996</v>
      </c>
      <c r="H292" s="358" t="s">
        <v>895</v>
      </c>
    </row>
    <row r="293" spans="1:8">
      <c r="A293" s="380" t="s">
        <v>174</v>
      </c>
      <c r="B293" s="380" t="s">
        <v>175</v>
      </c>
      <c r="C293" s="401" t="s">
        <v>51</v>
      </c>
      <c r="D293" s="402" t="s">
        <v>473</v>
      </c>
      <c r="E293" s="380" t="s">
        <v>52</v>
      </c>
      <c r="F293" s="380" t="s">
        <v>17</v>
      </c>
      <c r="G293" s="381" t="s">
        <v>21</v>
      </c>
      <c r="H293" s="381" t="s">
        <v>864</v>
      </c>
    </row>
    <row r="294" spans="1:8">
      <c r="A294" s="380" t="s">
        <v>174</v>
      </c>
      <c r="B294" s="380" t="s">
        <v>175</v>
      </c>
      <c r="C294" s="401" t="s">
        <v>53</v>
      </c>
      <c r="D294" s="402" t="s">
        <v>474</v>
      </c>
      <c r="E294" s="380" t="s">
        <v>54</v>
      </c>
      <c r="F294" s="380" t="s">
        <v>17</v>
      </c>
      <c r="G294" s="381" t="s">
        <v>999</v>
      </c>
      <c r="H294" s="381" t="s">
        <v>999</v>
      </c>
    </row>
    <row r="295" spans="1:8">
      <c r="A295" s="380" t="s">
        <v>174</v>
      </c>
      <c r="B295" s="380" t="s">
        <v>175</v>
      </c>
      <c r="C295" s="401" t="s">
        <v>15</v>
      </c>
      <c r="D295" s="402" t="s">
        <v>475</v>
      </c>
      <c r="E295" s="380" t="s">
        <v>16</v>
      </c>
      <c r="F295" s="380" t="s">
        <v>17</v>
      </c>
      <c r="G295" s="381" t="s">
        <v>1021</v>
      </c>
      <c r="H295" s="381" t="s">
        <v>1021</v>
      </c>
    </row>
    <row r="296" spans="1:8">
      <c r="A296" s="380" t="s">
        <v>174</v>
      </c>
      <c r="B296" s="380" t="s">
        <v>175</v>
      </c>
      <c r="C296" s="401" t="s">
        <v>55</v>
      </c>
      <c r="D296" s="402" t="s">
        <v>476</v>
      </c>
      <c r="E296" s="380" t="s">
        <v>56</v>
      </c>
      <c r="F296" s="380" t="s">
        <v>17</v>
      </c>
      <c r="G296" s="381" t="s">
        <v>1021</v>
      </c>
      <c r="H296" s="381" t="s">
        <v>1021</v>
      </c>
    </row>
    <row r="297" spans="1:8">
      <c r="A297" s="380" t="s">
        <v>174</v>
      </c>
      <c r="B297" s="380" t="s">
        <v>175</v>
      </c>
      <c r="C297" s="401" t="s">
        <v>59</v>
      </c>
      <c r="D297" s="402" t="s">
        <v>477</v>
      </c>
      <c r="E297" s="380" t="s">
        <v>60</v>
      </c>
      <c r="F297" s="380" t="s">
        <v>17</v>
      </c>
      <c r="G297" s="381" t="s">
        <v>995</v>
      </c>
      <c r="H297" s="381" t="s">
        <v>864</v>
      </c>
    </row>
    <row r="298" spans="1:8">
      <c r="A298" s="380" t="s">
        <v>174</v>
      </c>
      <c r="B298" s="380" t="s">
        <v>175</v>
      </c>
      <c r="C298" s="401" t="s">
        <v>19</v>
      </c>
      <c r="D298" s="402" t="s">
        <v>478</v>
      </c>
      <c r="E298" s="380" t="s">
        <v>20</v>
      </c>
      <c r="F298" s="380" t="s">
        <v>17</v>
      </c>
      <c r="G298" s="381" t="s">
        <v>21</v>
      </c>
      <c r="H298" s="381" t="s">
        <v>864</v>
      </c>
    </row>
    <row r="299" spans="1:8">
      <c r="A299" s="380" t="s">
        <v>174</v>
      </c>
      <c r="B299" s="380" t="s">
        <v>175</v>
      </c>
      <c r="C299" s="401" t="s">
        <v>61</v>
      </c>
      <c r="D299" s="402" t="s">
        <v>479</v>
      </c>
      <c r="E299" s="380" t="s">
        <v>62</v>
      </c>
      <c r="F299" s="380" t="s">
        <v>17</v>
      </c>
      <c r="G299" s="381" t="s">
        <v>1021</v>
      </c>
      <c r="H299" s="381" t="s">
        <v>1021</v>
      </c>
    </row>
    <row r="300" spans="1:8">
      <c r="A300" s="380" t="s">
        <v>174</v>
      </c>
      <c r="B300" s="380" t="s">
        <v>175</v>
      </c>
      <c r="C300" s="401" t="s">
        <v>65</v>
      </c>
      <c r="D300" s="402" t="s">
        <v>480</v>
      </c>
      <c r="E300" s="380" t="s">
        <v>66</v>
      </c>
      <c r="F300" s="380" t="s">
        <v>17</v>
      </c>
      <c r="G300" s="381" t="s">
        <v>18</v>
      </c>
      <c r="H300" s="381" t="s">
        <v>18</v>
      </c>
    </row>
    <row r="301" spans="1:8">
      <c r="A301" s="380" t="s">
        <v>174</v>
      </c>
      <c r="B301" s="380" t="s">
        <v>175</v>
      </c>
      <c r="C301" s="401" t="s">
        <v>67</v>
      </c>
      <c r="D301" s="402" t="s">
        <v>481</v>
      </c>
      <c r="E301" s="380" t="s">
        <v>68</v>
      </c>
      <c r="F301" s="380" t="s">
        <v>17</v>
      </c>
      <c r="G301" s="381" t="s">
        <v>21</v>
      </c>
      <c r="H301" s="381" t="s">
        <v>864</v>
      </c>
    </row>
    <row r="302" spans="1:8">
      <c r="A302" s="380" t="s">
        <v>174</v>
      </c>
      <c r="B302" s="380" t="s">
        <v>175</v>
      </c>
      <c r="C302" s="401" t="s">
        <v>69</v>
      </c>
      <c r="D302" s="402" t="s">
        <v>482</v>
      </c>
      <c r="E302" s="380" t="s">
        <v>70</v>
      </c>
      <c r="F302" s="380" t="s">
        <v>17</v>
      </c>
      <c r="G302" s="381" t="s">
        <v>18</v>
      </c>
      <c r="H302" s="381" t="s">
        <v>18</v>
      </c>
    </row>
    <row r="303" spans="1:8" customFormat="1" ht="15">
      <c r="A303" s="356" t="s">
        <v>174</v>
      </c>
      <c r="B303" s="356" t="s">
        <v>175</v>
      </c>
      <c r="C303" s="356" t="s">
        <v>71</v>
      </c>
      <c r="D303" s="357" t="s">
        <v>483</v>
      </c>
      <c r="E303" s="356" t="s">
        <v>72</v>
      </c>
      <c r="F303" s="356" t="s">
        <v>73</v>
      </c>
      <c r="G303" s="358" t="s">
        <v>997</v>
      </c>
      <c r="H303" s="358" t="s">
        <v>998</v>
      </c>
    </row>
    <row r="304" spans="1:8">
      <c r="A304" s="380" t="s">
        <v>174</v>
      </c>
      <c r="B304" s="380" t="s">
        <v>175</v>
      </c>
      <c r="C304" s="401" t="s">
        <v>24</v>
      </c>
      <c r="D304" s="402" t="s">
        <v>484</v>
      </c>
      <c r="E304" s="380" t="s">
        <v>25</v>
      </c>
      <c r="F304" s="380" t="s">
        <v>17</v>
      </c>
      <c r="G304" s="381" t="s">
        <v>21</v>
      </c>
      <c r="H304" s="381" t="s">
        <v>864</v>
      </c>
    </row>
    <row r="305" spans="1:8">
      <c r="A305" s="380" t="s">
        <v>174</v>
      </c>
      <c r="B305" s="380" t="s">
        <v>175</v>
      </c>
      <c r="C305" s="401" t="s">
        <v>78</v>
      </c>
      <c r="D305" s="402" t="s">
        <v>769</v>
      </c>
      <c r="E305" s="380" t="s">
        <v>79</v>
      </c>
      <c r="F305" s="380" t="s">
        <v>17</v>
      </c>
      <c r="G305" s="381" t="s">
        <v>18</v>
      </c>
      <c r="H305" s="381" t="s">
        <v>18</v>
      </c>
    </row>
    <row r="306" spans="1:8">
      <c r="A306" s="380" t="s">
        <v>174</v>
      </c>
      <c r="B306" s="380" t="s">
        <v>175</v>
      </c>
      <c r="C306" s="401" t="s">
        <v>80</v>
      </c>
      <c r="D306" s="402" t="s">
        <v>485</v>
      </c>
      <c r="E306" s="380" t="s">
        <v>81</v>
      </c>
      <c r="F306" s="380" t="s">
        <v>17</v>
      </c>
      <c r="G306" s="381" t="s">
        <v>999</v>
      </c>
      <c r="H306" s="381" t="s">
        <v>999</v>
      </c>
    </row>
    <row r="307" spans="1:8">
      <c r="A307" s="380" t="s">
        <v>174</v>
      </c>
      <c r="B307" s="380" t="s">
        <v>175</v>
      </c>
      <c r="C307" s="401" t="s">
        <v>84</v>
      </c>
      <c r="D307" s="402" t="s">
        <v>486</v>
      </c>
      <c r="E307" s="380" t="s">
        <v>85</v>
      </c>
      <c r="F307" s="380" t="s">
        <v>17</v>
      </c>
      <c r="G307" s="381" t="s">
        <v>18</v>
      </c>
      <c r="H307" s="381" t="s">
        <v>18</v>
      </c>
    </row>
    <row r="308" spans="1:8">
      <c r="A308" s="380" t="s">
        <v>174</v>
      </c>
      <c r="B308" s="380" t="s">
        <v>175</v>
      </c>
      <c r="C308" s="401" t="s">
        <v>92</v>
      </c>
      <c r="D308" s="402" t="s">
        <v>487</v>
      </c>
      <c r="E308" s="380" t="s">
        <v>93</v>
      </c>
      <c r="F308" s="380" t="s">
        <v>17</v>
      </c>
      <c r="G308" s="381" t="s">
        <v>999</v>
      </c>
      <c r="H308" s="381" t="s">
        <v>999</v>
      </c>
    </row>
    <row r="309" spans="1:8">
      <c r="A309" s="380" t="s">
        <v>174</v>
      </c>
      <c r="B309" s="380" t="s">
        <v>175</v>
      </c>
      <c r="C309" s="401" t="s">
        <v>32</v>
      </c>
      <c r="D309" s="402" t="s">
        <v>757</v>
      </c>
      <c r="E309" s="380" t="s">
        <v>33</v>
      </c>
      <c r="F309" s="380" t="s">
        <v>17</v>
      </c>
      <c r="G309" s="381" t="s">
        <v>999</v>
      </c>
      <c r="H309" s="381" t="s">
        <v>999</v>
      </c>
    </row>
    <row r="310" spans="1:8">
      <c r="A310" s="380" t="s">
        <v>174</v>
      </c>
      <c r="B310" s="380" t="s">
        <v>175</v>
      </c>
      <c r="C310" s="401" t="s">
        <v>63</v>
      </c>
      <c r="D310" s="402" t="s">
        <v>488</v>
      </c>
      <c r="E310" s="380" t="s">
        <v>140</v>
      </c>
      <c r="F310" s="380" t="s">
        <v>17</v>
      </c>
      <c r="G310" s="381" t="s">
        <v>999</v>
      </c>
      <c r="H310" s="381" t="s">
        <v>999</v>
      </c>
    </row>
    <row r="311" spans="1:8">
      <c r="A311" s="380" t="s">
        <v>174</v>
      </c>
      <c r="B311" s="380" t="s">
        <v>175</v>
      </c>
      <c r="C311" s="401" t="s">
        <v>146</v>
      </c>
      <c r="D311" s="402" t="s">
        <v>489</v>
      </c>
      <c r="E311" s="380" t="s">
        <v>147</v>
      </c>
      <c r="F311" s="380" t="s">
        <v>17</v>
      </c>
      <c r="G311" s="381" t="s">
        <v>1021</v>
      </c>
      <c r="H311" s="381" t="s">
        <v>1021</v>
      </c>
    </row>
    <row r="312" spans="1:8" customFormat="1" ht="15">
      <c r="A312" s="356" t="s">
        <v>174</v>
      </c>
      <c r="B312" s="356" t="s">
        <v>175</v>
      </c>
      <c r="C312" s="356" t="s">
        <v>149</v>
      </c>
      <c r="D312" s="357" t="s">
        <v>490</v>
      </c>
      <c r="E312" s="356" t="s">
        <v>150</v>
      </c>
      <c r="F312" s="356" t="s">
        <v>73</v>
      </c>
      <c r="G312" s="358" t="s">
        <v>997</v>
      </c>
      <c r="H312" s="358" t="s">
        <v>998</v>
      </c>
    </row>
    <row r="313" spans="1:8">
      <c r="A313" s="380" t="s">
        <v>174</v>
      </c>
      <c r="B313" s="380" t="s">
        <v>175</v>
      </c>
      <c r="C313" s="401" t="s">
        <v>180</v>
      </c>
      <c r="D313" s="402" t="s">
        <v>491</v>
      </c>
      <c r="E313" s="380" t="s">
        <v>181</v>
      </c>
      <c r="F313" s="380" t="s">
        <v>17</v>
      </c>
      <c r="G313" s="381" t="s">
        <v>1021</v>
      </c>
      <c r="H313" s="381" t="s">
        <v>1021</v>
      </c>
    </row>
    <row r="314" spans="1:8">
      <c r="A314" s="380" t="s">
        <v>174</v>
      </c>
      <c r="B314" s="380" t="s">
        <v>175</v>
      </c>
      <c r="C314" s="401" t="s">
        <v>183</v>
      </c>
      <c r="D314" s="402" t="s">
        <v>492</v>
      </c>
      <c r="E314" s="380" t="s">
        <v>184</v>
      </c>
      <c r="F314" s="380" t="s">
        <v>17</v>
      </c>
      <c r="G314" s="381" t="s">
        <v>18</v>
      </c>
      <c r="H314" s="381" t="s">
        <v>18</v>
      </c>
    </row>
    <row r="315" spans="1:8">
      <c r="A315" s="380" t="s">
        <v>174</v>
      </c>
      <c r="B315" s="380" t="s">
        <v>175</v>
      </c>
      <c r="C315" s="401" t="s">
        <v>191</v>
      </c>
      <c r="D315" s="402" t="s">
        <v>493</v>
      </c>
      <c r="E315" s="380" t="s">
        <v>192</v>
      </c>
      <c r="F315" s="380" t="s">
        <v>17</v>
      </c>
      <c r="G315" s="381" t="s">
        <v>18</v>
      </c>
      <c r="H315" s="381" t="s">
        <v>18</v>
      </c>
    </row>
    <row r="316" spans="1:8">
      <c r="A316" s="380" t="s">
        <v>174</v>
      </c>
      <c r="B316" s="380" t="s">
        <v>175</v>
      </c>
      <c r="C316" s="401" t="s">
        <v>189</v>
      </c>
      <c r="D316" s="402" t="s">
        <v>494</v>
      </c>
      <c r="E316" s="380" t="s">
        <v>190</v>
      </c>
      <c r="F316" s="380" t="s">
        <v>17</v>
      </c>
      <c r="G316" s="381" t="s">
        <v>18</v>
      </c>
      <c r="H316" s="381" t="s">
        <v>18</v>
      </c>
    </row>
    <row r="317" spans="1:8" customFormat="1" ht="15">
      <c r="A317" s="356" t="s">
        <v>102</v>
      </c>
      <c r="B317" s="356" t="s">
        <v>103</v>
      </c>
      <c r="C317" s="356" t="s">
        <v>28</v>
      </c>
      <c r="D317" s="357" t="s">
        <v>495</v>
      </c>
      <c r="E317" s="356" t="s">
        <v>29</v>
      </c>
      <c r="F317" s="356" t="s">
        <v>30</v>
      </c>
      <c r="G317" s="358" t="s">
        <v>172</v>
      </c>
      <c r="H317" s="358" t="s">
        <v>896</v>
      </c>
    </row>
    <row r="318" spans="1:8" customFormat="1" ht="15">
      <c r="A318" s="356" t="s">
        <v>102</v>
      </c>
      <c r="B318" s="356" t="s">
        <v>103</v>
      </c>
      <c r="C318" s="356" t="s">
        <v>88</v>
      </c>
      <c r="D318" s="357" t="s">
        <v>496</v>
      </c>
      <c r="E318" s="356" t="s">
        <v>89</v>
      </c>
      <c r="F318" s="356" t="s">
        <v>31</v>
      </c>
      <c r="G318" s="358" t="s">
        <v>172</v>
      </c>
      <c r="H318" s="358" t="s">
        <v>896</v>
      </c>
    </row>
    <row r="319" spans="1:8" customFormat="1" ht="15">
      <c r="A319" s="356" t="s">
        <v>102</v>
      </c>
      <c r="B319" s="356" t="s">
        <v>103</v>
      </c>
      <c r="C319" s="356" t="s">
        <v>144</v>
      </c>
      <c r="D319" s="357" t="s">
        <v>497</v>
      </c>
      <c r="E319" s="356" t="s">
        <v>145</v>
      </c>
      <c r="F319" s="356" t="s">
        <v>31</v>
      </c>
      <c r="G319" s="358" t="s">
        <v>172</v>
      </c>
      <c r="H319" s="358" t="s">
        <v>896</v>
      </c>
    </row>
    <row r="320" spans="1:8" customFormat="1" ht="15">
      <c r="A320" s="356" t="s">
        <v>102</v>
      </c>
      <c r="B320" s="356" t="s">
        <v>103</v>
      </c>
      <c r="C320" s="356" t="s">
        <v>167</v>
      </c>
      <c r="D320" s="357" t="s">
        <v>498</v>
      </c>
      <c r="E320" s="356" t="s">
        <v>168</v>
      </c>
      <c r="F320" s="356" t="s">
        <v>169</v>
      </c>
      <c r="G320" s="358" t="s">
        <v>173</v>
      </c>
      <c r="H320" s="358" t="s">
        <v>896</v>
      </c>
    </row>
    <row r="321" spans="1:8" customFormat="1" ht="15">
      <c r="A321" s="356" t="s">
        <v>102</v>
      </c>
      <c r="B321" s="356" t="s">
        <v>103</v>
      </c>
      <c r="C321" s="356" t="s">
        <v>198</v>
      </c>
      <c r="D321" s="357" t="s">
        <v>786</v>
      </c>
      <c r="E321" s="356" t="s">
        <v>199</v>
      </c>
      <c r="F321" s="356" t="s">
        <v>30</v>
      </c>
      <c r="G321" s="358" t="s">
        <v>172</v>
      </c>
      <c r="H321" s="358" t="s">
        <v>896</v>
      </c>
    </row>
    <row r="322" spans="1:8" customFormat="1" ht="15">
      <c r="A322" s="356" t="s">
        <v>102</v>
      </c>
      <c r="B322" s="356" t="s">
        <v>103</v>
      </c>
      <c r="C322" s="356" t="s">
        <v>34</v>
      </c>
      <c r="D322" s="357" t="s">
        <v>499</v>
      </c>
      <c r="E322" s="356" t="s">
        <v>35</v>
      </c>
      <c r="F322" s="356" t="s">
        <v>36</v>
      </c>
      <c r="G322" s="358" t="s">
        <v>996</v>
      </c>
      <c r="H322" s="358" t="s">
        <v>895</v>
      </c>
    </row>
    <row r="323" spans="1:8" customFormat="1" ht="15">
      <c r="A323" s="356" t="s">
        <v>102</v>
      </c>
      <c r="B323" s="356" t="s">
        <v>103</v>
      </c>
      <c r="C323" s="356" t="s">
        <v>37</v>
      </c>
      <c r="D323" s="357" t="s">
        <v>500</v>
      </c>
      <c r="E323" s="356" t="s">
        <v>38</v>
      </c>
      <c r="F323" s="356" t="s">
        <v>36</v>
      </c>
      <c r="G323" s="358" t="s">
        <v>996</v>
      </c>
      <c r="H323" s="358" t="s">
        <v>895</v>
      </c>
    </row>
    <row r="324" spans="1:8" customFormat="1" ht="15">
      <c r="A324" s="356" t="s">
        <v>102</v>
      </c>
      <c r="B324" s="356" t="s">
        <v>103</v>
      </c>
      <c r="C324" s="356" t="s">
        <v>41</v>
      </c>
      <c r="D324" s="357" t="s">
        <v>501</v>
      </c>
      <c r="E324" s="356" t="s">
        <v>42</v>
      </c>
      <c r="F324" s="356" t="s">
        <v>36</v>
      </c>
      <c r="G324" s="358" t="s">
        <v>996</v>
      </c>
      <c r="H324" s="358" t="s">
        <v>895</v>
      </c>
    </row>
    <row r="325" spans="1:8" customFormat="1" ht="15">
      <c r="A325" s="356" t="s">
        <v>102</v>
      </c>
      <c r="B325" s="356" t="s">
        <v>103</v>
      </c>
      <c r="C325" s="356" t="s">
        <v>43</v>
      </c>
      <c r="D325" s="357" t="s">
        <v>502</v>
      </c>
      <c r="E325" s="356" t="s">
        <v>44</v>
      </c>
      <c r="F325" s="356" t="s">
        <v>36</v>
      </c>
      <c r="G325" s="358" t="s">
        <v>996</v>
      </c>
      <c r="H325" s="358" t="s">
        <v>895</v>
      </c>
    </row>
    <row r="326" spans="1:8" customFormat="1" ht="15">
      <c r="A326" s="356" t="s">
        <v>102</v>
      </c>
      <c r="B326" s="356" t="s">
        <v>103</v>
      </c>
      <c r="C326" s="356" t="s">
        <v>45</v>
      </c>
      <c r="D326" s="357" t="s">
        <v>503</v>
      </c>
      <c r="E326" s="356" t="s">
        <v>46</v>
      </c>
      <c r="F326" s="356" t="s">
        <v>36</v>
      </c>
      <c r="G326" s="358" t="s">
        <v>996</v>
      </c>
      <c r="H326" s="358" t="s">
        <v>895</v>
      </c>
    </row>
    <row r="327" spans="1:8" customFormat="1" ht="15">
      <c r="A327" s="356" t="s">
        <v>102</v>
      </c>
      <c r="B327" s="356" t="s">
        <v>103</v>
      </c>
      <c r="C327" s="356" t="s">
        <v>47</v>
      </c>
      <c r="D327" s="357" t="s">
        <v>504</v>
      </c>
      <c r="E327" s="356" t="s">
        <v>48</v>
      </c>
      <c r="F327" s="356" t="s">
        <v>36</v>
      </c>
      <c r="G327" s="358" t="s">
        <v>996</v>
      </c>
      <c r="H327" s="358" t="s">
        <v>895</v>
      </c>
    </row>
    <row r="328" spans="1:8" customFormat="1" ht="15">
      <c r="A328" s="356" t="s">
        <v>102</v>
      </c>
      <c r="B328" s="356" t="s">
        <v>103</v>
      </c>
      <c r="C328" s="356" t="s">
        <v>49</v>
      </c>
      <c r="D328" s="357" t="s">
        <v>505</v>
      </c>
      <c r="E328" s="356" t="s">
        <v>50</v>
      </c>
      <c r="F328" s="356" t="s">
        <v>36</v>
      </c>
      <c r="G328" s="358" t="s">
        <v>996</v>
      </c>
      <c r="H328" s="358" t="s">
        <v>895</v>
      </c>
    </row>
    <row r="329" spans="1:8">
      <c r="A329" s="380" t="s">
        <v>102</v>
      </c>
      <c r="B329" s="380" t="s">
        <v>103</v>
      </c>
      <c r="C329" s="401" t="s">
        <v>51</v>
      </c>
      <c r="D329" s="402" t="s">
        <v>506</v>
      </c>
      <c r="E329" s="380" t="s">
        <v>52</v>
      </c>
      <c r="F329" s="380" t="s">
        <v>17</v>
      </c>
      <c r="G329" s="381" t="s">
        <v>21</v>
      </c>
      <c r="H329" s="381" t="s">
        <v>864</v>
      </c>
    </row>
    <row r="330" spans="1:8">
      <c r="A330" s="380" t="s">
        <v>102</v>
      </c>
      <c r="B330" s="380" t="s">
        <v>103</v>
      </c>
      <c r="C330" s="401" t="s">
        <v>53</v>
      </c>
      <c r="D330" s="402" t="s">
        <v>507</v>
      </c>
      <c r="E330" s="380" t="s">
        <v>54</v>
      </c>
      <c r="F330" s="380" t="s">
        <v>17</v>
      </c>
      <c r="G330" s="381" t="s">
        <v>999</v>
      </c>
      <c r="H330" s="381" t="s">
        <v>999</v>
      </c>
    </row>
    <row r="331" spans="1:8">
      <c r="A331" s="380" t="s">
        <v>102</v>
      </c>
      <c r="B331" s="380" t="s">
        <v>103</v>
      </c>
      <c r="C331" s="401" t="s">
        <v>15</v>
      </c>
      <c r="D331" s="402" t="s">
        <v>508</v>
      </c>
      <c r="E331" s="380" t="s">
        <v>16</v>
      </c>
      <c r="F331" s="380" t="s">
        <v>17</v>
      </c>
      <c r="G331" s="381" t="s">
        <v>1021</v>
      </c>
      <c r="H331" s="381" t="s">
        <v>1021</v>
      </c>
    </row>
    <row r="332" spans="1:8">
      <c r="A332" s="380" t="s">
        <v>102</v>
      </c>
      <c r="B332" s="380" t="s">
        <v>103</v>
      </c>
      <c r="C332" s="401" t="s">
        <v>55</v>
      </c>
      <c r="D332" s="402" t="s">
        <v>509</v>
      </c>
      <c r="E332" s="380" t="s">
        <v>56</v>
      </c>
      <c r="F332" s="380" t="s">
        <v>17</v>
      </c>
      <c r="G332" s="381" t="s">
        <v>1021</v>
      </c>
      <c r="H332" s="381" t="s">
        <v>1021</v>
      </c>
    </row>
    <row r="333" spans="1:8">
      <c r="A333" s="380" t="s">
        <v>102</v>
      </c>
      <c r="B333" s="380" t="s">
        <v>103</v>
      </c>
      <c r="C333" s="401" t="s">
        <v>59</v>
      </c>
      <c r="D333" s="402" t="s">
        <v>510</v>
      </c>
      <c r="E333" s="380" t="s">
        <v>60</v>
      </c>
      <c r="F333" s="380" t="s">
        <v>17</v>
      </c>
      <c r="G333" s="381" t="s">
        <v>995</v>
      </c>
      <c r="H333" s="381" t="s">
        <v>864</v>
      </c>
    </row>
    <row r="334" spans="1:8">
      <c r="A334" s="380" t="s">
        <v>102</v>
      </c>
      <c r="B334" s="380" t="s">
        <v>103</v>
      </c>
      <c r="C334" s="401" t="s">
        <v>19</v>
      </c>
      <c r="D334" s="402" t="s">
        <v>511</v>
      </c>
      <c r="E334" s="380" t="s">
        <v>20</v>
      </c>
      <c r="F334" s="380" t="s">
        <v>17</v>
      </c>
      <c r="G334" s="381" t="s">
        <v>21</v>
      </c>
      <c r="H334" s="381" t="s">
        <v>864</v>
      </c>
    </row>
    <row r="335" spans="1:8">
      <c r="A335" s="380" t="s">
        <v>102</v>
      </c>
      <c r="B335" s="380" t="s">
        <v>103</v>
      </c>
      <c r="C335" s="401" t="s">
        <v>61</v>
      </c>
      <c r="D335" s="402" t="s">
        <v>512</v>
      </c>
      <c r="E335" s="380" t="s">
        <v>62</v>
      </c>
      <c r="F335" s="380" t="s">
        <v>17</v>
      </c>
      <c r="G335" s="381" t="s">
        <v>1021</v>
      </c>
      <c r="H335" s="381" t="s">
        <v>1021</v>
      </c>
    </row>
    <row r="336" spans="1:8">
      <c r="A336" s="380" t="s">
        <v>102</v>
      </c>
      <c r="B336" s="380" t="s">
        <v>103</v>
      </c>
      <c r="C336" s="401" t="s">
        <v>22</v>
      </c>
      <c r="D336" s="402" t="s">
        <v>513</v>
      </c>
      <c r="E336" s="380" t="s">
        <v>23</v>
      </c>
      <c r="F336" s="380" t="s">
        <v>17</v>
      </c>
      <c r="G336" s="381" t="s">
        <v>1021</v>
      </c>
      <c r="H336" s="381" t="s">
        <v>1021</v>
      </c>
    </row>
    <row r="337" spans="1:8">
      <c r="A337" s="380" t="s">
        <v>102</v>
      </c>
      <c r="B337" s="380" t="s">
        <v>103</v>
      </c>
      <c r="C337" s="401" t="s">
        <v>65</v>
      </c>
      <c r="D337" s="402" t="s">
        <v>514</v>
      </c>
      <c r="E337" s="380" t="s">
        <v>66</v>
      </c>
      <c r="F337" s="380" t="s">
        <v>17</v>
      </c>
      <c r="G337" s="381" t="s">
        <v>18</v>
      </c>
      <c r="H337" s="381" t="s">
        <v>18</v>
      </c>
    </row>
    <row r="338" spans="1:8">
      <c r="A338" s="380" t="s">
        <v>102</v>
      </c>
      <c r="B338" s="380" t="s">
        <v>103</v>
      </c>
      <c r="C338" s="401" t="s">
        <v>67</v>
      </c>
      <c r="D338" s="402" t="s">
        <v>515</v>
      </c>
      <c r="E338" s="380" t="s">
        <v>68</v>
      </c>
      <c r="F338" s="380" t="s">
        <v>17</v>
      </c>
      <c r="G338" s="381" t="s">
        <v>21</v>
      </c>
      <c r="H338" s="381" t="s">
        <v>864</v>
      </c>
    </row>
    <row r="339" spans="1:8" customFormat="1" ht="15">
      <c r="A339" s="356" t="s">
        <v>102</v>
      </c>
      <c r="B339" s="356" t="s">
        <v>103</v>
      </c>
      <c r="C339" s="356" t="s">
        <v>71</v>
      </c>
      <c r="D339" s="357" t="s">
        <v>516</v>
      </c>
      <c r="E339" s="356" t="s">
        <v>72</v>
      </c>
      <c r="F339" s="356" t="s">
        <v>73</v>
      </c>
      <c r="G339" s="358" t="s">
        <v>997</v>
      </c>
      <c r="H339" s="358" t="s">
        <v>998</v>
      </c>
    </row>
    <row r="340" spans="1:8">
      <c r="A340" s="380" t="s">
        <v>102</v>
      </c>
      <c r="B340" s="380" t="s">
        <v>103</v>
      </c>
      <c r="C340" s="401" t="s">
        <v>74</v>
      </c>
      <c r="D340" s="402" t="s">
        <v>517</v>
      </c>
      <c r="E340" s="380" t="s">
        <v>75</v>
      </c>
      <c r="F340" s="380" t="s">
        <v>17</v>
      </c>
      <c r="G340" s="381" t="s">
        <v>18</v>
      </c>
      <c r="H340" s="381" t="s">
        <v>18</v>
      </c>
    </row>
    <row r="341" spans="1:8">
      <c r="A341" s="380" t="s">
        <v>102</v>
      </c>
      <c r="B341" s="380" t="s">
        <v>103</v>
      </c>
      <c r="C341" s="401" t="s">
        <v>24</v>
      </c>
      <c r="D341" s="402" t="s">
        <v>518</v>
      </c>
      <c r="E341" s="380" t="s">
        <v>25</v>
      </c>
      <c r="F341" s="380" t="s">
        <v>17</v>
      </c>
      <c r="G341" s="381" t="s">
        <v>21</v>
      </c>
      <c r="H341" s="381" t="s">
        <v>864</v>
      </c>
    </row>
    <row r="342" spans="1:8">
      <c r="A342" s="380" t="s">
        <v>102</v>
      </c>
      <c r="B342" s="380" t="s">
        <v>103</v>
      </c>
      <c r="C342" s="401" t="s">
        <v>78</v>
      </c>
      <c r="D342" s="402" t="s">
        <v>519</v>
      </c>
      <c r="E342" s="380" t="s">
        <v>79</v>
      </c>
      <c r="F342" s="380" t="s">
        <v>17</v>
      </c>
      <c r="G342" s="381" t="s">
        <v>18</v>
      </c>
      <c r="H342" s="381" t="s">
        <v>18</v>
      </c>
    </row>
    <row r="343" spans="1:8">
      <c r="A343" s="380" t="s">
        <v>102</v>
      </c>
      <c r="B343" s="380" t="s">
        <v>103</v>
      </c>
      <c r="C343" s="401" t="s">
        <v>80</v>
      </c>
      <c r="D343" s="402" t="s">
        <v>520</v>
      </c>
      <c r="E343" s="380" t="s">
        <v>81</v>
      </c>
      <c r="F343" s="380" t="s">
        <v>17</v>
      </c>
      <c r="G343" s="381" t="s">
        <v>999</v>
      </c>
      <c r="H343" s="381" t="s">
        <v>999</v>
      </c>
    </row>
    <row r="344" spans="1:8">
      <c r="A344" s="380" t="s">
        <v>102</v>
      </c>
      <c r="B344" s="380" t="s">
        <v>103</v>
      </c>
      <c r="C344" s="401" t="s">
        <v>84</v>
      </c>
      <c r="D344" s="402" t="s">
        <v>521</v>
      </c>
      <c r="E344" s="380" t="s">
        <v>85</v>
      </c>
      <c r="F344" s="380" t="s">
        <v>17</v>
      </c>
      <c r="G344" s="381" t="s">
        <v>18</v>
      </c>
      <c r="H344" s="381" t="s">
        <v>18</v>
      </c>
    </row>
    <row r="345" spans="1:8">
      <c r="A345" s="380" t="s">
        <v>102</v>
      </c>
      <c r="B345" s="380" t="s">
        <v>103</v>
      </c>
      <c r="C345" s="401" t="s">
        <v>92</v>
      </c>
      <c r="D345" s="402" t="s">
        <v>522</v>
      </c>
      <c r="E345" s="380" t="s">
        <v>93</v>
      </c>
      <c r="F345" s="380" t="s">
        <v>17</v>
      </c>
      <c r="G345" s="381" t="s">
        <v>999</v>
      </c>
      <c r="H345" s="381" t="s">
        <v>999</v>
      </c>
    </row>
    <row r="346" spans="1:8">
      <c r="A346" s="380" t="s">
        <v>102</v>
      </c>
      <c r="B346" s="380" t="s">
        <v>103</v>
      </c>
      <c r="C346" s="401" t="s">
        <v>32</v>
      </c>
      <c r="D346" s="402" t="s">
        <v>523</v>
      </c>
      <c r="E346" s="380" t="s">
        <v>33</v>
      </c>
      <c r="F346" s="380" t="s">
        <v>17</v>
      </c>
      <c r="G346" s="381" t="s">
        <v>999</v>
      </c>
      <c r="H346" s="381" t="s">
        <v>999</v>
      </c>
    </row>
    <row r="347" spans="1:8">
      <c r="A347" s="380" t="s">
        <v>102</v>
      </c>
      <c r="B347" s="380" t="s">
        <v>103</v>
      </c>
      <c r="C347" s="401" t="s">
        <v>63</v>
      </c>
      <c r="D347" s="402" t="s">
        <v>524</v>
      </c>
      <c r="E347" s="380" t="s">
        <v>140</v>
      </c>
      <c r="F347" s="380" t="s">
        <v>17</v>
      </c>
      <c r="G347" s="381" t="s">
        <v>999</v>
      </c>
      <c r="H347" s="381" t="s">
        <v>999</v>
      </c>
    </row>
    <row r="348" spans="1:8">
      <c r="A348" s="380" t="s">
        <v>102</v>
      </c>
      <c r="B348" s="380" t="s">
        <v>103</v>
      </c>
      <c r="C348" s="401" t="s">
        <v>146</v>
      </c>
      <c r="D348" s="402" t="s">
        <v>525</v>
      </c>
      <c r="E348" s="380" t="s">
        <v>147</v>
      </c>
      <c r="F348" s="380" t="s">
        <v>17</v>
      </c>
      <c r="G348" s="381" t="s">
        <v>1021</v>
      </c>
      <c r="H348" s="381" t="s">
        <v>1021</v>
      </c>
    </row>
    <row r="349" spans="1:8" customFormat="1" ht="15">
      <c r="A349" s="356" t="s">
        <v>102</v>
      </c>
      <c r="B349" s="356" t="s">
        <v>103</v>
      </c>
      <c r="C349" s="356" t="s">
        <v>149</v>
      </c>
      <c r="D349" s="357" t="s">
        <v>526</v>
      </c>
      <c r="E349" s="356" t="s">
        <v>150</v>
      </c>
      <c r="F349" s="356" t="s">
        <v>73</v>
      </c>
      <c r="G349" s="358" t="s">
        <v>997</v>
      </c>
      <c r="H349" s="358" t="s">
        <v>998</v>
      </c>
    </row>
    <row r="350" spans="1:8">
      <c r="A350" s="380" t="s">
        <v>102</v>
      </c>
      <c r="B350" s="380" t="s">
        <v>103</v>
      </c>
      <c r="C350" s="401" t="s">
        <v>170</v>
      </c>
      <c r="D350" s="402" t="s">
        <v>770</v>
      </c>
      <c r="E350" s="380" t="s">
        <v>171</v>
      </c>
      <c r="F350" s="380" t="s">
        <v>17</v>
      </c>
      <c r="G350" s="381" t="s">
        <v>18</v>
      </c>
      <c r="H350" s="381" t="s">
        <v>18</v>
      </c>
    </row>
    <row r="351" spans="1:8">
      <c r="A351" s="380" t="s">
        <v>102</v>
      </c>
      <c r="B351" s="380" t="s">
        <v>103</v>
      </c>
      <c r="C351" s="401" t="s">
        <v>180</v>
      </c>
      <c r="D351" s="402" t="s">
        <v>527</v>
      </c>
      <c r="E351" s="380" t="s">
        <v>181</v>
      </c>
      <c r="F351" s="380" t="s">
        <v>17</v>
      </c>
      <c r="G351" s="381" t="s">
        <v>1021</v>
      </c>
      <c r="H351" s="381" t="s">
        <v>1021</v>
      </c>
    </row>
    <row r="352" spans="1:8">
      <c r="A352" s="380" t="s">
        <v>102</v>
      </c>
      <c r="B352" s="380" t="s">
        <v>103</v>
      </c>
      <c r="C352" s="401" t="s">
        <v>183</v>
      </c>
      <c r="D352" s="402" t="s">
        <v>528</v>
      </c>
      <c r="E352" s="380" t="s">
        <v>184</v>
      </c>
      <c r="F352" s="380" t="s">
        <v>17</v>
      </c>
      <c r="G352" s="381" t="s">
        <v>18</v>
      </c>
      <c r="H352" s="381" t="s">
        <v>18</v>
      </c>
    </row>
    <row r="353" spans="1:8">
      <c r="A353" s="380" t="s">
        <v>102</v>
      </c>
      <c r="B353" s="380" t="s">
        <v>103</v>
      </c>
      <c r="C353" s="401" t="s">
        <v>191</v>
      </c>
      <c r="D353" s="402" t="s">
        <v>529</v>
      </c>
      <c r="E353" s="380" t="s">
        <v>192</v>
      </c>
      <c r="F353" s="380" t="s">
        <v>17</v>
      </c>
      <c r="G353" s="381" t="s">
        <v>18</v>
      </c>
      <c r="H353" s="381" t="s">
        <v>18</v>
      </c>
    </row>
    <row r="354" spans="1:8">
      <c r="A354" s="380" t="s">
        <v>102</v>
      </c>
      <c r="B354" s="380" t="s">
        <v>103</v>
      </c>
      <c r="C354" s="401" t="s">
        <v>189</v>
      </c>
      <c r="D354" s="402" t="s">
        <v>530</v>
      </c>
      <c r="E354" s="380" t="s">
        <v>190</v>
      </c>
      <c r="F354" s="380" t="s">
        <v>17</v>
      </c>
      <c r="G354" s="381" t="s">
        <v>18</v>
      </c>
      <c r="H354" s="381" t="s">
        <v>18</v>
      </c>
    </row>
    <row r="355" spans="1:8" customFormat="1" ht="15">
      <c r="A355" s="356" t="s">
        <v>104</v>
      </c>
      <c r="B355" s="356" t="s">
        <v>105</v>
      </c>
      <c r="C355" s="356" t="s">
        <v>28</v>
      </c>
      <c r="D355" s="357" t="s">
        <v>531</v>
      </c>
      <c r="E355" s="356" t="s">
        <v>29</v>
      </c>
      <c r="F355" s="356" t="s">
        <v>30</v>
      </c>
      <c r="G355" s="358" t="s">
        <v>172</v>
      </c>
      <c r="H355" s="358" t="s">
        <v>896</v>
      </c>
    </row>
    <row r="356" spans="1:8" customFormat="1" ht="15">
      <c r="A356" s="356" t="s">
        <v>104</v>
      </c>
      <c r="B356" s="356" t="s">
        <v>105</v>
      </c>
      <c r="C356" s="356" t="s">
        <v>88</v>
      </c>
      <c r="D356" s="357" t="s">
        <v>532</v>
      </c>
      <c r="E356" s="356" t="s">
        <v>89</v>
      </c>
      <c r="F356" s="356" t="s">
        <v>31</v>
      </c>
      <c r="G356" s="358" t="s">
        <v>172</v>
      </c>
      <c r="H356" s="358" t="s">
        <v>896</v>
      </c>
    </row>
    <row r="357" spans="1:8" customFormat="1" ht="15">
      <c r="A357" s="356" t="s">
        <v>104</v>
      </c>
      <c r="B357" s="356" t="s">
        <v>105</v>
      </c>
      <c r="C357" s="356" t="s">
        <v>144</v>
      </c>
      <c r="D357" s="357" t="s">
        <v>533</v>
      </c>
      <c r="E357" s="356" t="s">
        <v>145</v>
      </c>
      <c r="F357" s="356" t="s">
        <v>31</v>
      </c>
      <c r="G357" s="358" t="s">
        <v>172</v>
      </c>
      <c r="H357" s="358" t="s">
        <v>896</v>
      </c>
    </row>
    <row r="358" spans="1:8" customFormat="1" ht="15">
      <c r="A358" s="356" t="s">
        <v>104</v>
      </c>
      <c r="B358" s="356" t="s">
        <v>105</v>
      </c>
      <c r="C358" s="356" t="s">
        <v>167</v>
      </c>
      <c r="D358" s="357" t="s">
        <v>534</v>
      </c>
      <c r="E358" s="356" t="s">
        <v>168</v>
      </c>
      <c r="F358" s="356" t="s">
        <v>169</v>
      </c>
      <c r="G358" s="358" t="s">
        <v>173</v>
      </c>
      <c r="H358" s="358" t="s">
        <v>896</v>
      </c>
    </row>
    <row r="359" spans="1:8" customFormat="1" ht="15">
      <c r="A359" s="356" t="s">
        <v>104</v>
      </c>
      <c r="B359" s="356" t="s">
        <v>105</v>
      </c>
      <c r="C359" s="356" t="s">
        <v>198</v>
      </c>
      <c r="D359" s="357" t="s">
        <v>771</v>
      </c>
      <c r="E359" s="356" t="s">
        <v>199</v>
      </c>
      <c r="F359" s="356" t="s">
        <v>30</v>
      </c>
      <c r="G359" s="358" t="s">
        <v>172</v>
      </c>
      <c r="H359" s="358" t="s">
        <v>896</v>
      </c>
    </row>
    <row r="360" spans="1:8" customFormat="1" ht="15">
      <c r="A360" s="356" t="s">
        <v>104</v>
      </c>
      <c r="B360" s="356" t="s">
        <v>105</v>
      </c>
      <c r="C360" s="356" t="s">
        <v>34</v>
      </c>
      <c r="D360" s="357" t="s">
        <v>535</v>
      </c>
      <c r="E360" s="356" t="s">
        <v>35</v>
      </c>
      <c r="F360" s="356" t="s">
        <v>36</v>
      </c>
      <c r="G360" s="358" t="s">
        <v>996</v>
      </c>
      <c r="H360" s="358" t="s">
        <v>895</v>
      </c>
    </row>
    <row r="361" spans="1:8" customFormat="1" ht="15">
      <c r="A361" s="356" t="s">
        <v>104</v>
      </c>
      <c r="B361" s="356" t="s">
        <v>105</v>
      </c>
      <c r="C361" s="356" t="s">
        <v>37</v>
      </c>
      <c r="D361" s="357" t="s">
        <v>536</v>
      </c>
      <c r="E361" s="356" t="s">
        <v>38</v>
      </c>
      <c r="F361" s="356" t="s">
        <v>36</v>
      </c>
      <c r="G361" s="358" t="s">
        <v>996</v>
      </c>
      <c r="H361" s="358" t="s">
        <v>895</v>
      </c>
    </row>
    <row r="362" spans="1:8" customFormat="1" ht="15">
      <c r="A362" s="356" t="s">
        <v>104</v>
      </c>
      <c r="B362" s="356" t="s">
        <v>105</v>
      </c>
      <c r="C362" s="356" t="s">
        <v>41</v>
      </c>
      <c r="D362" s="357" t="s">
        <v>537</v>
      </c>
      <c r="E362" s="356" t="s">
        <v>42</v>
      </c>
      <c r="F362" s="356" t="s">
        <v>36</v>
      </c>
      <c r="G362" s="358" t="s">
        <v>996</v>
      </c>
      <c r="H362" s="358" t="s">
        <v>895</v>
      </c>
    </row>
    <row r="363" spans="1:8" customFormat="1" ht="15">
      <c r="A363" s="356" t="s">
        <v>104</v>
      </c>
      <c r="B363" s="356" t="s">
        <v>105</v>
      </c>
      <c r="C363" s="356" t="s">
        <v>43</v>
      </c>
      <c r="D363" s="357" t="s">
        <v>538</v>
      </c>
      <c r="E363" s="356" t="s">
        <v>44</v>
      </c>
      <c r="F363" s="356" t="s">
        <v>36</v>
      </c>
      <c r="G363" s="358" t="s">
        <v>996</v>
      </c>
      <c r="H363" s="358" t="s">
        <v>895</v>
      </c>
    </row>
    <row r="364" spans="1:8" customFormat="1" ht="15">
      <c r="A364" s="356" t="s">
        <v>104</v>
      </c>
      <c r="B364" s="356" t="s">
        <v>105</v>
      </c>
      <c r="C364" s="356" t="s">
        <v>45</v>
      </c>
      <c r="D364" s="357" t="s">
        <v>539</v>
      </c>
      <c r="E364" s="356" t="s">
        <v>46</v>
      </c>
      <c r="F364" s="356" t="s">
        <v>36</v>
      </c>
      <c r="G364" s="358" t="s">
        <v>996</v>
      </c>
      <c r="H364" s="358" t="s">
        <v>895</v>
      </c>
    </row>
    <row r="365" spans="1:8" customFormat="1" ht="15">
      <c r="A365" s="356" t="s">
        <v>104</v>
      </c>
      <c r="B365" s="356" t="s">
        <v>105</v>
      </c>
      <c r="C365" s="356" t="s">
        <v>47</v>
      </c>
      <c r="D365" s="357" t="s">
        <v>540</v>
      </c>
      <c r="E365" s="356" t="s">
        <v>48</v>
      </c>
      <c r="F365" s="356" t="s">
        <v>36</v>
      </c>
      <c r="G365" s="358" t="s">
        <v>996</v>
      </c>
      <c r="H365" s="358" t="s">
        <v>895</v>
      </c>
    </row>
    <row r="366" spans="1:8" customFormat="1" ht="15">
      <c r="A366" s="356" t="s">
        <v>104</v>
      </c>
      <c r="B366" s="356" t="s">
        <v>105</v>
      </c>
      <c r="C366" s="356" t="s">
        <v>49</v>
      </c>
      <c r="D366" s="357" t="s">
        <v>541</v>
      </c>
      <c r="E366" s="356" t="s">
        <v>50</v>
      </c>
      <c r="F366" s="356" t="s">
        <v>36</v>
      </c>
      <c r="G366" s="358" t="s">
        <v>996</v>
      </c>
      <c r="H366" s="358" t="s">
        <v>895</v>
      </c>
    </row>
    <row r="367" spans="1:8">
      <c r="A367" s="380" t="s">
        <v>104</v>
      </c>
      <c r="B367" s="380" t="s">
        <v>105</v>
      </c>
      <c r="C367" s="401" t="s">
        <v>51</v>
      </c>
      <c r="D367" s="402" t="s">
        <v>542</v>
      </c>
      <c r="E367" s="380" t="s">
        <v>52</v>
      </c>
      <c r="F367" s="380" t="s">
        <v>17</v>
      </c>
      <c r="G367" s="381" t="s">
        <v>21</v>
      </c>
      <c r="H367" s="381" t="s">
        <v>864</v>
      </c>
    </row>
    <row r="368" spans="1:8">
      <c r="A368" s="380" t="s">
        <v>104</v>
      </c>
      <c r="B368" s="380" t="s">
        <v>105</v>
      </c>
      <c r="C368" s="401" t="s">
        <v>53</v>
      </c>
      <c r="D368" s="402" t="s">
        <v>543</v>
      </c>
      <c r="E368" s="380" t="s">
        <v>54</v>
      </c>
      <c r="F368" s="380" t="s">
        <v>17</v>
      </c>
      <c r="G368" s="381" t="s">
        <v>999</v>
      </c>
      <c r="H368" s="381" t="s">
        <v>999</v>
      </c>
    </row>
    <row r="369" spans="1:8">
      <c r="A369" s="380" t="s">
        <v>104</v>
      </c>
      <c r="B369" s="380" t="s">
        <v>105</v>
      </c>
      <c r="C369" s="401" t="s">
        <v>15</v>
      </c>
      <c r="D369" s="402" t="s">
        <v>544</v>
      </c>
      <c r="E369" s="380" t="s">
        <v>16</v>
      </c>
      <c r="F369" s="380" t="s">
        <v>17</v>
      </c>
      <c r="G369" s="381" t="s">
        <v>1021</v>
      </c>
      <c r="H369" s="381" t="s">
        <v>1021</v>
      </c>
    </row>
    <row r="370" spans="1:8">
      <c r="A370" s="380" t="s">
        <v>104</v>
      </c>
      <c r="B370" s="380" t="s">
        <v>105</v>
      </c>
      <c r="C370" s="401" t="s">
        <v>55</v>
      </c>
      <c r="D370" s="402" t="s">
        <v>545</v>
      </c>
      <c r="E370" s="380" t="s">
        <v>56</v>
      </c>
      <c r="F370" s="380" t="s">
        <v>17</v>
      </c>
      <c r="G370" s="381" t="s">
        <v>1021</v>
      </c>
      <c r="H370" s="381" t="s">
        <v>1021</v>
      </c>
    </row>
    <row r="371" spans="1:8">
      <c r="A371" s="380" t="s">
        <v>104</v>
      </c>
      <c r="B371" s="380" t="s">
        <v>105</v>
      </c>
      <c r="C371" s="401" t="s">
        <v>59</v>
      </c>
      <c r="D371" s="402" t="s">
        <v>546</v>
      </c>
      <c r="E371" s="380" t="s">
        <v>60</v>
      </c>
      <c r="F371" s="380" t="s">
        <v>17</v>
      </c>
      <c r="G371" s="381" t="s">
        <v>995</v>
      </c>
      <c r="H371" s="381" t="s">
        <v>864</v>
      </c>
    </row>
    <row r="372" spans="1:8">
      <c r="A372" s="380" t="s">
        <v>104</v>
      </c>
      <c r="B372" s="380" t="s">
        <v>105</v>
      </c>
      <c r="C372" s="401" t="s">
        <v>19</v>
      </c>
      <c r="D372" s="402" t="s">
        <v>547</v>
      </c>
      <c r="E372" s="380" t="s">
        <v>20</v>
      </c>
      <c r="F372" s="380" t="s">
        <v>17</v>
      </c>
      <c r="G372" s="381" t="s">
        <v>21</v>
      </c>
      <c r="H372" s="381" t="s">
        <v>864</v>
      </c>
    </row>
    <row r="373" spans="1:8">
      <c r="A373" s="380" t="s">
        <v>104</v>
      </c>
      <c r="B373" s="380" t="s">
        <v>105</v>
      </c>
      <c r="C373" s="401" t="s">
        <v>61</v>
      </c>
      <c r="D373" s="402" t="s">
        <v>548</v>
      </c>
      <c r="E373" s="380" t="s">
        <v>62</v>
      </c>
      <c r="F373" s="380" t="s">
        <v>17</v>
      </c>
      <c r="G373" s="381" t="s">
        <v>1021</v>
      </c>
      <c r="H373" s="381" t="s">
        <v>1021</v>
      </c>
    </row>
    <row r="374" spans="1:8">
      <c r="A374" s="380" t="s">
        <v>104</v>
      </c>
      <c r="B374" s="380" t="s">
        <v>105</v>
      </c>
      <c r="C374" s="401" t="s">
        <v>22</v>
      </c>
      <c r="D374" s="402" t="s">
        <v>549</v>
      </c>
      <c r="E374" s="380" t="s">
        <v>23</v>
      </c>
      <c r="F374" s="380" t="s">
        <v>17</v>
      </c>
      <c r="G374" s="381" t="s">
        <v>1021</v>
      </c>
      <c r="H374" s="381" t="s">
        <v>1021</v>
      </c>
    </row>
    <row r="375" spans="1:8">
      <c r="A375" s="380" t="s">
        <v>104</v>
      </c>
      <c r="B375" s="380" t="s">
        <v>105</v>
      </c>
      <c r="C375" s="401" t="s">
        <v>65</v>
      </c>
      <c r="D375" s="402" t="s">
        <v>550</v>
      </c>
      <c r="E375" s="380" t="s">
        <v>66</v>
      </c>
      <c r="F375" s="380" t="s">
        <v>17</v>
      </c>
      <c r="G375" s="381" t="s">
        <v>18</v>
      </c>
      <c r="H375" s="381" t="s">
        <v>18</v>
      </c>
    </row>
    <row r="376" spans="1:8">
      <c r="A376" s="380" t="s">
        <v>104</v>
      </c>
      <c r="B376" s="380" t="s">
        <v>105</v>
      </c>
      <c r="C376" s="401" t="s">
        <v>67</v>
      </c>
      <c r="D376" s="402" t="s">
        <v>551</v>
      </c>
      <c r="E376" s="380" t="s">
        <v>68</v>
      </c>
      <c r="F376" s="380" t="s">
        <v>17</v>
      </c>
      <c r="G376" s="381" t="s">
        <v>21</v>
      </c>
      <c r="H376" s="381" t="s">
        <v>864</v>
      </c>
    </row>
    <row r="377" spans="1:8">
      <c r="A377" s="380" t="s">
        <v>104</v>
      </c>
      <c r="B377" s="380" t="s">
        <v>105</v>
      </c>
      <c r="C377" s="401" t="s">
        <v>69</v>
      </c>
      <c r="D377" s="402" t="s">
        <v>552</v>
      </c>
      <c r="E377" s="380" t="s">
        <v>70</v>
      </c>
      <c r="F377" s="380" t="s">
        <v>17</v>
      </c>
      <c r="G377" s="381" t="s">
        <v>18</v>
      </c>
      <c r="H377" s="381" t="s">
        <v>18</v>
      </c>
    </row>
    <row r="378" spans="1:8" customFormat="1" ht="15">
      <c r="A378" s="356" t="s">
        <v>104</v>
      </c>
      <c r="B378" s="356" t="s">
        <v>105</v>
      </c>
      <c r="C378" s="356" t="s">
        <v>71</v>
      </c>
      <c r="D378" s="357" t="s">
        <v>553</v>
      </c>
      <c r="E378" s="356" t="s">
        <v>72</v>
      </c>
      <c r="F378" s="356" t="s">
        <v>73</v>
      </c>
      <c r="G378" s="358" t="s">
        <v>997</v>
      </c>
      <c r="H378" s="358" t="s">
        <v>998</v>
      </c>
    </row>
    <row r="379" spans="1:8">
      <c r="A379" s="380" t="s">
        <v>104</v>
      </c>
      <c r="B379" s="380" t="s">
        <v>105</v>
      </c>
      <c r="C379" s="401" t="s">
        <v>24</v>
      </c>
      <c r="D379" s="402" t="s">
        <v>554</v>
      </c>
      <c r="E379" s="380" t="s">
        <v>25</v>
      </c>
      <c r="F379" s="380" t="s">
        <v>17</v>
      </c>
      <c r="G379" s="381" t="s">
        <v>21</v>
      </c>
      <c r="H379" s="381" t="s">
        <v>864</v>
      </c>
    </row>
    <row r="380" spans="1:8">
      <c r="A380" s="380" t="s">
        <v>104</v>
      </c>
      <c r="B380" s="380" t="s">
        <v>105</v>
      </c>
      <c r="C380" s="401" t="s">
        <v>78</v>
      </c>
      <c r="D380" s="402" t="s">
        <v>555</v>
      </c>
      <c r="E380" s="380" t="s">
        <v>79</v>
      </c>
      <c r="F380" s="380" t="s">
        <v>17</v>
      </c>
      <c r="G380" s="381" t="s">
        <v>18</v>
      </c>
      <c r="H380" s="381" t="s">
        <v>18</v>
      </c>
    </row>
    <row r="381" spans="1:8">
      <c r="A381" s="380" t="s">
        <v>104</v>
      </c>
      <c r="B381" s="380" t="s">
        <v>105</v>
      </c>
      <c r="C381" s="401" t="s">
        <v>80</v>
      </c>
      <c r="D381" s="402" t="s">
        <v>556</v>
      </c>
      <c r="E381" s="380" t="s">
        <v>81</v>
      </c>
      <c r="F381" s="380" t="s">
        <v>17</v>
      </c>
      <c r="G381" s="381" t="s">
        <v>999</v>
      </c>
      <c r="H381" s="381" t="s">
        <v>999</v>
      </c>
    </row>
    <row r="382" spans="1:8">
      <c r="A382" s="380" t="s">
        <v>104</v>
      </c>
      <c r="B382" s="380" t="s">
        <v>105</v>
      </c>
      <c r="C382" s="401" t="s">
        <v>84</v>
      </c>
      <c r="D382" s="402" t="s">
        <v>557</v>
      </c>
      <c r="E382" s="380" t="s">
        <v>85</v>
      </c>
      <c r="F382" s="380" t="s">
        <v>17</v>
      </c>
      <c r="G382" s="381" t="s">
        <v>18</v>
      </c>
      <c r="H382" s="381" t="s">
        <v>18</v>
      </c>
    </row>
    <row r="383" spans="1:8">
      <c r="A383" s="380" t="s">
        <v>104</v>
      </c>
      <c r="B383" s="380" t="s">
        <v>105</v>
      </c>
      <c r="C383" s="401" t="s">
        <v>92</v>
      </c>
      <c r="D383" s="402" t="s">
        <v>558</v>
      </c>
      <c r="E383" s="380" t="s">
        <v>93</v>
      </c>
      <c r="F383" s="380" t="s">
        <v>17</v>
      </c>
      <c r="G383" s="381" t="s">
        <v>999</v>
      </c>
      <c r="H383" s="381" t="s">
        <v>999</v>
      </c>
    </row>
    <row r="384" spans="1:8">
      <c r="A384" s="380" t="s">
        <v>104</v>
      </c>
      <c r="B384" s="380" t="s">
        <v>105</v>
      </c>
      <c r="C384" s="401" t="s">
        <v>32</v>
      </c>
      <c r="D384" s="402" t="s">
        <v>559</v>
      </c>
      <c r="E384" s="380" t="s">
        <v>33</v>
      </c>
      <c r="F384" s="380" t="s">
        <v>17</v>
      </c>
      <c r="G384" s="381" t="s">
        <v>999</v>
      </c>
      <c r="H384" s="381" t="s">
        <v>999</v>
      </c>
    </row>
    <row r="385" spans="1:8">
      <c r="A385" s="380" t="s">
        <v>104</v>
      </c>
      <c r="B385" s="380" t="s">
        <v>105</v>
      </c>
      <c r="C385" s="401" t="s">
        <v>63</v>
      </c>
      <c r="D385" s="402" t="s">
        <v>560</v>
      </c>
      <c r="E385" s="380" t="s">
        <v>140</v>
      </c>
      <c r="F385" s="380" t="s">
        <v>17</v>
      </c>
      <c r="G385" s="381" t="s">
        <v>999</v>
      </c>
      <c r="H385" s="381" t="s">
        <v>999</v>
      </c>
    </row>
    <row r="386" spans="1:8">
      <c r="A386" s="380" t="s">
        <v>104</v>
      </c>
      <c r="B386" s="380" t="s">
        <v>105</v>
      </c>
      <c r="C386" s="401" t="s">
        <v>146</v>
      </c>
      <c r="D386" s="402" t="s">
        <v>561</v>
      </c>
      <c r="E386" s="380" t="s">
        <v>147</v>
      </c>
      <c r="F386" s="380" t="s">
        <v>17</v>
      </c>
      <c r="G386" s="381" t="s">
        <v>1021</v>
      </c>
      <c r="H386" s="381" t="s">
        <v>1021</v>
      </c>
    </row>
    <row r="387" spans="1:8" customFormat="1" ht="15">
      <c r="A387" s="356" t="s">
        <v>104</v>
      </c>
      <c r="B387" s="356" t="s">
        <v>105</v>
      </c>
      <c r="C387" s="356" t="s">
        <v>149</v>
      </c>
      <c r="D387" s="357" t="s">
        <v>562</v>
      </c>
      <c r="E387" s="356" t="s">
        <v>150</v>
      </c>
      <c r="F387" s="356" t="s">
        <v>73</v>
      </c>
      <c r="G387" s="358" t="s">
        <v>997</v>
      </c>
      <c r="H387" s="358" t="s">
        <v>998</v>
      </c>
    </row>
    <row r="388" spans="1:8">
      <c r="A388" s="380" t="s">
        <v>104</v>
      </c>
      <c r="B388" s="380" t="s">
        <v>105</v>
      </c>
      <c r="C388" s="401" t="s">
        <v>180</v>
      </c>
      <c r="D388" s="402" t="s">
        <v>563</v>
      </c>
      <c r="E388" s="380" t="s">
        <v>181</v>
      </c>
      <c r="F388" s="380" t="s">
        <v>17</v>
      </c>
      <c r="G388" s="381" t="s">
        <v>1021</v>
      </c>
      <c r="H388" s="381" t="s">
        <v>1021</v>
      </c>
    </row>
    <row r="389" spans="1:8">
      <c r="A389" s="380" t="s">
        <v>104</v>
      </c>
      <c r="B389" s="380" t="s">
        <v>105</v>
      </c>
      <c r="C389" s="401" t="s">
        <v>183</v>
      </c>
      <c r="D389" s="402" t="s">
        <v>564</v>
      </c>
      <c r="E389" s="380" t="s">
        <v>184</v>
      </c>
      <c r="F389" s="380" t="s">
        <v>17</v>
      </c>
      <c r="G389" s="381" t="s">
        <v>18</v>
      </c>
      <c r="H389" s="381" t="s">
        <v>18</v>
      </c>
    </row>
    <row r="390" spans="1:8">
      <c r="A390" s="380" t="s">
        <v>104</v>
      </c>
      <c r="B390" s="380" t="s">
        <v>105</v>
      </c>
      <c r="C390" s="401" t="s">
        <v>191</v>
      </c>
      <c r="D390" s="402" t="s">
        <v>565</v>
      </c>
      <c r="E390" s="380" t="s">
        <v>192</v>
      </c>
      <c r="F390" s="380" t="s">
        <v>17</v>
      </c>
      <c r="G390" s="381" t="s">
        <v>18</v>
      </c>
      <c r="H390" s="381" t="s">
        <v>18</v>
      </c>
    </row>
    <row r="391" spans="1:8">
      <c r="A391" s="380" t="s">
        <v>104</v>
      </c>
      <c r="B391" s="380" t="s">
        <v>105</v>
      </c>
      <c r="C391" s="401" t="s">
        <v>189</v>
      </c>
      <c r="D391" s="402" t="s">
        <v>566</v>
      </c>
      <c r="E391" s="380" t="s">
        <v>190</v>
      </c>
      <c r="F391" s="380" t="s">
        <v>17</v>
      </c>
      <c r="G391" s="381" t="s">
        <v>18</v>
      </c>
      <c r="H391" s="381" t="s">
        <v>18</v>
      </c>
    </row>
    <row r="392" spans="1:8" customFormat="1" ht="15">
      <c r="A392" s="356" t="s">
        <v>715</v>
      </c>
      <c r="B392" s="356" t="s">
        <v>716</v>
      </c>
      <c r="C392" s="356" t="s">
        <v>28</v>
      </c>
      <c r="D392" s="357" t="s">
        <v>718</v>
      </c>
      <c r="E392" s="356" t="s">
        <v>29</v>
      </c>
      <c r="F392" s="356" t="s">
        <v>30</v>
      </c>
      <c r="G392" s="358" t="s">
        <v>172</v>
      </c>
      <c r="H392" s="358" t="s">
        <v>896</v>
      </c>
    </row>
    <row r="393" spans="1:8" customFormat="1" ht="15">
      <c r="A393" s="356" t="s">
        <v>715</v>
      </c>
      <c r="B393" s="356" t="s">
        <v>716</v>
      </c>
      <c r="C393" s="356" t="s">
        <v>88</v>
      </c>
      <c r="D393" s="357" t="s">
        <v>719</v>
      </c>
      <c r="E393" s="356" t="s">
        <v>89</v>
      </c>
      <c r="F393" s="356" t="s">
        <v>31</v>
      </c>
      <c r="G393" s="358" t="s">
        <v>172</v>
      </c>
      <c r="H393" s="358" t="s">
        <v>896</v>
      </c>
    </row>
    <row r="394" spans="1:8" customFormat="1" ht="15">
      <c r="A394" s="356" t="s">
        <v>715</v>
      </c>
      <c r="B394" s="356" t="s">
        <v>716</v>
      </c>
      <c r="C394" s="356" t="s">
        <v>144</v>
      </c>
      <c r="D394" s="357" t="s">
        <v>720</v>
      </c>
      <c r="E394" s="356" t="s">
        <v>145</v>
      </c>
      <c r="F394" s="356" t="s">
        <v>31</v>
      </c>
      <c r="G394" s="358" t="s">
        <v>172</v>
      </c>
      <c r="H394" s="358" t="s">
        <v>896</v>
      </c>
    </row>
    <row r="395" spans="1:8" customFormat="1" ht="15">
      <c r="A395" s="356" t="s">
        <v>715</v>
      </c>
      <c r="B395" s="356" t="s">
        <v>716</v>
      </c>
      <c r="C395" s="356" t="s">
        <v>167</v>
      </c>
      <c r="D395" s="357" t="s">
        <v>721</v>
      </c>
      <c r="E395" s="356" t="s">
        <v>168</v>
      </c>
      <c r="F395" s="356" t="s">
        <v>169</v>
      </c>
      <c r="G395" s="358" t="s">
        <v>173</v>
      </c>
      <c r="H395" s="358" t="s">
        <v>896</v>
      </c>
    </row>
    <row r="396" spans="1:8" customFormat="1" ht="15">
      <c r="A396" s="356" t="s">
        <v>715</v>
      </c>
      <c r="B396" s="356" t="s">
        <v>716</v>
      </c>
      <c r="C396" s="356" t="s">
        <v>34</v>
      </c>
      <c r="D396" s="357" t="s">
        <v>722</v>
      </c>
      <c r="E396" s="356" t="s">
        <v>35</v>
      </c>
      <c r="F396" s="356" t="s">
        <v>36</v>
      </c>
      <c r="G396" s="358" t="s">
        <v>996</v>
      </c>
      <c r="H396" s="358" t="s">
        <v>895</v>
      </c>
    </row>
    <row r="397" spans="1:8" customFormat="1" ht="15">
      <c r="A397" s="356" t="s">
        <v>715</v>
      </c>
      <c r="B397" s="356" t="s">
        <v>716</v>
      </c>
      <c r="C397" s="356" t="s">
        <v>37</v>
      </c>
      <c r="D397" s="357" t="s">
        <v>723</v>
      </c>
      <c r="E397" s="356" t="s">
        <v>38</v>
      </c>
      <c r="F397" s="356" t="s">
        <v>36</v>
      </c>
      <c r="G397" s="358" t="s">
        <v>996</v>
      </c>
      <c r="H397" s="358" t="s">
        <v>895</v>
      </c>
    </row>
    <row r="398" spans="1:8" customFormat="1" ht="15">
      <c r="A398" s="356" t="s">
        <v>715</v>
      </c>
      <c r="B398" s="356" t="s">
        <v>716</v>
      </c>
      <c r="C398" s="356" t="s">
        <v>41</v>
      </c>
      <c r="D398" s="357" t="s">
        <v>724</v>
      </c>
      <c r="E398" s="356" t="s">
        <v>42</v>
      </c>
      <c r="F398" s="356" t="s">
        <v>36</v>
      </c>
      <c r="G398" s="358" t="s">
        <v>996</v>
      </c>
      <c r="H398" s="358" t="s">
        <v>895</v>
      </c>
    </row>
    <row r="399" spans="1:8" customFormat="1" ht="15">
      <c r="A399" s="356" t="s">
        <v>715</v>
      </c>
      <c r="B399" s="356" t="s">
        <v>716</v>
      </c>
      <c r="C399" s="356" t="s">
        <v>43</v>
      </c>
      <c r="D399" s="357" t="s">
        <v>725</v>
      </c>
      <c r="E399" s="356" t="s">
        <v>44</v>
      </c>
      <c r="F399" s="356" t="s">
        <v>36</v>
      </c>
      <c r="G399" s="358" t="s">
        <v>996</v>
      </c>
      <c r="H399" s="358" t="s">
        <v>895</v>
      </c>
    </row>
    <row r="400" spans="1:8" customFormat="1" ht="15">
      <c r="A400" s="356" t="s">
        <v>715</v>
      </c>
      <c r="B400" s="356" t="s">
        <v>716</v>
      </c>
      <c r="C400" s="356" t="s">
        <v>45</v>
      </c>
      <c r="D400" s="357" t="s">
        <v>726</v>
      </c>
      <c r="E400" s="356" t="s">
        <v>46</v>
      </c>
      <c r="F400" s="356" t="s">
        <v>36</v>
      </c>
      <c r="G400" s="358" t="s">
        <v>996</v>
      </c>
      <c r="H400" s="358" t="s">
        <v>895</v>
      </c>
    </row>
    <row r="401" spans="1:8" customFormat="1" ht="15">
      <c r="A401" s="356" t="s">
        <v>715</v>
      </c>
      <c r="B401" s="356" t="s">
        <v>716</v>
      </c>
      <c r="C401" s="356" t="s">
        <v>47</v>
      </c>
      <c r="D401" s="357" t="s">
        <v>727</v>
      </c>
      <c r="E401" s="356" t="s">
        <v>48</v>
      </c>
      <c r="F401" s="356" t="s">
        <v>36</v>
      </c>
      <c r="G401" s="358" t="s">
        <v>996</v>
      </c>
      <c r="H401" s="358" t="s">
        <v>895</v>
      </c>
    </row>
    <row r="402" spans="1:8" customFormat="1" ht="15">
      <c r="A402" s="356" t="s">
        <v>715</v>
      </c>
      <c r="B402" s="356" t="s">
        <v>716</v>
      </c>
      <c r="C402" s="356" t="s">
        <v>49</v>
      </c>
      <c r="D402" s="357" t="s">
        <v>728</v>
      </c>
      <c r="E402" s="356" t="s">
        <v>50</v>
      </c>
      <c r="F402" s="356" t="s">
        <v>36</v>
      </c>
      <c r="G402" s="358" t="s">
        <v>996</v>
      </c>
      <c r="H402" s="358" t="s">
        <v>895</v>
      </c>
    </row>
    <row r="403" spans="1:8">
      <c r="A403" s="380" t="s">
        <v>715</v>
      </c>
      <c r="B403" s="380" t="s">
        <v>716</v>
      </c>
      <c r="C403" s="401" t="s">
        <v>51</v>
      </c>
      <c r="D403" s="402" t="s">
        <v>729</v>
      </c>
      <c r="E403" s="380" t="s">
        <v>52</v>
      </c>
      <c r="F403" s="380" t="s">
        <v>17</v>
      </c>
      <c r="G403" s="381" t="s">
        <v>21</v>
      </c>
      <c r="H403" s="381" t="s">
        <v>864</v>
      </c>
    </row>
    <row r="404" spans="1:8">
      <c r="A404" s="380" t="s">
        <v>715</v>
      </c>
      <c r="B404" s="380" t="s">
        <v>716</v>
      </c>
      <c r="C404" s="401" t="s">
        <v>53</v>
      </c>
      <c r="D404" s="402" t="s">
        <v>730</v>
      </c>
      <c r="E404" s="380" t="s">
        <v>54</v>
      </c>
      <c r="F404" s="380" t="s">
        <v>17</v>
      </c>
      <c r="G404" s="381" t="s">
        <v>999</v>
      </c>
      <c r="H404" s="381" t="s">
        <v>999</v>
      </c>
    </row>
    <row r="405" spans="1:8">
      <c r="A405" s="380" t="s">
        <v>715</v>
      </c>
      <c r="B405" s="380" t="s">
        <v>716</v>
      </c>
      <c r="C405" s="401" t="s">
        <v>15</v>
      </c>
      <c r="D405" s="402" t="s">
        <v>731</v>
      </c>
      <c r="E405" s="380" t="s">
        <v>16</v>
      </c>
      <c r="F405" s="380" t="s">
        <v>17</v>
      </c>
      <c r="G405" s="381" t="s">
        <v>1021</v>
      </c>
      <c r="H405" s="381" t="s">
        <v>1021</v>
      </c>
    </row>
    <row r="406" spans="1:8">
      <c r="A406" s="380" t="s">
        <v>715</v>
      </c>
      <c r="B406" s="380" t="s">
        <v>716</v>
      </c>
      <c r="C406" s="401" t="s">
        <v>55</v>
      </c>
      <c r="D406" s="402" t="s">
        <v>732</v>
      </c>
      <c r="E406" s="380" t="s">
        <v>56</v>
      </c>
      <c r="F406" s="380" t="s">
        <v>17</v>
      </c>
      <c r="G406" s="381" t="s">
        <v>1021</v>
      </c>
      <c r="H406" s="381" t="s">
        <v>1021</v>
      </c>
    </row>
    <row r="407" spans="1:8">
      <c r="A407" s="380" t="s">
        <v>715</v>
      </c>
      <c r="B407" s="380" t="s">
        <v>716</v>
      </c>
      <c r="C407" s="401" t="s">
        <v>57</v>
      </c>
      <c r="D407" s="402" t="s">
        <v>772</v>
      </c>
      <c r="E407" s="380" t="s">
        <v>58</v>
      </c>
      <c r="F407" s="380" t="s">
        <v>17</v>
      </c>
      <c r="G407" s="381" t="s">
        <v>18</v>
      </c>
      <c r="H407" s="381" t="s">
        <v>18</v>
      </c>
    </row>
    <row r="408" spans="1:8">
      <c r="A408" s="380" t="s">
        <v>715</v>
      </c>
      <c r="B408" s="380" t="s">
        <v>716</v>
      </c>
      <c r="C408" s="401" t="s">
        <v>59</v>
      </c>
      <c r="D408" s="402" t="s">
        <v>733</v>
      </c>
      <c r="E408" s="380" t="s">
        <v>60</v>
      </c>
      <c r="F408" s="380" t="s">
        <v>17</v>
      </c>
      <c r="G408" s="381" t="s">
        <v>995</v>
      </c>
      <c r="H408" s="381" t="s">
        <v>864</v>
      </c>
    </row>
    <row r="409" spans="1:8">
      <c r="A409" s="380" t="s">
        <v>715</v>
      </c>
      <c r="B409" s="380" t="s">
        <v>716</v>
      </c>
      <c r="C409" s="401" t="s">
        <v>19</v>
      </c>
      <c r="D409" s="402" t="s">
        <v>734</v>
      </c>
      <c r="E409" s="380" t="s">
        <v>20</v>
      </c>
      <c r="F409" s="380" t="s">
        <v>17</v>
      </c>
      <c r="G409" s="381" t="s">
        <v>21</v>
      </c>
      <c r="H409" s="381" t="s">
        <v>864</v>
      </c>
    </row>
    <row r="410" spans="1:8">
      <c r="A410" s="380" t="s">
        <v>715</v>
      </c>
      <c r="B410" s="380" t="s">
        <v>716</v>
      </c>
      <c r="C410" s="401" t="s">
        <v>61</v>
      </c>
      <c r="D410" s="402" t="s">
        <v>735</v>
      </c>
      <c r="E410" s="380" t="s">
        <v>62</v>
      </c>
      <c r="F410" s="380" t="s">
        <v>17</v>
      </c>
      <c r="G410" s="381" t="s">
        <v>1021</v>
      </c>
      <c r="H410" s="381" t="s">
        <v>1021</v>
      </c>
    </row>
    <row r="411" spans="1:8">
      <c r="A411" s="380" t="s">
        <v>715</v>
      </c>
      <c r="B411" s="380" t="s">
        <v>716</v>
      </c>
      <c r="C411" s="401" t="s">
        <v>22</v>
      </c>
      <c r="D411" s="402" t="s">
        <v>736</v>
      </c>
      <c r="E411" s="380" t="s">
        <v>23</v>
      </c>
      <c r="F411" s="380" t="s">
        <v>17</v>
      </c>
      <c r="G411" s="381" t="s">
        <v>1021</v>
      </c>
      <c r="H411" s="381" t="s">
        <v>1021</v>
      </c>
    </row>
    <row r="412" spans="1:8">
      <c r="A412" s="380" t="s">
        <v>715</v>
      </c>
      <c r="B412" s="380" t="s">
        <v>716</v>
      </c>
      <c r="C412" s="401" t="s">
        <v>65</v>
      </c>
      <c r="D412" s="402" t="s">
        <v>737</v>
      </c>
      <c r="E412" s="380" t="s">
        <v>66</v>
      </c>
      <c r="F412" s="380" t="s">
        <v>17</v>
      </c>
      <c r="G412" s="381" t="s">
        <v>18</v>
      </c>
      <c r="H412" s="381" t="s">
        <v>18</v>
      </c>
    </row>
    <row r="413" spans="1:8">
      <c r="A413" s="380" t="s">
        <v>715</v>
      </c>
      <c r="B413" s="380" t="s">
        <v>716</v>
      </c>
      <c r="C413" s="401" t="s">
        <v>67</v>
      </c>
      <c r="D413" s="402" t="s">
        <v>738</v>
      </c>
      <c r="E413" s="380" t="s">
        <v>68</v>
      </c>
      <c r="F413" s="380" t="s">
        <v>17</v>
      </c>
      <c r="G413" s="381" t="s">
        <v>21</v>
      </c>
      <c r="H413" s="381" t="s">
        <v>864</v>
      </c>
    </row>
    <row r="414" spans="1:8" customFormat="1" ht="15">
      <c r="A414" s="356" t="s">
        <v>715</v>
      </c>
      <c r="B414" s="356" t="s">
        <v>716</v>
      </c>
      <c r="C414" s="356" t="s">
        <v>71</v>
      </c>
      <c r="D414" s="357" t="s">
        <v>739</v>
      </c>
      <c r="E414" s="356" t="s">
        <v>72</v>
      </c>
      <c r="F414" s="356" t="s">
        <v>73</v>
      </c>
      <c r="G414" s="358" t="s">
        <v>997</v>
      </c>
      <c r="H414" s="358" t="s">
        <v>998</v>
      </c>
    </row>
    <row r="415" spans="1:8">
      <c r="A415" s="380" t="s">
        <v>715</v>
      </c>
      <c r="B415" s="380" t="s">
        <v>716</v>
      </c>
      <c r="C415" s="401" t="s">
        <v>24</v>
      </c>
      <c r="D415" s="402" t="s">
        <v>740</v>
      </c>
      <c r="E415" s="380" t="s">
        <v>25</v>
      </c>
      <c r="F415" s="380" t="s">
        <v>17</v>
      </c>
      <c r="G415" s="381" t="s">
        <v>21</v>
      </c>
      <c r="H415" s="381" t="s">
        <v>864</v>
      </c>
    </row>
    <row r="416" spans="1:8">
      <c r="A416" s="380" t="s">
        <v>715</v>
      </c>
      <c r="B416" s="380" t="s">
        <v>716</v>
      </c>
      <c r="C416" s="401" t="s">
        <v>78</v>
      </c>
      <c r="D416" s="402" t="s">
        <v>741</v>
      </c>
      <c r="E416" s="380" t="s">
        <v>79</v>
      </c>
      <c r="F416" s="380" t="s">
        <v>17</v>
      </c>
      <c r="G416" s="381" t="s">
        <v>18</v>
      </c>
      <c r="H416" s="381" t="s">
        <v>18</v>
      </c>
    </row>
    <row r="417" spans="1:8">
      <c r="A417" s="380" t="s">
        <v>715</v>
      </c>
      <c r="B417" s="380" t="s">
        <v>716</v>
      </c>
      <c r="C417" s="401" t="s">
        <v>80</v>
      </c>
      <c r="D417" s="402" t="s">
        <v>742</v>
      </c>
      <c r="E417" s="380" t="s">
        <v>81</v>
      </c>
      <c r="F417" s="380" t="s">
        <v>17</v>
      </c>
      <c r="G417" s="381" t="s">
        <v>999</v>
      </c>
      <c r="H417" s="381" t="s">
        <v>999</v>
      </c>
    </row>
    <row r="418" spans="1:8">
      <c r="A418" s="380" t="s">
        <v>715</v>
      </c>
      <c r="B418" s="380" t="s">
        <v>716</v>
      </c>
      <c r="C418" s="401" t="s">
        <v>84</v>
      </c>
      <c r="D418" s="402" t="s">
        <v>743</v>
      </c>
      <c r="E418" s="380" t="s">
        <v>85</v>
      </c>
      <c r="F418" s="380" t="s">
        <v>17</v>
      </c>
      <c r="G418" s="381" t="s">
        <v>18</v>
      </c>
      <c r="H418" s="381" t="s">
        <v>18</v>
      </c>
    </row>
    <row r="419" spans="1:8">
      <c r="A419" s="380" t="s">
        <v>715</v>
      </c>
      <c r="B419" s="380" t="s">
        <v>716</v>
      </c>
      <c r="C419" s="401" t="s">
        <v>92</v>
      </c>
      <c r="D419" s="402" t="s">
        <v>744</v>
      </c>
      <c r="E419" s="380" t="s">
        <v>93</v>
      </c>
      <c r="F419" s="380" t="s">
        <v>17</v>
      </c>
      <c r="G419" s="381" t="s">
        <v>999</v>
      </c>
      <c r="H419" s="381" t="s">
        <v>999</v>
      </c>
    </row>
    <row r="420" spans="1:8">
      <c r="A420" s="380" t="s">
        <v>715</v>
      </c>
      <c r="B420" s="380" t="s">
        <v>716</v>
      </c>
      <c r="C420" s="401" t="s">
        <v>32</v>
      </c>
      <c r="D420" s="402" t="s">
        <v>745</v>
      </c>
      <c r="E420" s="380" t="s">
        <v>33</v>
      </c>
      <c r="F420" s="380" t="s">
        <v>17</v>
      </c>
      <c r="G420" s="381" t="s">
        <v>999</v>
      </c>
      <c r="H420" s="381" t="s">
        <v>999</v>
      </c>
    </row>
    <row r="421" spans="1:8">
      <c r="A421" s="380" t="s">
        <v>715</v>
      </c>
      <c r="B421" s="380" t="s">
        <v>716</v>
      </c>
      <c r="C421" s="401" t="s">
        <v>63</v>
      </c>
      <c r="D421" s="402" t="s">
        <v>746</v>
      </c>
      <c r="E421" s="380" t="s">
        <v>140</v>
      </c>
      <c r="F421" s="380" t="s">
        <v>17</v>
      </c>
      <c r="G421" s="381" t="s">
        <v>999</v>
      </c>
      <c r="H421" s="381" t="s">
        <v>999</v>
      </c>
    </row>
    <row r="422" spans="1:8">
      <c r="A422" s="380" t="s">
        <v>715</v>
      </c>
      <c r="B422" s="380" t="s">
        <v>716</v>
      </c>
      <c r="C422" s="401" t="s">
        <v>146</v>
      </c>
      <c r="D422" s="402" t="s">
        <v>747</v>
      </c>
      <c r="E422" s="380" t="s">
        <v>147</v>
      </c>
      <c r="F422" s="380" t="s">
        <v>17</v>
      </c>
      <c r="G422" s="381" t="s">
        <v>1021</v>
      </c>
      <c r="H422" s="381" t="s">
        <v>1021</v>
      </c>
    </row>
    <row r="423" spans="1:8" customFormat="1" ht="15">
      <c r="A423" s="356" t="s">
        <v>715</v>
      </c>
      <c r="B423" s="356" t="s">
        <v>716</v>
      </c>
      <c r="C423" s="356" t="s">
        <v>149</v>
      </c>
      <c r="D423" s="357" t="s">
        <v>748</v>
      </c>
      <c r="E423" s="356" t="s">
        <v>150</v>
      </c>
      <c r="F423" s="356" t="s">
        <v>73</v>
      </c>
      <c r="G423" s="358" t="s">
        <v>997</v>
      </c>
      <c r="H423" s="358" t="s">
        <v>998</v>
      </c>
    </row>
    <row r="424" spans="1:8">
      <c r="A424" s="380" t="s">
        <v>715</v>
      </c>
      <c r="B424" s="380" t="s">
        <v>716</v>
      </c>
      <c r="C424" s="401" t="s">
        <v>180</v>
      </c>
      <c r="D424" s="402" t="s">
        <v>749</v>
      </c>
      <c r="E424" s="380" t="s">
        <v>181</v>
      </c>
      <c r="F424" s="380" t="s">
        <v>17</v>
      </c>
      <c r="G424" s="381" t="s">
        <v>1021</v>
      </c>
      <c r="H424" s="381" t="s">
        <v>1021</v>
      </c>
    </row>
    <row r="425" spans="1:8">
      <c r="A425" s="380" t="s">
        <v>715</v>
      </c>
      <c r="B425" s="380" t="s">
        <v>716</v>
      </c>
      <c r="C425" s="401" t="s">
        <v>183</v>
      </c>
      <c r="D425" s="402" t="s">
        <v>750</v>
      </c>
      <c r="E425" s="380" t="s">
        <v>184</v>
      </c>
      <c r="F425" s="380" t="s">
        <v>17</v>
      </c>
      <c r="G425" s="381" t="s">
        <v>18</v>
      </c>
      <c r="H425" s="381" t="s">
        <v>18</v>
      </c>
    </row>
    <row r="426" spans="1:8">
      <c r="A426" s="380" t="s">
        <v>715</v>
      </c>
      <c r="B426" s="380" t="s">
        <v>716</v>
      </c>
      <c r="C426" s="401" t="s">
        <v>191</v>
      </c>
      <c r="D426" s="402" t="s">
        <v>751</v>
      </c>
      <c r="E426" s="380" t="s">
        <v>192</v>
      </c>
      <c r="F426" s="380" t="s">
        <v>17</v>
      </c>
      <c r="G426" s="381" t="s">
        <v>18</v>
      </c>
      <c r="H426" s="381" t="s">
        <v>18</v>
      </c>
    </row>
    <row r="427" spans="1:8">
      <c r="A427" s="380" t="s">
        <v>715</v>
      </c>
      <c r="B427" s="380" t="s">
        <v>716</v>
      </c>
      <c r="C427" s="401" t="s">
        <v>189</v>
      </c>
      <c r="D427" s="402" t="s">
        <v>752</v>
      </c>
      <c r="E427" s="380" t="s">
        <v>190</v>
      </c>
      <c r="F427" s="380" t="s">
        <v>17</v>
      </c>
      <c r="G427" s="381" t="s">
        <v>18</v>
      </c>
      <c r="H427" s="381" t="s">
        <v>18</v>
      </c>
    </row>
    <row r="428" spans="1:8" customFormat="1" ht="15">
      <c r="A428" s="356" t="s">
        <v>106</v>
      </c>
      <c r="B428" s="356" t="s">
        <v>107</v>
      </c>
      <c r="C428" s="356" t="s">
        <v>28</v>
      </c>
      <c r="D428" s="357" t="s">
        <v>567</v>
      </c>
      <c r="E428" s="356" t="s">
        <v>29</v>
      </c>
      <c r="F428" s="356" t="s">
        <v>30</v>
      </c>
      <c r="G428" s="358" t="s">
        <v>172</v>
      </c>
      <c r="H428" s="358" t="s">
        <v>896</v>
      </c>
    </row>
    <row r="429" spans="1:8" customFormat="1" ht="15">
      <c r="A429" s="356" t="s">
        <v>106</v>
      </c>
      <c r="B429" s="356" t="s">
        <v>107</v>
      </c>
      <c r="C429" s="356" t="s">
        <v>88</v>
      </c>
      <c r="D429" s="357" t="s">
        <v>568</v>
      </c>
      <c r="E429" s="356" t="s">
        <v>89</v>
      </c>
      <c r="F429" s="356" t="s">
        <v>31</v>
      </c>
      <c r="G429" s="358" t="s">
        <v>172</v>
      </c>
      <c r="H429" s="358" t="s">
        <v>896</v>
      </c>
    </row>
    <row r="430" spans="1:8" customFormat="1" ht="15">
      <c r="A430" s="356" t="s">
        <v>106</v>
      </c>
      <c r="B430" s="356" t="s">
        <v>107</v>
      </c>
      <c r="C430" s="356" t="s">
        <v>144</v>
      </c>
      <c r="D430" s="357" t="s">
        <v>569</v>
      </c>
      <c r="E430" s="356" t="s">
        <v>145</v>
      </c>
      <c r="F430" s="356" t="s">
        <v>31</v>
      </c>
      <c r="G430" s="358" t="s">
        <v>172</v>
      </c>
      <c r="H430" s="358" t="s">
        <v>896</v>
      </c>
    </row>
    <row r="431" spans="1:8" customFormat="1" ht="15">
      <c r="A431" s="356" t="s">
        <v>106</v>
      </c>
      <c r="B431" s="356" t="s">
        <v>107</v>
      </c>
      <c r="C431" s="356" t="s">
        <v>167</v>
      </c>
      <c r="D431" s="357" t="s">
        <v>570</v>
      </c>
      <c r="E431" s="356" t="s">
        <v>168</v>
      </c>
      <c r="F431" s="356" t="s">
        <v>169</v>
      </c>
      <c r="G431" s="358" t="s">
        <v>173</v>
      </c>
      <c r="H431" s="358" t="s">
        <v>896</v>
      </c>
    </row>
    <row r="432" spans="1:8" customFormat="1" ht="15">
      <c r="A432" s="356" t="s">
        <v>106</v>
      </c>
      <c r="B432" s="356" t="s">
        <v>107</v>
      </c>
      <c r="C432" s="356" t="s">
        <v>198</v>
      </c>
      <c r="D432" s="357" t="s">
        <v>758</v>
      </c>
      <c r="E432" s="356" t="s">
        <v>199</v>
      </c>
      <c r="F432" s="356" t="s">
        <v>30</v>
      </c>
      <c r="G432" s="358" t="s">
        <v>172</v>
      </c>
      <c r="H432" s="358" t="s">
        <v>896</v>
      </c>
    </row>
    <row r="433" spans="1:8" customFormat="1" ht="15">
      <c r="A433" s="356" t="s">
        <v>106</v>
      </c>
      <c r="B433" s="356" t="s">
        <v>107</v>
      </c>
      <c r="C433" s="356" t="s">
        <v>34</v>
      </c>
      <c r="D433" s="357" t="s">
        <v>571</v>
      </c>
      <c r="E433" s="356" t="s">
        <v>35</v>
      </c>
      <c r="F433" s="356" t="s">
        <v>36</v>
      </c>
      <c r="G433" s="358" t="s">
        <v>996</v>
      </c>
      <c r="H433" s="358" t="s">
        <v>895</v>
      </c>
    </row>
    <row r="434" spans="1:8" customFormat="1" ht="15">
      <c r="A434" s="356" t="s">
        <v>106</v>
      </c>
      <c r="B434" s="356" t="s">
        <v>107</v>
      </c>
      <c r="C434" s="356" t="s">
        <v>37</v>
      </c>
      <c r="D434" s="357" t="s">
        <v>572</v>
      </c>
      <c r="E434" s="356" t="s">
        <v>38</v>
      </c>
      <c r="F434" s="356" t="s">
        <v>36</v>
      </c>
      <c r="G434" s="358" t="s">
        <v>996</v>
      </c>
      <c r="H434" s="358" t="s">
        <v>895</v>
      </c>
    </row>
    <row r="435" spans="1:8" customFormat="1" ht="15">
      <c r="A435" s="356" t="s">
        <v>106</v>
      </c>
      <c r="B435" s="356" t="s">
        <v>107</v>
      </c>
      <c r="C435" s="356" t="s">
        <v>41</v>
      </c>
      <c r="D435" s="357" t="s">
        <v>573</v>
      </c>
      <c r="E435" s="356" t="s">
        <v>42</v>
      </c>
      <c r="F435" s="356" t="s">
        <v>36</v>
      </c>
      <c r="G435" s="358" t="s">
        <v>996</v>
      </c>
      <c r="H435" s="358" t="s">
        <v>895</v>
      </c>
    </row>
    <row r="436" spans="1:8" customFormat="1" ht="15">
      <c r="A436" s="356" t="s">
        <v>106</v>
      </c>
      <c r="B436" s="356" t="s">
        <v>107</v>
      </c>
      <c r="C436" s="356" t="s">
        <v>43</v>
      </c>
      <c r="D436" s="357" t="s">
        <v>574</v>
      </c>
      <c r="E436" s="356" t="s">
        <v>44</v>
      </c>
      <c r="F436" s="356" t="s">
        <v>36</v>
      </c>
      <c r="G436" s="358" t="s">
        <v>996</v>
      </c>
      <c r="H436" s="358" t="s">
        <v>895</v>
      </c>
    </row>
    <row r="437" spans="1:8" customFormat="1" ht="15">
      <c r="A437" s="356" t="s">
        <v>106</v>
      </c>
      <c r="B437" s="356" t="s">
        <v>107</v>
      </c>
      <c r="C437" s="356" t="s">
        <v>45</v>
      </c>
      <c r="D437" s="357" t="s">
        <v>575</v>
      </c>
      <c r="E437" s="356" t="s">
        <v>46</v>
      </c>
      <c r="F437" s="356" t="s">
        <v>36</v>
      </c>
      <c r="G437" s="358" t="s">
        <v>996</v>
      </c>
      <c r="H437" s="358" t="s">
        <v>895</v>
      </c>
    </row>
    <row r="438" spans="1:8" customFormat="1" ht="15">
      <c r="A438" s="359" t="s">
        <v>106</v>
      </c>
      <c r="B438" s="360" t="s">
        <v>107</v>
      </c>
      <c r="C438" s="356" t="s">
        <v>47</v>
      </c>
      <c r="D438" s="357" t="s">
        <v>576</v>
      </c>
      <c r="E438" s="356" t="s">
        <v>48</v>
      </c>
      <c r="F438" s="356" t="s">
        <v>36</v>
      </c>
      <c r="G438" s="358" t="s">
        <v>996</v>
      </c>
      <c r="H438" s="358" t="s">
        <v>895</v>
      </c>
    </row>
    <row r="439" spans="1:8" customFormat="1" ht="15">
      <c r="A439" s="359" t="s">
        <v>106</v>
      </c>
      <c r="B439" s="360" t="s">
        <v>107</v>
      </c>
      <c r="C439" s="356" t="s">
        <v>49</v>
      </c>
      <c r="D439" s="357" t="s">
        <v>577</v>
      </c>
      <c r="E439" s="356" t="s">
        <v>50</v>
      </c>
      <c r="F439" s="356" t="s">
        <v>36</v>
      </c>
      <c r="G439" s="358" t="s">
        <v>996</v>
      </c>
      <c r="H439" s="358" t="s">
        <v>895</v>
      </c>
    </row>
    <row r="440" spans="1:8">
      <c r="A440" s="385" t="s">
        <v>106</v>
      </c>
      <c r="B440" s="386" t="s">
        <v>107</v>
      </c>
      <c r="C440" s="401" t="s">
        <v>51</v>
      </c>
      <c r="D440" s="402" t="s">
        <v>578</v>
      </c>
      <c r="E440" s="380" t="s">
        <v>52</v>
      </c>
      <c r="F440" s="380" t="s">
        <v>17</v>
      </c>
      <c r="G440" s="381" t="s">
        <v>995</v>
      </c>
      <c r="H440" s="381" t="s">
        <v>864</v>
      </c>
    </row>
    <row r="441" spans="1:8">
      <c r="A441" s="380" t="s">
        <v>106</v>
      </c>
      <c r="B441" s="380" t="s">
        <v>107</v>
      </c>
      <c r="C441" s="401" t="s">
        <v>53</v>
      </c>
      <c r="D441" s="402" t="s">
        <v>579</v>
      </c>
      <c r="E441" s="380" t="s">
        <v>54</v>
      </c>
      <c r="F441" s="380" t="s">
        <v>17</v>
      </c>
      <c r="G441" s="381" t="s">
        <v>999</v>
      </c>
      <c r="H441" s="381" t="s">
        <v>999</v>
      </c>
    </row>
    <row r="442" spans="1:8">
      <c r="A442" s="380" t="s">
        <v>106</v>
      </c>
      <c r="B442" s="380" t="s">
        <v>107</v>
      </c>
      <c r="C442" s="401" t="s">
        <v>15</v>
      </c>
      <c r="D442" s="402" t="s">
        <v>580</v>
      </c>
      <c r="E442" s="380" t="s">
        <v>16</v>
      </c>
      <c r="F442" s="380" t="s">
        <v>17</v>
      </c>
      <c r="G442" s="381" t="s">
        <v>1021</v>
      </c>
      <c r="H442" s="381" t="s">
        <v>1021</v>
      </c>
    </row>
    <row r="443" spans="1:8">
      <c r="A443" s="380" t="s">
        <v>106</v>
      </c>
      <c r="B443" s="380" t="s">
        <v>107</v>
      </c>
      <c r="C443" s="401" t="s">
        <v>55</v>
      </c>
      <c r="D443" s="402" t="s">
        <v>581</v>
      </c>
      <c r="E443" s="380" t="s">
        <v>56</v>
      </c>
      <c r="F443" s="380" t="s">
        <v>17</v>
      </c>
      <c r="G443" s="381" t="s">
        <v>1021</v>
      </c>
      <c r="H443" s="381" t="s">
        <v>1021</v>
      </c>
    </row>
    <row r="444" spans="1:8">
      <c r="A444" s="380" t="s">
        <v>106</v>
      </c>
      <c r="B444" s="380" t="s">
        <v>107</v>
      </c>
      <c r="C444" s="401" t="s">
        <v>57</v>
      </c>
      <c r="D444" s="402" t="s">
        <v>582</v>
      </c>
      <c r="E444" s="380" t="s">
        <v>58</v>
      </c>
      <c r="F444" s="380" t="s">
        <v>17</v>
      </c>
      <c r="G444" s="381" t="s">
        <v>18</v>
      </c>
      <c r="H444" s="381" t="s">
        <v>18</v>
      </c>
    </row>
    <row r="445" spans="1:8">
      <c r="A445" s="380" t="s">
        <v>106</v>
      </c>
      <c r="B445" s="380" t="s">
        <v>107</v>
      </c>
      <c r="C445" s="401" t="s">
        <v>59</v>
      </c>
      <c r="D445" s="402" t="s">
        <v>583</v>
      </c>
      <c r="E445" s="380" t="s">
        <v>60</v>
      </c>
      <c r="F445" s="380" t="s">
        <v>17</v>
      </c>
      <c r="G445" s="381" t="s">
        <v>995</v>
      </c>
      <c r="H445" s="381" t="s">
        <v>864</v>
      </c>
    </row>
    <row r="446" spans="1:8">
      <c r="A446" s="380" t="s">
        <v>106</v>
      </c>
      <c r="B446" s="380" t="s">
        <v>107</v>
      </c>
      <c r="C446" s="401" t="s">
        <v>19</v>
      </c>
      <c r="D446" s="402" t="s">
        <v>584</v>
      </c>
      <c r="E446" s="380" t="s">
        <v>20</v>
      </c>
      <c r="F446" s="380" t="s">
        <v>17</v>
      </c>
      <c r="G446" s="381" t="s">
        <v>995</v>
      </c>
      <c r="H446" s="381" t="s">
        <v>864</v>
      </c>
    </row>
    <row r="447" spans="1:8">
      <c r="A447" s="380" t="s">
        <v>106</v>
      </c>
      <c r="B447" s="380" t="s">
        <v>107</v>
      </c>
      <c r="C447" s="401" t="s">
        <v>61</v>
      </c>
      <c r="D447" s="402" t="s">
        <v>585</v>
      </c>
      <c r="E447" s="380" t="s">
        <v>62</v>
      </c>
      <c r="F447" s="380" t="s">
        <v>17</v>
      </c>
      <c r="G447" s="381" t="s">
        <v>1021</v>
      </c>
      <c r="H447" s="381" t="s">
        <v>1021</v>
      </c>
    </row>
    <row r="448" spans="1:8">
      <c r="A448" s="380" t="s">
        <v>106</v>
      </c>
      <c r="B448" s="380" t="s">
        <v>107</v>
      </c>
      <c r="C448" s="401" t="s">
        <v>22</v>
      </c>
      <c r="D448" s="402" t="s">
        <v>586</v>
      </c>
      <c r="E448" s="380" t="s">
        <v>23</v>
      </c>
      <c r="F448" s="380" t="s">
        <v>17</v>
      </c>
      <c r="G448" s="381" t="s">
        <v>1021</v>
      </c>
      <c r="H448" s="381" t="s">
        <v>1021</v>
      </c>
    </row>
    <row r="449" spans="1:8">
      <c r="A449" s="380" t="s">
        <v>106</v>
      </c>
      <c r="B449" s="380" t="s">
        <v>107</v>
      </c>
      <c r="C449" s="401" t="s">
        <v>65</v>
      </c>
      <c r="D449" s="402" t="s">
        <v>587</v>
      </c>
      <c r="E449" s="380" t="s">
        <v>66</v>
      </c>
      <c r="F449" s="380" t="s">
        <v>17</v>
      </c>
      <c r="G449" s="381" t="s">
        <v>18</v>
      </c>
      <c r="H449" s="381" t="s">
        <v>18</v>
      </c>
    </row>
    <row r="450" spans="1:8">
      <c r="A450" s="380" t="s">
        <v>106</v>
      </c>
      <c r="B450" s="380" t="s">
        <v>107</v>
      </c>
      <c r="C450" s="401" t="s">
        <v>67</v>
      </c>
      <c r="D450" s="402" t="s">
        <v>588</v>
      </c>
      <c r="E450" s="380" t="s">
        <v>68</v>
      </c>
      <c r="F450" s="380" t="s">
        <v>17</v>
      </c>
      <c r="G450" s="381" t="s">
        <v>995</v>
      </c>
      <c r="H450" s="381" t="s">
        <v>864</v>
      </c>
    </row>
    <row r="451" spans="1:8">
      <c r="A451" s="380" t="s">
        <v>106</v>
      </c>
      <c r="B451" s="380" t="s">
        <v>107</v>
      </c>
      <c r="C451" s="401" t="s">
        <v>69</v>
      </c>
      <c r="D451" s="402" t="s">
        <v>589</v>
      </c>
      <c r="E451" s="380" t="s">
        <v>70</v>
      </c>
      <c r="F451" s="380" t="s">
        <v>17</v>
      </c>
      <c r="G451" s="381" t="s">
        <v>18</v>
      </c>
      <c r="H451" s="381" t="s">
        <v>18</v>
      </c>
    </row>
    <row r="452" spans="1:8" customFormat="1" ht="15">
      <c r="A452" s="356" t="s">
        <v>106</v>
      </c>
      <c r="B452" s="356" t="s">
        <v>107</v>
      </c>
      <c r="C452" s="356" t="s">
        <v>71</v>
      </c>
      <c r="D452" s="357" t="s">
        <v>590</v>
      </c>
      <c r="E452" s="356" t="s">
        <v>72</v>
      </c>
      <c r="F452" s="356" t="s">
        <v>73</v>
      </c>
      <c r="G452" s="358" t="s">
        <v>997</v>
      </c>
      <c r="H452" s="358" t="s">
        <v>998</v>
      </c>
    </row>
    <row r="453" spans="1:8">
      <c r="A453" s="380" t="s">
        <v>106</v>
      </c>
      <c r="B453" s="380" t="s">
        <v>107</v>
      </c>
      <c r="C453" s="401" t="s">
        <v>74</v>
      </c>
      <c r="D453" s="402" t="s">
        <v>591</v>
      </c>
      <c r="E453" s="380" t="s">
        <v>75</v>
      </c>
      <c r="F453" s="380" t="s">
        <v>17</v>
      </c>
      <c r="G453" s="381" t="s">
        <v>18</v>
      </c>
      <c r="H453" s="381" t="s">
        <v>18</v>
      </c>
    </row>
    <row r="454" spans="1:8">
      <c r="A454" s="380" t="s">
        <v>106</v>
      </c>
      <c r="B454" s="380" t="s">
        <v>107</v>
      </c>
      <c r="C454" s="401" t="s">
        <v>24</v>
      </c>
      <c r="D454" s="402" t="s">
        <v>592</v>
      </c>
      <c r="E454" s="380" t="s">
        <v>25</v>
      </c>
      <c r="F454" s="380" t="s">
        <v>17</v>
      </c>
      <c r="G454" s="381" t="s">
        <v>995</v>
      </c>
      <c r="H454" s="381" t="s">
        <v>864</v>
      </c>
    </row>
    <row r="455" spans="1:8">
      <c r="A455" s="380" t="s">
        <v>106</v>
      </c>
      <c r="B455" s="380" t="s">
        <v>107</v>
      </c>
      <c r="C455" s="401" t="s">
        <v>78</v>
      </c>
      <c r="D455" s="402" t="s">
        <v>593</v>
      </c>
      <c r="E455" s="380" t="s">
        <v>79</v>
      </c>
      <c r="F455" s="380" t="s">
        <v>17</v>
      </c>
      <c r="G455" s="381" t="s">
        <v>18</v>
      </c>
      <c r="H455" s="381" t="s">
        <v>18</v>
      </c>
    </row>
    <row r="456" spans="1:8">
      <c r="A456" s="380" t="s">
        <v>106</v>
      </c>
      <c r="B456" s="380" t="s">
        <v>107</v>
      </c>
      <c r="C456" s="401" t="s">
        <v>80</v>
      </c>
      <c r="D456" s="402" t="s">
        <v>594</v>
      </c>
      <c r="E456" s="380" t="s">
        <v>81</v>
      </c>
      <c r="F456" s="380" t="s">
        <v>17</v>
      </c>
      <c r="G456" s="381" t="s">
        <v>999</v>
      </c>
      <c r="H456" s="381" t="s">
        <v>999</v>
      </c>
    </row>
    <row r="457" spans="1:8">
      <c r="A457" s="380" t="s">
        <v>106</v>
      </c>
      <c r="B457" s="380" t="s">
        <v>107</v>
      </c>
      <c r="C457" s="401" t="s">
        <v>84</v>
      </c>
      <c r="D457" s="402" t="s">
        <v>595</v>
      </c>
      <c r="E457" s="380" t="s">
        <v>85</v>
      </c>
      <c r="F457" s="380" t="s">
        <v>17</v>
      </c>
      <c r="G457" s="381" t="s">
        <v>18</v>
      </c>
      <c r="H457" s="381" t="s">
        <v>18</v>
      </c>
    </row>
    <row r="458" spans="1:8">
      <c r="A458" s="380" t="s">
        <v>106</v>
      </c>
      <c r="B458" s="380" t="s">
        <v>107</v>
      </c>
      <c r="C458" s="401" t="s">
        <v>92</v>
      </c>
      <c r="D458" s="402" t="s">
        <v>596</v>
      </c>
      <c r="E458" s="380" t="s">
        <v>93</v>
      </c>
      <c r="F458" s="380" t="s">
        <v>17</v>
      </c>
      <c r="G458" s="381" t="s">
        <v>999</v>
      </c>
      <c r="H458" s="381" t="s">
        <v>999</v>
      </c>
    </row>
    <row r="459" spans="1:8">
      <c r="A459" s="380" t="s">
        <v>106</v>
      </c>
      <c r="B459" s="380" t="s">
        <v>107</v>
      </c>
      <c r="C459" s="401" t="s">
        <v>32</v>
      </c>
      <c r="D459" s="402" t="s">
        <v>597</v>
      </c>
      <c r="E459" s="380" t="s">
        <v>33</v>
      </c>
      <c r="F459" s="380" t="s">
        <v>17</v>
      </c>
      <c r="G459" s="381" t="s">
        <v>999</v>
      </c>
      <c r="H459" s="381" t="s">
        <v>999</v>
      </c>
    </row>
    <row r="460" spans="1:8">
      <c r="A460" s="380" t="s">
        <v>106</v>
      </c>
      <c r="B460" s="380" t="s">
        <v>107</v>
      </c>
      <c r="C460" s="401" t="s">
        <v>63</v>
      </c>
      <c r="D460" s="402" t="s">
        <v>598</v>
      </c>
      <c r="E460" s="380" t="s">
        <v>140</v>
      </c>
      <c r="F460" s="380" t="s">
        <v>17</v>
      </c>
      <c r="G460" s="381" t="s">
        <v>999</v>
      </c>
      <c r="H460" s="381" t="s">
        <v>999</v>
      </c>
    </row>
    <row r="461" spans="1:8">
      <c r="A461" s="380" t="s">
        <v>106</v>
      </c>
      <c r="B461" s="380" t="s">
        <v>107</v>
      </c>
      <c r="C461" s="401" t="s">
        <v>146</v>
      </c>
      <c r="D461" s="402" t="s">
        <v>599</v>
      </c>
      <c r="E461" s="380" t="s">
        <v>147</v>
      </c>
      <c r="F461" s="380" t="s">
        <v>17</v>
      </c>
      <c r="G461" s="381" t="s">
        <v>1021</v>
      </c>
      <c r="H461" s="381" t="s">
        <v>1021</v>
      </c>
    </row>
    <row r="462" spans="1:8" customFormat="1" ht="15">
      <c r="A462" s="356" t="s">
        <v>106</v>
      </c>
      <c r="B462" s="356" t="s">
        <v>107</v>
      </c>
      <c r="C462" s="356" t="s">
        <v>149</v>
      </c>
      <c r="D462" s="357" t="s">
        <v>600</v>
      </c>
      <c r="E462" s="356" t="s">
        <v>150</v>
      </c>
      <c r="F462" s="356" t="s">
        <v>73</v>
      </c>
      <c r="G462" s="358" t="s">
        <v>997</v>
      </c>
      <c r="H462" s="358" t="s">
        <v>998</v>
      </c>
    </row>
    <row r="463" spans="1:8">
      <c r="A463" s="380" t="s">
        <v>106</v>
      </c>
      <c r="B463" s="380" t="s">
        <v>107</v>
      </c>
      <c r="C463" s="401" t="s">
        <v>180</v>
      </c>
      <c r="D463" s="402" t="s">
        <v>787</v>
      </c>
      <c r="E463" s="380" t="s">
        <v>181</v>
      </c>
      <c r="F463" s="380" t="s">
        <v>17</v>
      </c>
      <c r="G463" s="381" t="s">
        <v>1021</v>
      </c>
      <c r="H463" s="381" t="s">
        <v>1021</v>
      </c>
    </row>
    <row r="464" spans="1:8">
      <c r="A464" s="380" t="s">
        <v>106</v>
      </c>
      <c r="B464" s="380" t="s">
        <v>107</v>
      </c>
      <c r="C464" s="401" t="s">
        <v>183</v>
      </c>
      <c r="D464" s="402" t="s">
        <v>601</v>
      </c>
      <c r="E464" s="380" t="s">
        <v>184</v>
      </c>
      <c r="F464" s="380" t="s">
        <v>17</v>
      </c>
      <c r="G464" s="381" t="s">
        <v>18</v>
      </c>
      <c r="H464" s="381" t="s">
        <v>18</v>
      </c>
    </row>
    <row r="465" spans="1:8">
      <c r="A465" s="380" t="s">
        <v>106</v>
      </c>
      <c r="B465" s="380" t="s">
        <v>107</v>
      </c>
      <c r="C465" s="401" t="s">
        <v>191</v>
      </c>
      <c r="D465" s="402" t="s">
        <v>602</v>
      </c>
      <c r="E465" s="380" t="s">
        <v>192</v>
      </c>
      <c r="F465" s="380" t="s">
        <v>17</v>
      </c>
      <c r="G465" s="381" t="s">
        <v>18</v>
      </c>
      <c r="H465" s="381" t="s">
        <v>18</v>
      </c>
    </row>
    <row r="466" spans="1:8">
      <c r="A466" s="380" t="s">
        <v>106</v>
      </c>
      <c r="B466" s="380" t="s">
        <v>107</v>
      </c>
      <c r="C466" s="401" t="s">
        <v>773</v>
      </c>
      <c r="D466" s="402" t="s">
        <v>774</v>
      </c>
      <c r="E466" s="380" t="s">
        <v>775</v>
      </c>
      <c r="F466" s="380" t="s">
        <v>17</v>
      </c>
      <c r="G466" s="381" t="s">
        <v>995</v>
      </c>
      <c r="H466" s="381" t="s">
        <v>999</v>
      </c>
    </row>
    <row r="467" spans="1:8">
      <c r="A467" s="380" t="s">
        <v>106</v>
      </c>
      <c r="B467" s="380" t="s">
        <v>107</v>
      </c>
      <c r="C467" s="401" t="s">
        <v>189</v>
      </c>
      <c r="D467" s="402" t="s">
        <v>603</v>
      </c>
      <c r="E467" s="380" t="s">
        <v>190</v>
      </c>
      <c r="F467" s="380" t="s">
        <v>17</v>
      </c>
      <c r="G467" s="381" t="s">
        <v>18</v>
      </c>
      <c r="H467" s="381" t="s">
        <v>18</v>
      </c>
    </row>
    <row r="468" spans="1:8">
      <c r="A468" s="380" t="s">
        <v>106</v>
      </c>
      <c r="B468" s="380" t="s">
        <v>107</v>
      </c>
      <c r="C468" s="401" t="s">
        <v>194</v>
      </c>
      <c r="D468" s="402" t="s">
        <v>604</v>
      </c>
      <c r="E468" s="380" t="s">
        <v>195</v>
      </c>
      <c r="F468" s="380" t="s">
        <v>17</v>
      </c>
      <c r="G468" s="381" t="s">
        <v>999</v>
      </c>
      <c r="H468" s="381" t="s">
        <v>999</v>
      </c>
    </row>
    <row r="469" spans="1:8" customFormat="1" ht="15">
      <c r="A469" s="356" t="s">
        <v>108</v>
      </c>
      <c r="B469" s="356" t="s">
        <v>109</v>
      </c>
      <c r="C469" s="356" t="s">
        <v>28</v>
      </c>
      <c r="D469" s="357" t="s">
        <v>605</v>
      </c>
      <c r="E469" s="356" t="s">
        <v>29</v>
      </c>
      <c r="F469" s="356" t="s">
        <v>30</v>
      </c>
      <c r="G469" s="358" t="s">
        <v>172</v>
      </c>
      <c r="H469" s="358" t="s">
        <v>896</v>
      </c>
    </row>
    <row r="470" spans="1:8" customFormat="1" ht="15">
      <c r="A470" s="356" t="s">
        <v>108</v>
      </c>
      <c r="B470" s="356" t="s">
        <v>109</v>
      </c>
      <c r="C470" s="356" t="s">
        <v>88</v>
      </c>
      <c r="D470" s="357" t="s">
        <v>606</v>
      </c>
      <c r="E470" s="356" t="s">
        <v>89</v>
      </c>
      <c r="F470" s="356" t="s">
        <v>31</v>
      </c>
      <c r="G470" s="358" t="s">
        <v>172</v>
      </c>
      <c r="H470" s="358" t="s">
        <v>896</v>
      </c>
    </row>
    <row r="471" spans="1:8" customFormat="1" ht="15">
      <c r="A471" s="356" t="s">
        <v>108</v>
      </c>
      <c r="B471" s="356" t="s">
        <v>109</v>
      </c>
      <c r="C471" s="356" t="s">
        <v>144</v>
      </c>
      <c r="D471" s="357" t="s">
        <v>607</v>
      </c>
      <c r="E471" s="356" t="s">
        <v>145</v>
      </c>
      <c r="F471" s="356" t="s">
        <v>31</v>
      </c>
      <c r="G471" s="358" t="s">
        <v>172</v>
      </c>
      <c r="H471" s="358" t="s">
        <v>896</v>
      </c>
    </row>
    <row r="472" spans="1:8" customFormat="1" ht="15">
      <c r="A472" s="356" t="s">
        <v>108</v>
      </c>
      <c r="B472" s="356" t="s">
        <v>109</v>
      </c>
      <c r="C472" s="356" t="s">
        <v>167</v>
      </c>
      <c r="D472" s="357" t="s">
        <v>608</v>
      </c>
      <c r="E472" s="356" t="s">
        <v>168</v>
      </c>
      <c r="F472" s="356" t="s">
        <v>169</v>
      </c>
      <c r="G472" s="358" t="s">
        <v>173</v>
      </c>
      <c r="H472" s="358" t="s">
        <v>896</v>
      </c>
    </row>
    <row r="473" spans="1:8" customFormat="1" ht="15">
      <c r="A473" s="356" t="s">
        <v>108</v>
      </c>
      <c r="B473" s="356" t="s">
        <v>109</v>
      </c>
      <c r="C473" s="356" t="s">
        <v>198</v>
      </c>
      <c r="D473" s="357" t="s">
        <v>609</v>
      </c>
      <c r="E473" s="356" t="s">
        <v>199</v>
      </c>
      <c r="F473" s="356" t="s">
        <v>30</v>
      </c>
      <c r="G473" s="358" t="s">
        <v>172</v>
      </c>
      <c r="H473" s="358" t="s">
        <v>896</v>
      </c>
    </row>
    <row r="474" spans="1:8" customFormat="1" ht="15">
      <c r="A474" s="356" t="s">
        <v>108</v>
      </c>
      <c r="B474" s="356" t="s">
        <v>109</v>
      </c>
      <c r="C474" s="356" t="s">
        <v>34</v>
      </c>
      <c r="D474" s="357" t="s">
        <v>610</v>
      </c>
      <c r="E474" s="356" t="s">
        <v>35</v>
      </c>
      <c r="F474" s="356" t="s">
        <v>36</v>
      </c>
      <c r="G474" s="358" t="s">
        <v>996</v>
      </c>
      <c r="H474" s="358" t="s">
        <v>895</v>
      </c>
    </row>
    <row r="475" spans="1:8" customFormat="1" ht="15">
      <c r="A475" s="356" t="s">
        <v>108</v>
      </c>
      <c r="B475" s="356" t="s">
        <v>109</v>
      </c>
      <c r="C475" s="356" t="s">
        <v>37</v>
      </c>
      <c r="D475" s="357" t="s">
        <v>611</v>
      </c>
      <c r="E475" s="356" t="s">
        <v>38</v>
      </c>
      <c r="F475" s="356" t="s">
        <v>36</v>
      </c>
      <c r="G475" s="358" t="s">
        <v>996</v>
      </c>
      <c r="H475" s="358" t="s">
        <v>895</v>
      </c>
    </row>
    <row r="476" spans="1:8" customFormat="1" ht="15">
      <c r="A476" s="356" t="s">
        <v>108</v>
      </c>
      <c r="B476" s="356" t="s">
        <v>109</v>
      </c>
      <c r="C476" s="356" t="s">
        <v>41</v>
      </c>
      <c r="D476" s="357" t="s">
        <v>612</v>
      </c>
      <c r="E476" s="356" t="s">
        <v>42</v>
      </c>
      <c r="F476" s="356" t="s">
        <v>36</v>
      </c>
      <c r="G476" s="358" t="s">
        <v>996</v>
      </c>
      <c r="H476" s="358" t="s">
        <v>895</v>
      </c>
    </row>
    <row r="477" spans="1:8" customFormat="1" ht="15">
      <c r="A477" s="356" t="s">
        <v>108</v>
      </c>
      <c r="B477" s="356" t="s">
        <v>109</v>
      </c>
      <c r="C477" s="356" t="s">
        <v>43</v>
      </c>
      <c r="D477" s="357" t="s">
        <v>613</v>
      </c>
      <c r="E477" s="356" t="s">
        <v>44</v>
      </c>
      <c r="F477" s="356" t="s">
        <v>36</v>
      </c>
      <c r="G477" s="358" t="s">
        <v>996</v>
      </c>
      <c r="H477" s="358" t="s">
        <v>895</v>
      </c>
    </row>
    <row r="478" spans="1:8" customFormat="1" ht="15">
      <c r="A478" s="356" t="s">
        <v>108</v>
      </c>
      <c r="B478" s="356" t="s">
        <v>109</v>
      </c>
      <c r="C478" s="356" t="s">
        <v>45</v>
      </c>
      <c r="D478" s="357" t="s">
        <v>614</v>
      </c>
      <c r="E478" s="356" t="s">
        <v>46</v>
      </c>
      <c r="F478" s="356" t="s">
        <v>36</v>
      </c>
      <c r="G478" s="358" t="s">
        <v>996</v>
      </c>
      <c r="H478" s="358" t="s">
        <v>895</v>
      </c>
    </row>
    <row r="479" spans="1:8" customFormat="1" ht="15">
      <c r="A479" s="356" t="s">
        <v>108</v>
      </c>
      <c r="B479" s="356" t="s">
        <v>109</v>
      </c>
      <c r="C479" s="356" t="s">
        <v>47</v>
      </c>
      <c r="D479" s="357" t="s">
        <v>615</v>
      </c>
      <c r="E479" s="356" t="s">
        <v>48</v>
      </c>
      <c r="F479" s="356" t="s">
        <v>36</v>
      </c>
      <c r="G479" s="358" t="s">
        <v>996</v>
      </c>
      <c r="H479" s="358" t="s">
        <v>895</v>
      </c>
    </row>
    <row r="480" spans="1:8" customFormat="1" ht="15">
      <c r="A480" s="356" t="s">
        <v>108</v>
      </c>
      <c r="B480" s="356" t="s">
        <v>109</v>
      </c>
      <c r="C480" s="356" t="s">
        <v>49</v>
      </c>
      <c r="D480" s="357" t="s">
        <v>616</v>
      </c>
      <c r="E480" s="356" t="s">
        <v>50</v>
      </c>
      <c r="F480" s="356" t="s">
        <v>36</v>
      </c>
      <c r="G480" s="358" t="s">
        <v>996</v>
      </c>
      <c r="H480" s="358" t="s">
        <v>895</v>
      </c>
    </row>
    <row r="481" spans="1:8">
      <c r="A481" s="380" t="s">
        <v>108</v>
      </c>
      <c r="B481" s="380" t="s">
        <v>109</v>
      </c>
      <c r="C481" s="401" t="s">
        <v>51</v>
      </c>
      <c r="D481" s="402" t="s">
        <v>617</v>
      </c>
      <c r="E481" s="380" t="s">
        <v>52</v>
      </c>
      <c r="F481" s="380" t="s">
        <v>17</v>
      </c>
      <c r="G481" s="381" t="s">
        <v>995</v>
      </c>
      <c r="H481" s="381" t="s">
        <v>864</v>
      </c>
    </row>
    <row r="482" spans="1:8">
      <c r="A482" s="380" t="s">
        <v>108</v>
      </c>
      <c r="B482" s="380" t="s">
        <v>109</v>
      </c>
      <c r="C482" s="401" t="s">
        <v>53</v>
      </c>
      <c r="D482" s="402" t="s">
        <v>618</v>
      </c>
      <c r="E482" s="380" t="s">
        <v>54</v>
      </c>
      <c r="F482" s="380" t="s">
        <v>17</v>
      </c>
      <c r="G482" s="381" t="s">
        <v>999</v>
      </c>
      <c r="H482" s="381" t="s">
        <v>999</v>
      </c>
    </row>
    <row r="483" spans="1:8">
      <c r="A483" s="380" t="s">
        <v>108</v>
      </c>
      <c r="B483" s="380" t="s">
        <v>109</v>
      </c>
      <c r="C483" s="401" t="s">
        <v>15</v>
      </c>
      <c r="D483" s="402" t="s">
        <v>619</v>
      </c>
      <c r="E483" s="380" t="s">
        <v>16</v>
      </c>
      <c r="F483" s="380" t="s">
        <v>17</v>
      </c>
      <c r="G483" s="381" t="s">
        <v>1021</v>
      </c>
      <c r="H483" s="381" t="s">
        <v>1021</v>
      </c>
    </row>
    <row r="484" spans="1:8">
      <c r="A484" s="380" t="s">
        <v>108</v>
      </c>
      <c r="B484" s="380" t="s">
        <v>109</v>
      </c>
      <c r="C484" s="401" t="s">
        <v>55</v>
      </c>
      <c r="D484" s="402" t="s">
        <v>620</v>
      </c>
      <c r="E484" s="380" t="s">
        <v>56</v>
      </c>
      <c r="F484" s="380" t="s">
        <v>17</v>
      </c>
      <c r="G484" s="381" t="s">
        <v>1021</v>
      </c>
      <c r="H484" s="381" t="s">
        <v>1021</v>
      </c>
    </row>
    <row r="485" spans="1:8">
      <c r="A485" s="380" t="s">
        <v>108</v>
      </c>
      <c r="B485" s="380" t="s">
        <v>109</v>
      </c>
      <c r="C485" s="401" t="s">
        <v>57</v>
      </c>
      <c r="D485" s="402" t="s">
        <v>621</v>
      </c>
      <c r="E485" s="380" t="s">
        <v>58</v>
      </c>
      <c r="F485" s="380" t="s">
        <v>17</v>
      </c>
      <c r="G485" s="381" t="s">
        <v>18</v>
      </c>
      <c r="H485" s="381" t="s">
        <v>18</v>
      </c>
    </row>
    <row r="486" spans="1:8">
      <c r="A486" s="380" t="s">
        <v>108</v>
      </c>
      <c r="B486" s="380" t="s">
        <v>109</v>
      </c>
      <c r="C486" s="401" t="s">
        <v>59</v>
      </c>
      <c r="D486" s="402" t="s">
        <v>622</v>
      </c>
      <c r="E486" s="380" t="s">
        <v>60</v>
      </c>
      <c r="F486" s="380" t="s">
        <v>17</v>
      </c>
      <c r="G486" s="381" t="s">
        <v>995</v>
      </c>
      <c r="H486" s="381" t="s">
        <v>864</v>
      </c>
    </row>
    <row r="487" spans="1:8">
      <c r="A487" s="380" t="s">
        <v>108</v>
      </c>
      <c r="B487" s="380" t="s">
        <v>109</v>
      </c>
      <c r="C487" s="401" t="s">
        <v>19</v>
      </c>
      <c r="D487" s="402" t="s">
        <v>623</v>
      </c>
      <c r="E487" s="380" t="s">
        <v>20</v>
      </c>
      <c r="F487" s="380" t="s">
        <v>17</v>
      </c>
      <c r="G487" s="381" t="s">
        <v>995</v>
      </c>
      <c r="H487" s="381" t="s">
        <v>864</v>
      </c>
    </row>
    <row r="488" spans="1:8">
      <c r="A488" s="380" t="s">
        <v>108</v>
      </c>
      <c r="B488" s="380" t="s">
        <v>109</v>
      </c>
      <c r="C488" s="401" t="s">
        <v>61</v>
      </c>
      <c r="D488" s="402" t="s">
        <v>624</v>
      </c>
      <c r="E488" s="380" t="s">
        <v>62</v>
      </c>
      <c r="F488" s="380" t="s">
        <v>17</v>
      </c>
      <c r="G488" s="381" t="s">
        <v>1021</v>
      </c>
      <c r="H488" s="381" t="s">
        <v>1021</v>
      </c>
    </row>
    <row r="489" spans="1:8">
      <c r="A489" s="380" t="s">
        <v>108</v>
      </c>
      <c r="B489" s="380" t="s">
        <v>109</v>
      </c>
      <c r="C489" s="401" t="s">
        <v>22</v>
      </c>
      <c r="D489" s="402" t="s">
        <v>625</v>
      </c>
      <c r="E489" s="380" t="s">
        <v>23</v>
      </c>
      <c r="F489" s="380" t="s">
        <v>17</v>
      </c>
      <c r="G489" s="381" t="s">
        <v>1021</v>
      </c>
      <c r="H489" s="381" t="s">
        <v>1021</v>
      </c>
    </row>
    <row r="490" spans="1:8">
      <c r="A490" s="380" t="s">
        <v>108</v>
      </c>
      <c r="B490" s="380" t="s">
        <v>109</v>
      </c>
      <c r="C490" s="401" t="s">
        <v>65</v>
      </c>
      <c r="D490" s="402" t="s">
        <v>626</v>
      </c>
      <c r="E490" s="380" t="s">
        <v>66</v>
      </c>
      <c r="F490" s="380" t="s">
        <v>17</v>
      </c>
      <c r="G490" s="381" t="s">
        <v>18</v>
      </c>
      <c r="H490" s="381" t="s">
        <v>18</v>
      </c>
    </row>
    <row r="491" spans="1:8">
      <c r="A491" s="380" t="s">
        <v>108</v>
      </c>
      <c r="B491" s="380" t="s">
        <v>109</v>
      </c>
      <c r="C491" s="401" t="s">
        <v>67</v>
      </c>
      <c r="D491" s="402" t="s">
        <v>627</v>
      </c>
      <c r="E491" s="380" t="s">
        <v>68</v>
      </c>
      <c r="F491" s="380" t="s">
        <v>17</v>
      </c>
      <c r="G491" s="381" t="s">
        <v>995</v>
      </c>
      <c r="H491" s="381" t="s">
        <v>864</v>
      </c>
    </row>
    <row r="492" spans="1:8">
      <c r="A492" s="380" t="s">
        <v>108</v>
      </c>
      <c r="B492" s="380" t="s">
        <v>109</v>
      </c>
      <c r="C492" s="401" t="s">
        <v>69</v>
      </c>
      <c r="D492" s="402" t="s">
        <v>628</v>
      </c>
      <c r="E492" s="380" t="s">
        <v>70</v>
      </c>
      <c r="F492" s="380" t="s">
        <v>17</v>
      </c>
      <c r="G492" s="381" t="s">
        <v>18</v>
      </c>
      <c r="H492" s="381" t="s">
        <v>18</v>
      </c>
    </row>
    <row r="493" spans="1:8" customFormat="1" ht="15">
      <c r="A493" s="356" t="s">
        <v>108</v>
      </c>
      <c r="B493" s="356" t="s">
        <v>109</v>
      </c>
      <c r="C493" s="356" t="s">
        <v>71</v>
      </c>
      <c r="D493" s="357" t="s">
        <v>629</v>
      </c>
      <c r="E493" s="356" t="s">
        <v>72</v>
      </c>
      <c r="F493" s="356" t="s">
        <v>73</v>
      </c>
      <c r="G493" s="358" t="s">
        <v>997</v>
      </c>
      <c r="H493" s="358" t="s">
        <v>998</v>
      </c>
    </row>
    <row r="494" spans="1:8">
      <c r="A494" s="380" t="s">
        <v>108</v>
      </c>
      <c r="B494" s="380" t="s">
        <v>109</v>
      </c>
      <c r="C494" s="401" t="s">
        <v>74</v>
      </c>
      <c r="D494" s="402" t="s">
        <v>630</v>
      </c>
      <c r="E494" s="380" t="s">
        <v>75</v>
      </c>
      <c r="F494" s="380" t="s">
        <v>17</v>
      </c>
      <c r="G494" s="381" t="s">
        <v>18</v>
      </c>
      <c r="H494" s="381" t="s">
        <v>18</v>
      </c>
    </row>
    <row r="495" spans="1:8">
      <c r="A495" s="380" t="s">
        <v>108</v>
      </c>
      <c r="B495" s="380" t="s">
        <v>109</v>
      </c>
      <c r="C495" s="401" t="s">
        <v>24</v>
      </c>
      <c r="D495" s="402" t="s">
        <v>631</v>
      </c>
      <c r="E495" s="380" t="s">
        <v>25</v>
      </c>
      <c r="F495" s="380" t="s">
        <v>17</v>
      </c>
      <c r="G495" s="381" t="s">
        <v>995</v>
      </c>
      <c r="H495" s="381" t="s">
        <v>864</v>
      </c>
    </row>
    <row r="496" spans="1:8">
      <c r="A496" s="380" t="s">
        <v>108</v>
      </c>
      <c r="B496" s="380" t="s">
        <v>109</v>
      </c>
      <c r="C496" s="401" t="s">
        <v>78</v>
      </c>
      <c r="D496" s="402" t="s">
        <v>632</v>
      </c>
      <c r="E496" s="380" t="s">
        <v>79</v>
      </c>
      <c r="F496" s="380" t="s">
        <v>17</v>
      </c>
      <c r="G496" s="381" t="s">
        <v>18</v>
      </c>
      <c r="H496" s="381" t="s">
        <v>18</v>
      </c>
    </row>
    <row r="497" spans="1:8">
      <c r="A497" s="380" t="s">
        <v>108</v>
      </c>
      <c r="B497" s="380" t="s">
        <v>109</v>
      </c>
      <c r="C497" s="401" t="s">
        <v>80</v>
      </c>
      <c r="D497" s="402" t="s">
        <v>633</v>
      </c>
      <c r="E497" s="380" t="s">
        <v>81</v>
      </c>
      <c r="F497" s="380" t="s">
        <v>17</v>
      </c>
      <c r="G497" s="381" t="s">
        <v>999</v>
      </c>
      <c r="H497" s="381" t="s">
        <v>999</v>
      </c>
    </row>
    <row r="498" spans="1:8">
      <c r="A498" s="380" t="s">
        <v>108</v>
      </c>
      <c r="B498" s="380" t="s">
        <v>109</v>
      </c>
      <c r="C498" s="401" t="s">
        <v>84</v>
      </c>
      <c r="D498" s="402" t="s">
        <v>634</v>
      </c>
      <c r="E498" s="380" t="s">
        <v>85</v>
      </c>
      <c r="F498" s="380" t="s">
        <v>17</v>
      </c>
      <c r="G498" s="381" t="s">
        <v>18</v>
      </c>
      <c r="H498" s="381" t="s">
        <v>18</v>
      </c>
    </row>
    <row r="499" spans="1:8">
      <c r="A499" s="380" t="s">
        <v>108</v>
      </c>
      <c r="B499" s="380" t="s">
        <v>109</v>
      </c>
      <c r="C499" s="401" t="s">
        <v>92</v>
      </c>
      <c r="D499" s="402" t="s">
        <v>635</v>
      </c>
      <c r="E499" s="380" t="s">
        <v>93</v>
      </c>
      <c r="F499" s="380" t="s">
        <v>17</v>
      </c>
      <c r="G499" s="381" t="s">
        <v>999</v>
      </c>
      <c r="H499" s="381" t="s">
        <v>999</v>
      </c>
    </row>
    <row r="500" spans="1:8">
      <c r="A500" s="380" t="s">
        <v>108</v>
      </c>
      <c r="B500" s="380" t="s">
        <v>109</v>
      </c>
      <c r="C500" s="401" t="s">
        <v>32</v>
      </c>
      <c r="D500" s="402" t="s">
        <v>636</v>
      </c>
      <c r="E500" s="380" t="s">
        <v>33</v>
      </c>
      <c r="F500" s="380" t="s">
        <v>17</v>
      </c>
      <c r="G500" s="381" t="s">
        <v>999</v>
      </c>
      <c r="H500" s="381" t="s">
        <v>999</v>
      </c>
    </row>
    <row r="501" spans="1:8">
      <c r="A501" s="380" t="s">
        <v>108</v>
      </c>
      <c r="B501" s="380" t="s">
        <v>109</v>
      </c>
      <c r="C501" s="401" t="s">
        <v>63</v>
      </c>
      <c r="D501" s="402" t="s">
        <v>637</v>
      </c>
      <c r="E501" s="380" t="s">
        <v>140</v>
      </c>
      <c r="F501" s="380" t="s">
        <v>17</v>
      </c>
      <c r="G501" s="381" t="s">
        <v>999</v>
      </c>
      <c r="H501" s="381" t="s">
        <v>999</v>
      </c>
    </row>
    <row r="502" spans="1:8">
      <c r="A502" s="380" t="s">
        <v>108</v>
      </c>
      <c r="B502" s="380" t="s">
        <v>109</v>
      </c>
      <c r="C502" s="401" t="s">
        <v>146</v>
      </c>
      <c r="D502" s="402" t="s">
        <v>638</v>
      </c>
      <c r="E502" s="380" t="s">
        <v>147</v>
      </c>
      <c r="F502" s="380" t="s">
        <v>17</v>
      </c>
      <c r="G502" s="381" t="s">
        <v>1021</v>
      </c>
      <c r="H502" s="381" t="s">
        <v>1021</v>
      </c>
    </row>
    <row r="503" spans="1:8" customFormat="1" ht="15">
      <c r="A503" s="356" t="s">
        <v>108</v>
      </c>
      <c r="B503" s="356" t="s">
        <v>109</v>
      </c>
      <c r="C503" s="356" t="s">
        <v>149</v>
      </c>
      <c r="D503" s="357" t="s">
        <v>639</v>
      </c>
      <c r="E503" s="356" t="s">
        <v>150</v>
      </c>
      <c r="F503" s="356" t="s">
        <v>73</v>
      </c>
      <c r="G503" s="358" t="s">
        <v>997</v>
      </c>
      <c r="H503" s="358" t="s">
        <v>998</v>
      </c>
    </row>
    <row r="504" spans="1:8">
      <c r="A504" s="380" t="s">
        <v>108</v>
      </c>
      <c r="B504" s="380" t="s">
        <v>109</v>
      </c>
      <c r="C504" s="401" t="s">
        <v>183</v>
      </c>
      <c r="D504" s="402" t="s">
        <v>640</v>
      </c>
      <c r="E504" s="380" t="s">
        <v>184</v>
      </c>
      <c r="F504" s="380" t="s">
        <v>17</v>
      </c>
      <c r="G504" s="381" t="s">
        <v>18</v>
      </c>
      <c r="H504" s="381" t="s">
        <v>18</v>
      </c>
    </row>
    <row r="505" spans="1:8">
      <c r="A505" s="380" t="s">
        <v>108</v>
      </c>
      <c r="B505" s="380" t="s">
        <v>109</v>
      </c>
      <c r="C505" s="401" t="s">
        <v>191</v>
      </c>
      <c r="D505" s="402" t="s">
        <v>641</v>
      </c>
      <c r="E505" s="380" t="s">
        <v>192</v>
      </c>
      <c r="F505" s="380" t="s">
        <v>17</v>
      </c>
      <c r="G505" s="381" t="s">
        <v>18</v>
      </c>
      <c r="H505" s="381" t="s">
        <v>18</v>
      </c>
    </row>
    <row r="506" spans="1:8">
      <c r="A506" s="380" t="s">
        <v>108</v>
      </c>
      <c r="B506" s="380" t="s">
        <v>109</v>
      </c>
      <c r="C506" s="401" t="s">
        <v>189</v>
      </c>
      <c r="D506" s="402" t="s">
        <v>642</v>
      </c>
      <c r="E506" s="380" t="s">
        <v>190</v>
      </c>
      <c r="F506" s="380" t="s">
        <v>17</v>
      </c>
      <c r="G506" s="381" t="s">
        <v>18</v>
      </c>
      <c r="H506" s="381" t="s">
        <v>18</v>
      </c>
    </row>
    <row r="507" spans="1:8">
      <c r="A507" s="380" t="s">
        <v>108</v>
      </c>
      <c r="B507" s="380" t="s">
        <v>109</v>
      </c>
      <c r="C507" s="401" t="s">
        <v>194</v>
      </c>
      <c r="D507" s="402" t="s">
        <v>643</v>
      </c>
      <c r="E507" s="380" t="s">
        <v>195</v>
      </c>
      <c r="F507" s="380" t="s">
        <v>17</v>
      </c>
      <c r="G507" s="381" t="s">
        <v>999</v>
      </c>
      <c r="H507" s="381" t="s">
        <v>999</v>
      </c>
    </row>
    <row r="508" spans="1:8" customFormat="1" ht="15">
      <c r="A508" s="356" t="s">
        <v>110</v>
      </c>
      <c r="B508" s="356" t="s">
        <v>111</v>
      </c>
      <c r="C508" s="356" t="s">
        <v>28</v>
      </c>
      <c r="D508" s="357" t="s">
        <v>644</v>
      </c>
      <c r="E508" s="356" t="s">
        <v>29</v>
      </c>
      <c r="F508" s="356" t="s">
        <v>30</v>
      </c>
      <c r="G508" s="358" t="s">
        <v>172</v>
      </c>
      <c r="H508" s="358" t="s">
        <v>896</v>
      </c>
    </row>
    <row r="509" spans="1:8" customFormat="1" ht="15">
      <c r="A509" s="356" t="s">
        <v>110</v>
      </c>
      <c r="B509" s="356" t="s">
        <v>111</v>
      </c>
      <c r="C509" s="356" t="s">
        <v>88</v>
      </c>
      <c r="D509" s="357" t="s">
        <v>645</v>
      </c>
      <c r="E509" s="356" t="s">
        <v>89</v>
      </c>
      <c r="F509" s="356" t="s">
        <v>31</v>
      </c>
      <c r="G509" s="358" t="s">
        <v>172</v>
      </c>
      <c r="H509" s="358" t="s">
        <v>896</v>
      </c>
    </row>
    <row r="510" spans="1:8" customFormat="1" ht="15">
      <c r="A510" s="356" t="s">
        <v>110</v>
      </c>
      <c r="B510" s="356" t="s">
        <v>111</v>
      </c>
      <c r="C510" s="356" t="s">
        <v>144</v>
      </c>
      <c r="D510" s="357" t="s">
        <v>646</v>
      </c>
      <c r="E510" s="356" t="s">
        <v>145</v>
      </c>
      <c r="F510" s="356" t="s">
        <v>31</v>
      </c>
      <c r="G510" s="358" t="s">
        <v>172</v>
      </c>
      <c r="H510" s="358" t="s">
        <v>896</v>
      </c>
    </row>
    <row r="511" spans="1:8" customFormat="1" ht="15">
      <c r="A511" s="356" t="s">
        <v>110</v>
      </c>
      <c r="B511" s="356" t="s">
        <v>111</v>
      </c>
      <c r="C511" s="356" t="s">
        <v>167</v>
      </c>
      <c r="D511" s="357" t="s">
        <v>647</v>
      </c>
      <c r="E511" s="356" t="s">
        <v>168</v>
      </c>
      <c r="F511" s="356" t="s">
        <v>169</v>
      </c>
      <c r="G511" s="358" t="s">
        <v>173</v>
      </c>
      <c r="H511" s="358" t="s">
        <v>896</v>
      </c>
    </row>
    <row r="512" spans="1:8" customFormat="1" ht="15">
      <c r="A512" s="356" t="s">
        <v>110</v>
      </c>
      <c r="B512" s="356" t="s">
        <v>111</v>
      </c>
      <c r="C512" s="356" t="s">
        <v>198</v>
      </c>
      <c r="D512" s="357" t="s">
        <v>759</v>
      </c>
      <c r="E512" s="356" t="s">
        <v>199</v>
      </c>
      <c r="F512" s="356" t="s">
        <v>30</v>
      </c>
      <c r="G512" s="358" t="s">
        <v>172</v>
      </c>
      <c r="H512" s="358" t="s">
        <v>896</v>
      </c>
    </row>
    <row r="513" spans="1:8" customFormat="1" ht="15">
      <c r="A513" s="356" t="s">
        <v>110</v>
      </c>
      <c r="B513" s="356" t="s">
        <v>111</v>
      </c>
      <c r="C513" s="356" t="s">
        <v>34</v>
      </c>
      <c r="D513" s="357" t="s">
        <v>648</v>
      </c>
      <c r="E513" s="356" t="s">
        <v>35</v>
      </c>
      <c r="F513" s="356" t="s">
        <v>36</v>
      </c>
      <c r="G513" s="358" t="s">
        <v>996</v>
      </c>
      <c r="H513" s="358" t="s">
        <v>895</v>
      </c>
    </row>
    <row r="514" spans="1:8" customFormat="1" ht="15">
      <c r="A514" s="356" t="s">
        <v>110</v>
      </c>
      <c r="B514" s="356" t="s">
        <v>111</v>
      </c>
      <c r="C514" s="356" t="s">
        <v>37</v>
      </c>
      <c r="D514" s="357" t="s">
        <v>649</v>
      </c>
      <c r="E514" s="356" t="s">
        <v>38</v>
      </c>
      <c r="F514" s="356" t="s">
        <v>36</v>
      </c>
      <c r="G514" s="358" t="s">
        <v>996</v>
      </c>
      <c r="H514" s="358" t="s">
        <v>895</v>
      </c>
    </row>
    <row r="515" spans="1:8" customFormat="1" ht="15">
      <c r="A515" s="356" t="s">
        <v>110</v>
      </c>
      <c r="B515" s="356" t="s">
        <v>111</v>
      </c>
      <c r="C515" s="356" t="s">
        <v>41</v>
      </c>
      <c r="D515" s="357" t="s">
        <v>650</v>
      </c>
      <c r="E515" s="356" t="s">
        <v>42</v>
      </c>
      <c r="F515" s="356" t="s">
        <v>36</v>
      </c>
      <c r="G515" s="358" t="s">
        <v>996</v>
      </c>
      <c r="H515" s="358" t="s">
        <v>895</v>
      </c>
    </row>
    <row r="516" spans="1:8" customFormat="1" ht="15">
      <c r="A516" s="356" t="s">
        <v>110</v>
      </c>
      <c r="B516" s="356" t="s">
        <v>111</v>
      </c>
      <c r="C516" s="356" t="s">
        <v>43</v>
      </c>
      <c r="D516" s="357" t="s">
        <v>651</v>
      </c>
      <c r="E516" s="356" t="s">
        <v>44</v>
      </c>
      <c r="F516" s="356" t="s">
        <v>36</v>
      </c>
      <c r="G516" s="358" t="s">
        <v>996</v>
      </c>
      <c r="H516" s="358" t="s">
        <v>895</v>
      </c>
    </row>
    <row r="517" spans="1:8" customFormat="1" ht="15">
      <c r="A517" s="356" t="s">
        <v>110</v>
      </c>
      <c r="B517" s="356" t="s">
        <v>111</v>
      </c>
      <c r="C517" s="356" t="s">
        <v>45</v>
      </c>
      <c r="D517" s="357" t="s">
        <v>776</v>
      </c>
      <c r="E517" s="356" t="s">
        <v>46</v>
      </c>
      <c r="F517" s="356" t="s">
        <v>36</v>
      </c>
      <c r="G517" s="358" t="s">
        <v>996</v>
      </c>
      <c r="H517" s="358" t="s">
        <v>895</v>
      </c>
    </row>
    <row r="518" spans="1:8" customFormat="1" ht="15">
      <c r="A518" s="356" t="s">
        <v>110</v>
      </c>
      <c r="B518" s="356" t="s">
        <v>111</v>
      </c>
      <c r="C518" s="356" t="s">
        <v>47</v>
      </c>
      <c r="D518" s="357" t="s">
        <v>652</v>
      </c>
      <c r="E518" s="356" t="s">
        <v>48</v>
      </c>
      <c r="F518" s="356" t="s">
        <v>36</v>
      </c>
      <c r="G518" s="358" t="s">
        <v>996</v>
      </c>
      <c r="H518" s="358" t="s">
        <v>895</v>
      </c>
    </row>
    <row r="519" spans="1:8" customFormat="1" ht="15">
      <c r="A519" s="356" t="s">
        <v>110</v>
      </c>
      <c r="B519" s="356" t="s">
        <v>111</v>
      </c>
      <c r="C519" s="356" t="s">
        <v>49</v>
      </c>
      <c r="D519" s="357" t="s">
        <v>653</v>
      </c>
      <c r="E519" s="356" t="s">
        <v>50</v>
      </c>
      <c r="F519" s="356" t="s">
        <v>36</v>
      </c>
      <c r="G519" s="358" t="s">
        <v>996</v>
      </c>
      <c r="H519" s="358" t="s">
        <v>895</v>
      </c>
    </row>
    <row r="520" spans="1:8">
      <c r="A520" s="380" t="s">
        <v>110</v>
      </c>
      <c r="B520" s="380" t="s">
        <v>111</v>
      </c>
      <c r="C520" s="401" t="s">
        <v>51</v>
      </c>
      <c r="D520" s="402" t="s">
        <v>654</v>
      </c>
      <c r="E520" s="380" t="s">
        <v>52</v>
      </c>
      <c r="F520" s="380" t="s">
        <v>17</v>
      </c>
      <c r="G520" s="381" t="s">
        <v>995</v>
      </c>
      <c r="H520" s="381" t="s">
        <v>864</v>
      </c>
    </row>
    <row r="521" spans="1:8">
      <c r="A521" s="380" t="s">
        <v>110</v>
      </c>
      <c r="B521" s="380" t="s">
        <v>111</v>
      </c>
      <c r="C521" s="401" t="s">
        <v>53</v>
      </c>
      <c r="D521" s="402" t="s">
        <v>655</v>
      </c>
      <c r="E521" s="380" t="s">
        <v>54</v>
      </c>
      <c r="F521" s="380" t="s">
        <v>17</v>
      </c>
      <c r="G521" s="381" t="s">
        <v>999</v>
      </c>
      <c r="H521" s="381" t="s">
        <v>999</v>
      </c>
    </row>
    <row r="522" spans="1:8">
      <c r="A522" s="380" t="s">
        <v>110</v>
      </c>
      <c r="B522" s="380" t="s">
        <v>111</v>
      </c>
      <c r="C522" s="401" t="s">
        <v>15</v>
      </c>
      <c r="D522" s="402" t="s">
        <v>656</v>
      </c>
      <c r="E522" s="380" t="s">
        <v>16</v>
      </c>
      <c r="F522" s="380" t="s">
        <v>17</v>
      </c>
      <c r="G522" s="381" t="s">
        <v>1021</v>
      </c>
      <c r="H522" s="381" t="s">
        <v>1021</v>
      </c>
    </row>
    <row r="523" spans="1:8">
      <c r="A523" s="380" t="s">
        <v>110</v>
      </c>
      <c r="B523" s="380" t="s">
        <v>111</v>
      </c>
      <c r="C523" s="401" t="s">
        <v>55</v>
      </c>
      <c r="D523" s="402" t="s">
        <v>657</v>
      </c>
      <c r="E523" s="380" t="s">
        <v>56</v>
      </c>
      <c r="F523" s="380" t="s">
        <v>17</v>
      </c>
      <c r="G523" s="381" t="s">
        <v>1021</v>
      </c>
      <c r="H523" s="381" t="s">
        <v>1021</v>
      </c>
    </row>
    <row r="524" spans="1:8">
      <c r="A524" s="380" t="s">
        <v>110</v>
      </c>
      <c r="B524" s="380" t="s">
        <v>111</v>
      </c>
      <c r="C524" s="401" t="s">
        <v>57</v>
      </c>
      <c r="D524" s="402" t="s">
        <v>777</v>
      </c>
      <c r="E524" s="380" t="s">
        <v>58</v>
      </c>
      <c r="F524" s="380" t="s">
        <v>17</v>
      </c>
      <c r="G524" s="381" t="s">
        <v>18</v>
      </c>
      <c r="H524" s="381" t="s">
        <v>18</v>
      </c>
    </row>
    <row r="525" spans="1:8">
      <c r="A525" s="380" t="s">
        <v>110</v>
      </c>
      <c r="B525" s="380" t="s">
        <v>111</v>
      </c>
      <c r="C525" s="401" t="s">
        <v>59</v>
      </c>
      <c r="D525" s="402" t="s">
        <v>658</v>
      </c>
      <c r="E525" s="380" t="s">
        <v>60</v>
      </c>
      <c r="F525" s="380" t="s">
        <v>17</v>
      </c>
      <c r="G525" s="381" t="s">
        <v>995</v>
      </c>
      <c r="H525" s="381" t="s">
        <v>864</v>
      </c>
    </row>
    <row r="526" spans="1:8">
      <c r="A526" s="380" t="s">
        <v>110</v>
      </c>
      <c r="B526" s="380" t="s">
        <v>111</v>
      </c>
      <c r="C526" s="401" t="s">
        <v>19</v>
      </c>
      <c r="D526" s="402" t="s">
        <v>659</v>
      </c>
      <c r="E526" s="380" t="s">
        <v>20</v>
      </c>
      <c r="F526" s="380" t="s">
        <v>17</v>
      </c>
      <c r="G526" s="381" t="s">
        <v>995</v>
      </c>
      <c r="H526" s="381" t="s">
        <v>864</v>
      </c>
    </row>
    <row r="527" spans="1:8">
      <c r="A527" s="380" t="s">
        <v>110</v>
      </c>
      <c r="B527" s="380" t="s">
        <v>111</v>
      </c>
      <c r="C527" s="401" t="s">
        <v>61</v>
      </c>
      <c r="D527" s="402" t="s">
        <v>660</v>
      </c>
      <c r="E527" s="380" t="s">
        <v>62</v>
      </c>
      <c r="F527" s="380" t="s">
        <v>17</v>
      </c>
      <c r="G527" s="381" t="s">
        <v>1021</v>
      </c>
      <c r="H527" s="381" t="s">
        <v>1021</v>
      </c>
    </row>
    <row r="528" spans="1:8">
      <c r="A528" s="380" t="s">
        <v>110</v>
      </c>
      <c r="B528" s="380" t="s">
        <v>111</v>
      </c>
      <c r="C528" s="401" t="s">
        <v>22</v>
      </c>
      <c r="D528" s="402" t="s">
        <v>661</v>
      </c>
      <c r="E528" s="380" t="s">
        <v>23</v>
      </c>
      <c r="F528" s="380" t="s">
        <v>17</v>
      </c>
      <c r="G528" s="381" t="s">
        <v>1021</v>
      </c>
      <c r="H528" s="381" t="s">
        <v>1021</v>
      </c>
    </row>
    <row r="529" spans="1:8">
      <c r="A529" s="380" t="s">
        <v>110</v>
      </c>
      <c r="B529" s="380" t="s">
        <v>111</v>
      </c>
      <c r="C529" s="401" t="s">
        <v>65</v>
      </c>
      <c r="D529" s="402" t="s">
        <v>662</v>
      </c>
      <c r="E529" s="380" t="s">
        <v>66</v>
      </c>
      <c r="F529" s="380" t="s">
        <v>17</v>
      </c>
      <c r="G529" s="381" t="s">
        <v>18</v>
      </c>
      <c r="H529" s="381" t="s">
        <v>18</v>
      </c>
    </row>
    <row r="530" spans="1:8">
      <c r="A530" s="380" t="s">
        <v>110</v>
      </c>
      <c r="B530" s="380" t="s">
        <v>111</v>
      </c>
      <c r="C530" s="401" t="s">
        <v>67</v>
      </c>
      <c r="D530" s="402" t="s">
        <v>663</v>
      </c>
      <c r="E530" s="380" t="s">
        <v>68</v>
      </c>
      <c r="F530" s="380" t="s">
        <v>17</v>
      </c>
      <c r="G530" s="381" t="s">
        <v>995</v>
      </c>
      <c r="H530" s="381" t="s">
        <v>864</v>
      </c>
    </row>
    <row r="531" spans="1:8">
      <c r="A531" s="380" t="s">
        <v>110</v>
      </c>
      <c r="B531" s="380" t="s">
        <v>111</v>
      </c>
      <c r="C531" s="401" t="s">
        <v>69</v>
      </c>
      <c r="D531" s="402" t="s">
        <v>664</v>
      </c>
      <c r="E531" s="380" t="s">
        <v>70</v>
      </c>
      <c r="F531" s="380" t="s">
        <v>17</v>
      </c>
      <c r="G531" s="381" t="s">
        <v>18</v>
      </c>
      <c r="H531" s="381" t="s">
        <v>18</v>
      </c>
    </row>
    <row r="532" spans="1:8" customFormat="1" ht="15">
      <c r="A532" s="356" t="s">
        <v>110</v>
      </c>
      <c r="B532" s="356" t="s">
        <v>111</v>
      </c>
      <c r="C532" s="356" t="s">
        <v>71</v>
      </c>
      <c r="D532" s="357" t="s">
        <v>665</v>
      </c>
      <c r="E532" s="356" t="s">
        <v>72</v>
      </c>
      <c r="F532" s="356" t="s">
        <v>73</v>
      </c>
      <c r="G532" s="358" t="s">
        <v>997</v>
      </c>
      <c r="H532" s="358" t="s">
        <v>998</v>
      </c>
    </row>
    <row r="533" spans="1:8">
      <c r="A533" s="380" t="s">
        <v>110</v>
      </c>
      <c r="B533" s="380" t="s">
        <v>111</v>
      </c>
      <c r="C533" s="401" t="s">
        <v>74</v>
      </c>
      <c r="D533" s="402" t="s">
        <v>666</v>
      </c>
      <c r="E533" s="380" t="s">
        <v>75</v>
      </c>
      <c r="F533" s="380" t="s">
        <v>17</v>
      </c>
      <c r="G533" s="381" t="s">
        <v>18</v>
      </c>
      <c r="H533" s="381" t="s">
        <v>18</v>
      </c>
    </row>
    <row r="534" spans="1:8">
      <c r="A534" s="380" t="s">
        <v>110</v>
      </c>
      <c r="B534" s="380" t="s">
        <v>111</v>
      </c>
      <c r="C534" s="401" t="s">
        <v>24</v>
      </c>
      <c r="D534" s="402" t="s">
        <v>667</v>
      </c>
      <c r="E534" s="380" t="s">
        <v>25</v>
      </c>
      <c r="F534" s="380" t="s">
        <v>17</v>
      </c>
      <c r="G534" s="381" t="s">
        <v>995</v>
      </c>
      <c r="H534" s="381" t="s">
        <v>864</v>
      </c>
    </row>
    <row r="535" spans="1:8">
      <c r="A535" s="380" t="s">
        <v>110</v>
      </c>
      <c r="B535" s="380" t="s">
        <v>111</v>
      </c>
      <c r="C535" s="401" t="s">
        <v>78</v>
      </c>
      <c r="D535" s="402" t="s">
        <v>668</v>
      </c>
      <c r="E535" s="380" t="s">
        <v>79</v>
      </c>
      <c r="F535" s="380" t="s">
        <v>17</v>
      </c>
      <c r="G535" s="381" t="s">
        <v>18</v>
      </c>
      <c r="H535" s="381" t="s">
        <v>18</v>
      </c>
    </row>
    <row r="536" spans="1:8">
      <c r="A536" s="380" t="s">
        <v>110</v>
      </c>
      <c r="B536" s="380" t="s">
        <v>111</v>
      </c>
      <c r="C536" s="401" t="s">
        <v>84</v>
      </c>
      <c r="D536" s="402" t="s">
        <v>669</v>
      </c>
      <c r="E536" s="380" t="s">
        <v>85</v>
      </c>
      <c r="F536" s="380" t="s">
        <v>17</v>
      </c>
      <c r="G536" s="381" t="s">
        <v>18</v>
      </c>
      <c r="H536" s="381" t="s">
        <v>18</v>
      </c>
    </row>
    <row r="537" spans="1:8">
      <c r="A537" s="380" t="s">
        <v>110</v>
      </c>
      <c r="B537" s="380" t="s">
        <v>111</v>
      </c>
      <c r="C537" s="401" t="s">
        <v>92</v>
      </c>
      <c r="D537" s="402" t="s">
        <v>670</v>
      </c>
      <c r="E537" s="380" t="s">
        <v>93</v>
      </c>
      <c r="F537" s="380" t="s">
        <v>17</v>
      </c>
      <c r="G537" s="381" t="s">
        <v>999</v>
      </c>
      <c r="H537" s="381" t="s">
        <v>999</v>
      </c>
    </row>
    <row r="538" spans="1:8">
      <c r="A538" s="380" t="s">
        <v>110</v>
      </c>
      <c r="B538" s="380" t="s">
        <v>111</v>
      </c>
      <c r="C538" s="401" t="s">
        <v>32</v>
      </c>
      <c r="D538" s="402" t="s">
        <v>671</v>
      </c>
      <c r="E538" s="380" t="s">
        <v>33</v>
      </c>
      <c r="F538" s="380" t="s">
        <v>17</v>
      </c>
      <c r="G538" s="381" t="s">
        <v>999</v>
      </c>
      <c r="H538" s="381" t="s">
        <v>999</v>
      </c>
    </row>
    <row r="539" spans="1:8">
      <c r="A539" s="380" t="s">
        <v>110</v>
      </c>
      <c r="B539" s="380" t="s">
        <v>111</v>
      </c>
      <c r="C539" s="401" t="s">
        <v>63</v>
      </c>
      <c r="D539" s="402" t="s">
        <v>672</v>
      </c>
      <c r="E539" s="380" t="s">
        <v>140</v>
      </c>
      <c r="F539" s="380" t="s">
        <v>17</v>
      </c>
      <c r="G539" s="381" t="s">
        <v>999</v>
      </c>
      <c r="H539" s="381" t="s">
        <v>999</v>
      </c>
    </row>
    <row r="540" spans="1:8">
      <c r="A540" s="380" t="s">
        <v>110</v>
      </c>
      <c r="B540" s="380" t="s">
        <v>111</v>
      </c>
      <c r="C540" s="401" t="s">
        <v>146</v>
      </c>
      <c r="D540" s="402" t="s">
        <v>673</v>
      </c>
      <c r="E540" s="380" t="s">
        <v>147</v>
      </c>
      <c r="F540" s="380" t="s">
        <v>17</v>
      </c>
      <c r="G540" s="381" t="s">
        <v>1021</v>
      </c>
      <c r="H540" s="381" t="s">
        <v>1021</v>
      </c>
    </row>
    <row r="541" spans="1:8" customFormat="1" ht="15">
      <c r="A541" s="356" t="s">
        <v>110</v>
      </c>
      <c r="B541" s="356" t="s">
        <v>111</v>
      </c>
      <c r="C541" s="356" t="s">
        <v>149</v>
      </c>
      <c r="D541" s="357" t="s">
        <v>674</v>
      </c>
      <c r="E541" s="356" t="s">
        <v>150</v>
      </c>
      <c r="F541" s="356" t="s">
        <v>73</v>
      </c>
      <c r="G541" s="358" t="s">
        <v>997</v>
      </c>
      <c r="H541" s="358" t="s">
        <v>998</v>
      </c>
    </row>
    <row r="542" spans="1:8">
      <c r="A542" s="380" t="s">
        <v>110</v>
      </c>
      <c r="B542" s="380" t="s">
        <v>111</v>
      </c>
      <c r="C542" s="401" t="s">
        <v>180</v>
      </c>
      <c r="D542" s="402" t="s">
        <v>675</v>
      </c>
      <c r="E542" s="380" t="s">
        <v>181</v>
      </c>
      <c r="F542" s="380" t="s">
        <v>17</v>
      </c>
      <c r="G542" s="381" t="s">
        <v>1021</v>
      </c>
      <c r="H542" s="381" t="s">
        <v>1021</v>
      </c>
    </row>
    <row r="543" spans="1:8">
      <c r="A543" s="380" t="s">
        <v>110</v>
      </c>
      <c r="B543" s="380" t="s">
        <v>111</v>
      </c>
      <c r="C543" s="401" t="s">
        <v>183</v>
      </c>
      <c r="D543" s="402" t="s">
        <v>676</v>
      </c>
      <c r="E543" s="380" t="s">
        <v>184</v>
      </c>
      <c r="F543" s="380" t="s">
        <v>17</v>
      </c>
      <c r="G543" s="381" t="s">
        <v>18</v>
      </c>
      <c r="H543" s="381" t="s">
        <v>18</v>
      </c>
    </row>
    <row r="544" spans="1:8">
      <c r="A544" s="380" t="s">
        <v>110</v>
      </c>
      <c r="B544" s="380" t="s">
        <v>111</v>
      </c>
      <c r="C544" s="401" t="s">
        <v>191</v>
      </c>
      <c r="D544" s="402" t="s">
        <v>677</v>
      </c>
      <c r="E544" s="380" t="s">
        <v>192</v>
      </c>
      <c r="F544" s="380" t="s">
        <v>17</v>
      </c>
      <c r="G544" s="381" t="s">
        <v>18</v>
      </c>
      <c r="H544" s="381" t="s">
        <v>18</v>
      </c>
    </row>
    <row r="545" spans="1:8">
      <c r="A545" s="380" t="s">
        <v>110</v>
      </c>
      <c r="B545" s="380" t="s">
        <v>111</v>
      </c>
      <c r="C545" s="401" t="s">
        <v>189</v>
      </c>
      <c r="D545" s="402" t="s">
        <v>678</v>
      </c>
      <c r="E545" s="380" t="s">
        <v>190</v>
      </c>
      <c r="F545" s="380" t="s">
        <v>17</v>
      </c>
      <c r="G545" s="381" t="s">
        <v>18</v>
      </c>
      <c r="H545" s="381" t="s">
        <v>18</v>
      </c>
    </row>
    <row r="546" spans="1:8">
      <c r="A546" s="380" t="s">
        <v>110</v>
      </c>
      <c r="B546" s="380" t="s">
        <v>111</v>
      </c>
      <c r="C546" s="401" t="s">
        <v>194</v>
      </c>
      <c r="D546" s="402" t="s">
        <v>679</v>
      </c>
      <c r="E546" s="380" t="s">
        <v>195</v>
      </c>
      <c r="F546" s="380" t="s">
        <v>17</v>
      </c>
      <c r="G546" s="381" t="s">
        <v>999</v>
      </c>
      <c r="H546" s="381" t="s">
        <v>999</v>
      </c>
    </row>
    <row r="547" spans="1:8">
      <c r="A547" s="380" t="s">
        <v>110</v>
      </c>
      <c r="B547" s="380" t="s">
        <v>111</v>
      </c>
      <c r="C547" s="401" t="s">
        <v>778</v>
      </c>
      <c r="D547" s="402" t="s">
        <v>779</v>
      </c>
      <c r="E547" s="380" t="s">
        <v>780</v>
      </c>
      <c r="F547" s="380" t="s">
        <v>17</v>
      </c>
      <c r="G547" s="381" t="s">
        <v>18</v>
      </c>
      <c r="H547" s="381" t="s">
        <v>18</v>
      </c>
    </row>
    <row r="548" spans="1:8" customFormat="1" ht="15">
      <c r="A548" s="356" t="s">
        <v>112</v>
      </c>
      <c r="B548" s="356" t="s">
        <v>113</v>
      </c>
      <c r="C548" s="356" t="s">
        <v>28</v>
      </c>
      <c r="D548" s="357" t="s">
        <v>680</v>
      </c>
      <c r="E548" s="356" t="s">
        <v>29</v>
      </c>
      <c r="F548" s="356" t="s">
        <v>30</v>
      </c>
      <c r="G548" s="358" t="s">
        <v>172</v>
      </c>
      <c r="H548" s="358" t="s">
        <v>896</v>
      </c>
    </row>
    <row r="549" spans="1:8" customFormat="1" ht="15">
      <c r="A549" s="356" t="s">
        <v>112</v>
      </c>
      <c r="B549" s="356" t="s">
        <v>113</v>
      </c>
      <c r="C549" s="356" t="s">
        <v>88</v>
      </c>
      <c r="D549" s="357" t="s">
        <v>681</v>
      </c>
      <c r="E549" s="356" t="s">
        <v>89</v>
      </c>
      <c r="F549" s="356" t="s">
        <v>31</v>
      </c>
      <c r="G549" s="358" t="s">
        <v>172</v>
      </c>
      <c r="H549" s="358" t="s">
        <v>896</v>
      </c>
    </row>
    <row r="550" spans="1:8" customFormat="1" ht="15">
      <c r="A550" s="356" t="s">
        <v>112</v>
      </c>
      <c r="B550" s="356" t="s">
        <v>113</v>
      </c>
      <c r="C550" s="356" t="s">
        <v>144</v>
      </c>
      <c r="D550" s="357" t="s">
        <v>781</v>
      </c>
      <c r="E550" s="356" t="s">
        <v>145</v>
      </c>
      <c r="F550" s="356" t="s">
        <v>31</v>
      </c>
      <c r="G550" s="358" t="s">
        <v>172</v>
      </c>
      <c r="H550" s="358" t="s">
        <v>896</v>
      </c>
    </row>
    <row r="551" spans="1:8" customFormat="1" ht="15">
      <c r="A551" s="356" t="s">
        <v>112</v>
      </c>
      <c r="B551" s="356" t="s">
        <v>113</v>
      </c>
      <c r="C551" s="356" t="s">
        <v>167</v>
      </c>
      <c r="D551" s="357" t="s">
        <v>682</v>
      </c>
      <c r="E551" s="356" t="s">
        <v>168</v>
      </c>
      <c r="F551" s="356" t="s">
        <v>169</v>
      </c>
      <c r="G551" s="358" t="s">
        <v>173</v>
      </c>
      <c r="H551" s="358" t="s">
        <v>896</v>
      </c>
    </row>
    <row r="552" spans="1:8" customFormat="1" ht="15">
      <c r="A552" s="356" t="s">
        <v>112</v>
      </c>
      <c r="B552" s="356" t="s">
        <v>113</v>
      </c>
      <c r="C552" s="356" t="s">
        <v>198</v>
      </c>
      <c r="D552" s="357" t="s">
        <v>760</v>
      </c>
      <c r="E552" s="356" t="s">
        <v>199</v>
      </c>
      <c r="F552" s="356" t="s">
        <v>30</v>
      </c>
      <c r="G552" s="358" t="s">
        <v>172</v>
      </c>
      <c r="H552" s="358" t="s">
        <v>896</v>
      </c>
    </row>
    <row r="553" spans="1:8" customFormat="1" ht="15">
      <c r="A553" s="356" t="s">
        <v>112</v>
      </c>
      <c r="B553" s="356" t="s">
        <v>113</v>
      </c>
      <c r="C553" s="356" t="s">
        <v>34</v>
      </c>
      <c r="D553" s="357" t="s">
        <v>683</v>
      </c>
      <c r="E553" s="356" t="s">
        <v>35</v>
      </c>
      <c r="F553" s="356" t="s">
        <v>36</v>
      </c>
      <c r="G553" s="358" t="s">
        <v>996</v>
      </c>
      <c r="H553" s="358" t="s">
        <v>895</v>
      </c>
    </row>
    <row r="554" spans="1:8" customFormat="1" ht="15">
      <c r="A554" s="356" t="s">
        <v>112</v>
      </c>
      <c r="B554" s="356" t="s">
        <v>113</v>
      </c>
      <c r="C554" s="356" t="s">
        <v>37</v>
      </c>
      <c r="D554" s="357" t="s">
        <v>684</v>
      </c>
      <c r="E554" s="356" t="s">
        <v>38</v>
      </c>
      <c r="F554" s="356" t="s">
        <v>36</v>
      </c>
      <c r="G554" s="358" t="s">
        <v>996</v>
      </c>
      <c r="H554" s="358" t="s">
        <v>895</v>
      </c>
    </row>
    <row r="555" spans="1:8" customFormat="1" ht="15">
      <c r="A555" s="356" t="s">
        <v>112</v>
      </c>
      <c r="B555" s="356" t="s">
        <v>113</v>
      </c>
      <c r="C555" s="356" t="s">
        <v>41</v>
      </c>
      <c r="D555" s="357" t="s">
        <v>685</v>
      </c>
      <c r="E555" s="356" t="s">
        <v>42</v>
      </c>
      <c r="F555" s="356" t="s">
        <v>36</v>
      </c>
      <c r="G555" s="358" t="s">
        <v>996</v>
      </c>
      <c r="H555" s="358" t="s">
        <v>895</v>
      </c>
    </row>
    <row r="556" spans="1:8" customFormat="1" ht="15">
      <c r="A556" s="356" t="s">
        <v>112</v>
      </c>
      <c r="B556" s="356" t="s">
        <v>113</v>
      </c>
      <c r="C556" s="356" t="s">
        <v>43</v>
      </c>
      <c r="D556" s="357" t="s">
        <v>686</v>
      </c>
      <c r="E556" s="356" t="s">
        <v>44</v>
      </c>
      <c r="F556" s="356" t="s">
        <v>36</v>
      </c>
      <c r="G556" s="358" t="s">
        <v>996</v>
      </c>
      <c r="H556" s="358" t="s">
        <v>895</v>
      </c>
    </row>
    <row r="557" spans="1:8" customFormat="1" ht="15">
      <c r="A557" s="356" t="s">
        <v>112</v>
      </c>
      <c r="B557" s="356" t="s">
        <v>113</v>
      </c>
      <c r="C557" s="356" t="s">
        <v>45</v>
      </c>
      <c r="D557" s="357" t="s">
        <v>785</v>
      </c>
      <c r="E557" s="356" t="s">
        <v>46</v>
      </c>
      <c r="F557" s="356" t="s">
        <v>36</v>
      </c>
      <c r="G557" s="358" t="s">
        <v>996</v>
      </c>
      <c r="H557" s="358" t="s">
        <v>895</v>
      </c>
    </row>
    <row r="558" spans="1:8" customFormat="1" ht="15">
      <c r="A558" s="356" t="s">
        <v>112</v>
      </c>
      <c r="B558" s="356" t="s">
        <v>113</v>
      </c>
      <c r="C558" s="356" t="s">
        <v>47</v>
      </c>
      <c r="D558" s="357" t="s">
        <v>687</v>
      </c>
      <c r="E558" s="356" t="s">
        <v>48</v>
      </c>
      <c r="F558" s="356" t="s">
        <v>36</v>
      </c>
      <c r="G558" s="358" t="s">
        <v>996</v>
      </c>
      <c r="H558" s="358" t="s">
        <v>895</v>
      </c>
    </row>
    <row r="559" spans="1:8" customFormat="1" ht="15">
      <c r="A559" s="356" t="s">
        <v>112</v>
      </c>
      <c r="B559" s="356" t="s">
        <v>113</v>
      </c>
      <c r="C559" s="356" t="s">
        <v>49</v>
      </c>
      <c r="D559" s="357" t="s">
        <v>688</v>
      </c>
      <c r="E559" s="356" t="s">
        <v>50</v>
      </c>
      <c r="F559" s="356" t="s">
        <v>36</v>
      </c>
      <c r="G559" s="358" t="s">
        <v>996</v>
      </c>
      <c r="H559" s="358" t="s">
        <v>895</v>
      </c>
    </row>
    <row r="560" spans="1:8">
      <c r="A560" s="380" t="s">
        <v>112</v>
      </c>
      <c r="B560" s="380" t="s">
        <v>113</v>
      </c>
      <c r="C560" s="401" t="s">
        <v>51</v>
      </c>
      <c r="D560" s="402" t="s">
        <v>689</v>
      </c>
      <c r="E560" s="380" t="s">
        <v>52</v>
      </c>
      <c r="F560" s="380" t="s">
        <v>17</v>
      </c>
      <c r="G560" s="381" t="s">
        <v>995</v>
      </c>
      <c r="H560" s="381" t="s">
        <v>864</v>
      </c>
    </row>
    <row r="561" spans="1:8">
      <c r="A561" s="380" t="s">
        <v>112</v>
      </c>
      <c r="B561" s="380" t="s">
        <v>113</v>
      </c>
      <c r="C561" s="401" t="s">
        <v>53</v>
      </c>
      <c r="D561" s="402" t="s">
        <v>690</v>
      </c>
      <c r="E561" s="380" t="s">
        <v>54</v>
      </c>
      <c r="F561" s="380" t="s">
        <v>17</v>
      </c>
      <c r="G561" s="381" t="s">
        <v>999</v>
      </c>
      <c r="H561" s="381" t="s">
        <v>999</v>
      </c>
    </row>
    <row r="562" spans="1:8">
      <c r="A562" s="380" t="s">
        <v>112</v>
      </c>
      <c r="B562" s="380" t="s">
        <v>113</v>
      </c>
      <c r="C562" s="401" t="s">
        <v>15</v>
      </c>
      <c r="D562" s="402" t="s">
        <v>691</v>
      </c>
      <c r="E562" s="380" t="s">
        <v>16</v>
      </c>
      <c r="F562" s="380" t="s">
        <v>17</v>
      </c>
      <c r="G562" s="381" t="s">
        <v>1021</v>
      </c>
      <c r="H562" s="381" t="s">
        <v>1021</v>
      </c>
    </row>
    <row r="563" spans="1:8">
      <c r="A563" s="380" t="s">
        <v>112</v>
      </c>
      <c r="B563" s="380" t="s">
        <v>113</v>
      </c>
      <c r="C563" s="401" t="s">
        <v>55</v>
      </c>
      <c r="D563" s="402" t="s">
        <v>692</v>
      </c>
      <c r="E563" s="380" t="s">
        <v>56</v>
      </c>
      <c r="F563" s="380" t="s">
        <v>17</v>
      </c>
      <c r="G563" s="381" t="s">
        <v>1021</v>
      </c>
      <c r="H563" s="381" t="s">
        <v>1021</v>
      </c>
    </row>
    <row r="564" spans="1:8">
      <c r="A564" s="380" t="s">
        <v>112</v>
      </c>
      <c r="B564" s="380" t="s">
        <v>113</v>
      </c>
      <c r="C564" s="401" t="s">
        <v>57</v>
      </c>
      <c r="D564" s="402" t="s">
        <v>693</v>
      </c>
      <c r="E564" s="380" t="s">
        <v>58</v>
      </c>
      <c r="F564" s="380" t="s">
        <v>17</v>
      </c>
      <c r="G564" s="381" t="s">
        <v>18</v>
      </c>
      <c r="H564" s="381" t="s">
        <v>18</v>
      </c>
    </row>
    <row r="565" spans="1:8">
      <c r="A565" s="380" t="s">
        <v>112</v>
      </c>
      <c r="B565" s="380" t="s">
        <v>113</v>
      </c>
      <c r="C565" s="401" t="s">
        <v>59</v>
      </c>
      <c r="D565" s="402" t="s">
        <v>694</v>
      </c>
      <c r="E565" s="380" t="s">
        <v>60</v>
      </c>
      <c r="F565" s="380" t="s">
        <v>17</v>
      </c>
      <c r="G565" s="381" t="s">
        <v>995</v>
      </c>
      <c r="H565" s="381" t="s">
        <v>864</v>
      </c>
    </row>
    <row r="566" spans="1:8">
      <c r="A566" s="380" t="s">
        <v>112</v>
      </c>
      <c r="B566" s="380" t="s">
        <v>113</v>
      </c>
      <c r="C566" s="401" t="s">
        <v>19</v>
      </c>
      <c r="D566" s="402" t="s">
        <v>695</v>
      </c>
      <c r="E566" s="380" t="s">
        <v>20</v>
      </c>
      <c r="F566" s="380" t="s">
        <v>17</v>
      </c>
      <c r="G566" s="381" t="s">
        <v>995</v>
      </c>
      <c r="H566" s="381" t="s">
        <v>864</v>
      </c>
    </row>
    <row r="567" spans="1:8">
      <c r="A567" s="380" t="s">
        <v>112</v>
      </c>
      <c r="B567" s="380" t="s">
        <v>113</v>
      </c>
      <c r="C567" s="401" t="s">
        <v>61</v>
      </c>
      <c r="D567" s="402" t="s">
        <v>696</v>
      </c>
      <c r="E567" s="380" t="s">
        <v>62</v>
      </c>
      <c r="F567" s="380" t="s">
        <v>17</v>
      </c>
      <c r="G567" s="381" t="s">
        <v>1021</v>
      </c>
      <c r="H567" s="381" t="s">
        <v>1021</v>
      </c>
    </row>
    <row r="568" spans="1:8">
      <c r="A568" s="380" t="s">
        <v>112</v>
      </c>
      <c r="B568" s="380" t="s">
        <v>113</v>
      </c>
      <c r="C568" s="401" t="s">
        <v>22</v>
      </c>
      <c r="D568" s="402" t="s">
        <v>697</v>
      </c>
      <c r="E568" s="380" t="s">
        <v>23</v>
      </c>
      <c r="F568" s="380" t="s">
        <v>17</v>
      </c>
      <c r="G568" s="381" t="s">
        <v>1021</v>
      </c>
      <c r="H568" s="381" t="s">
        <v>1021</v>
      </c>
    </row>
    <row r="569" spans="1:8">
      <c r="A569" s="380" t="s">
        <v>112</v>
      </c>
      <c r="B569" s="380" t="s">
        <v>113</v>
      </c>
      <c r="C569" s="401" t="s">
        <v>65</v>
      </c>
      <c r="D569" s="402" t="s">
        <v>698</v>
      </c>
      <c r="E569" s="380" t="s">
        <v>66</v>
      </c>
      <c r="F569" s="380" t="s">
        <v>17</v>
      </c>
      <c r="G569" s="381" t="s">
        <v>18</v>
      </c>
      <c r="H569" s="381" t="s">
        <v>18</v>
      </c>
    </row>
    <row r="570" spans="1:8">
      <c r="A570" s="380" t="s">
        <v>112</v>
      </c>
      <c r="B570" s="380" t="s">
        <v>113</v>
      </c>
      <c r="C570" s="401" t="s">
        <v>67</v>
      </c>
      <c r="D570" s="402" t="s">
        <v>699</v>
      </c>
      <c r="E570" s="380" t="s">
        <v>68</v>
      </c>
      <c r="F570" s="380" t="s">
        <v>17</v>
      </c>
      <c r="G570" s="381" t="s">
        <v>995</v>
      </c>
      <c r="H570" s="381" t="s">
        <v>864</v>
      </c>
    </row>
    <row r="571" spans="1:8">
      <c r="A571" s="380" t="s">
        <v>112</v>
      </c>
      <c r="B571" s="380" t="s">
        <v>113</v>
      </c>
      <c r="C571" s="401" t="s">
        <v>69</v>
      </c>
      <c r="D571" s="402" t="s">
        <v>700</v>
      </c>
      <c r="E571" s="380" t="s">
        <v>70</v>
      </c>
      <c r="F571" s="380" t="s">
        <v>17</v>
      </c>
      <c r="G571" s="381" t="s">
        <v>18</v>
      </c>
      <c r="H571" s="381" t="s">
        <v>18</v>
      </c>
    </row>
    <row r="572" spans="1:8">
      <c r="A572" s="380" t="s">
        <v>112</v>
      </c>
      <c r="B572" s="380" t="s">
        <v>113</v>
      </c>
      <c r="C572" s="401" t="s">
        <v>90</v>
      </c>
      <c r="D572" s="402" t="s">
        <v>151</v>
      </c>
      <c r="E572" s="380" t="s">
        <v>91</v>
      </c>
      <c r="F572" s="380" t="s">
        <v>17</v>
      </c>
      <c r="G572" s="381" t="s">
        <v>18</v>
      </c>
      <c r="H572" s="381" t="s">
        <v>18</v>
      </c>
    </row>
    <row r="573" spans="1:8" customFormat="1" ht="15">
      <c r="A573" s="356" t="s">
        <v>112</v>
      </c>
      <c r="B573" s="356" t="s">
        <v>113</v>
      </c>
      <c r="C573" s="356" t="s">
        <v>71</v>
      </c>
      <c r="D573" s="357" t="s">
        <v>701</v>
      </c>
      <c r="E573" s="356" t="s">
        <v>72</v>
      </c>
      <c r="F573" s="356" t="s">
        <v>73</v>
      </c>
      <c r="G573" s="358" t="s">
        <v>997</v>
      </c>
      <c r="H573" s="358" t="s">
        <v>998</v>
      </c>
    </row>
    <row r="574" spans="1:8">
      <c r="A574" s="385" t="s">
        <v>112</v>
      </c>
      <c r="B574" s="386" t="s">
        <v>113</v>
      </c>
      <c r="C574" s="391" t="s">
        <v>24</v>
      </c>
      <c r="D574" s="402" t="s">
        <v>702</v>
      </c>
      <c r="E574" s="386" t="s">
        <v>25</v>
      </c>
      <c r="F574" s="386" t="s">
        <v>17</v>
      </c>
      <c r="G574" s="381" t="s">
        <v>995</v>
      </c>
      <c r="H574" s="381" t="s">
        <v>864</v>
      </c>
    </row>
    <row r="575" spans="1:8">
      <c r="A575" s="385" t="s">
        <v>112</v>
      </c>
      <c r="B575" s="386" t="s">
        <v>113</v>
      </c>
      <c r="C575" s="391" t="s">
        <v>78</v>
      </c>
      <c r="D575" s="402" t="s">
        <v>703</v>
      </c>
      <c r="E575" s="386" t="s">
        <v>79</v>
      </c>
      <c r="F575" s="386" t="s">
        <v>17</v>
      </c>
      <c r="G575" s="381" t="s">
        <v>18</v>
      </c>
      <c r="H575" s="381" t="s">
        <v>18</v>
      </c>
    </row>
    <row r="576" spans="1:8">
      <c r="A576" s="385" t="s">
        <v>112</v>
      </c>
      <c r="B576" s="386" t="s">
        <v>113</v>
      </c>
      <c r="C576" s="391" t="s">
        <v>84</v>
      </c>
      <c r="D576" s="402" t="s">
        <v>704</v>
      </c>
      <c r="E576" s="386" t="s">
        <v>85</v>
      </c>
      <c r="F576" s="386" t="s">
        <v>17</v>
      </c>
      <c r="G576" s="381" t="s">
        <v>18</v>
      </c>
      <c r="H576" s="381" t="s">
        <v>18</v>
      </c>
    </row>
    <row r="577" spans="1:8">
      <c r="A577" s="385" t="s">
        <v>112</v>
      </c>
      <c r="B577" s="386" t="s">
        <v>113</v>
      </c>
      <c r="C577" s="391" t="s">
        <v>92</v>
      </c>
      <c r="D577" s="402" t="s">
        <v>782</v>
      </c>
      <c r="E577" s="386" t="s">
        <v>93</v>
      </c>
      <c r="F577" s="386" t="s">
        <v>17</v>
      </c>
      <c r="G577" s="381" t="s">
        <v>999</v>
      </c>
      <c r="H577" s="381" t="s">
        <v>999</v>
      </c>
    </row>
    <row r="578" spans="1:8">
      <c r="A578" s="385" t="s">
        <v>112</v>
      </c>
      <c r="B578" s="386" t="s">
        <v>113</v>
      </c>
      <c r="C578" s="391" t="s">
        <v>32</v>
      </c>
      <c r="D578" s="402" t="s">
        <v>705</v>
      </c>
      <c r="E578" s="386" t="s">
        <v>33</v>
      </c>
      <c r="F578" s="386" t="s">
        <v>17</v>
      </c>
      <c r="G578" s="381" t="s">
        <v>999</v>
      </c>
      <c r="H578" s="381" t="s">
        <v>999</v>
      </c>
    </row>
    <row r="579" spans="1:8">
      <c r="A579" s="385" t="s">
        <v>112</v>
      </c>
      <c r="B579" s="386" t="s">
        <v>113</v>
      </c>
      <c r="C579" s="391" t="s">
        <v>63</v>
      </c>
      <c r="D579" s="402" t="s">
        <v>706</v>
      </c>
      <c r="E579" s="386" t="s">
        <v>140</v>
      </c>
      <c r="F579" s="386" t="s">
        <v>17</v>
      </c>
      <c r="G579" s="381" t="s">
        <v>999</v>
      </c>
      <c r="H579" s="381" t="s">
        <v>999</v>
      </c>
    </row>
    <row r="580" spans="1:8">
      <c r="A580" s="385" t="s">
        <v>112</v>
      </c>
      <c r="B580" s="386" t="s">
        <v>113</v>
      </c>
      <c r="C580" s="391" t="s">
        <v>146</v>
      </c>
      <c r="D580" s="402" t="s">
        <v>707</v>
      </c>
      <c r="E580" s="386" t="s">
        <v>147</v>
      </c>
      <c r="F580" s="386" t="s">
        <v>17</v>
      </c>
      <c r="G580" s="381" t="s">
        <v>1021</v>
      </c>
      <c r="H580" s="381" t="s">
        <v>1021</v>
      </c>
    </row>
    <row r="581" spans="1:8" customFormat="1" ht="15">
      <c r="A581" s="361" t="s">
        <v>112</v>
      </c>
      <c r="B581" s="362" t="s">
        <v>113</v>
      </c>
      <c r="C581" s="362" t="s">
        <v>149</v>
      </c>
      <c r="D581" s="357" t="s">
        <v>708</v>
      </c>
      <c r="E581" s="362" t="s">
        <v>150</v>
      </c>
      <c r="F581" s="356" t="s">
        <v>73</v>
      </c>
      <c r="G581" s="358" t="s">
        <v>997</v>
      </c>
      <c r="H581" s="358" t="s">
        <v>998</v>
      </c>
    </row>
    <row r="582" spans="1:8">
      <c r="A582" s="385" t="s">
        <v>112</v>
      </c>
      <c r="B582" s="386" t="s">
        <v>113</v>
      </c>
      <c r="C582" s="391" t="s">
        <v>180</v>
      </c>
      <c r="D582" s="402" t="s">
        <v>709</v>
      </c>
      <c r="E582" s="386" t="s">
        <v>181</v>
      </c>
      <c r="F582" s="386" t="s">
        <v>17</v>
      </c>
      <c r="G582" s="381" t="s">
        <v>1021</v>
      </c>
      <c r="H582" s="381" t="s">
        <v>1021</v>
      </c>
    </row>
    <row r="583" spans="1:8">
      <c r="A583" s="385" t="s">
        <v>112</v>
      </c>
      <c r="B583" s="386" t="s">
        <v>113</v>
      </c>
      <c r="C583" s="391" t="s">
        <v>183</v>
      </c>
      <c r="D583" s="402" t="s">
        <v>710</v>
      </c>
      <c r="E583" s="386" t="s">
        <v>184</v>
      </c>
      <c r="F583" s="380" t="s">
        <v>17</v>
      </c>
      <c r="G583" s="381" t="s">
        <v>18</v>
      </c>
      <c r="H583" s="381" t="s">
        <v>18</v>
      </c>
    </row>
    <row r="584" spans="1:8">
      <c r="A584" s="385" t="s">
        <v>112</v>
      </c>
      <c r="B584" s="386" t="s">
        <v>113</v>
      </c>
      <c r="C584" s="391" t="s">
        <v>191</v>
      </c>
      <c r="D584" s="402" t="s">
        <v>711</v>
      </c>
      <c r="E584" s="386" t="s">
        <v>192</v>
      </c>
      <c r="F584" s="380" t="s">
        <v>17</v>
      </c>
      <c r="G584" s="381" t="s">
        <v>18</v>
      </c>
      <c r="H584" s="381" t="s">
        <v>18</v>
      </c>
    </row>
    <row r="585" spans="1:8">
      <c r="A585" s="385" t="s">
        <v>112</v>
      </c>
      <c r="B585" s="386" t="s">
        <v>113</v>
      </c>
      <c r="C585" s="401" t="s">
        <v>189</v>
      </c>
      <c r="D585" s="402" t="s">
        <v>712</v>
      </c>
      <c r="E585" s="386" t="s">
        <v>190</v>
      </c>
      <c r="F585" s="380" t="s">
        <v>17</v>
      </c>
      <c r="G585" s="381" t="s">
        <v>18</v>
      </c>
      <c r="H585" s="381" t="s">
        <v>18</v>
      </c>
    </row>
    <row r="586" spans="1:8">
      <c r="A586" s="385" t="s">
        <v>112</v>
      </c>
      <c r="B586" s="386" t="s">
        <v>113</v>
      </c>
      <c r="C586" s="391" t="s">
        <v>194</v>
      </c>
      <c r="D586" s="402" t="s">
        <v>713</v>
      </c>
      <c r="E586" s="386" t="s">
        <v>195</v>
      </c>
      <c r="F586" s="386" t="s">
        <v>17</v>
      </c>
      <c r="G586" s="381" t="s">
        <v>999</v>
      </c>
      <c r="H586" s="381" t="s">
        <v>999</v>
      </c>
    </row>
    <row r="587" spans="1:8">
      <c r="A587" s="385" t="s">
        <v>112</v>
      </c>
      <c r="B587" s="386" t="s">
        <v>113</v>
      </c>
      <c r="C587" s="391" t="s">
        <v>778</v>
      </c>
      <c r="D587" s="402" t="s">
        <v>788</v>
      </c>
      <c r="E587" s="386" t="s">
        <v>780</v>
      </c>
      <c r="F587" s="386" t="s">
        <v>17</v>
      </c>
      <c r="G587" s="385" t="s">
        <v>18</v>
      </c>
      <c r="H587" s="381" t="s">
        <v>18</v>
      </c>
    </row>
    <row r="588" spans="1:8">
      <c r="A588" s="385" t="s">
        <v>13</v>
      </c>
      <c r="B588" s="380" t="s">
        <v>14</v>
      </c>
      <c r="C588" s="391" t="s">
        <v>57</v>
      </c>
      <c r="D588" s="401" t="s">
        <v>1057</v>
      </c>
      <c r="E588" s="386" t="s">
        <v>58</v>
      </c>
      <c r="F588" s="386" t="s">
        <v>17</v>
      </c>
      <c r="G588" s="385" t="s">
        <v>18</v>
      </c>
      <c r="H588" s="381" t="s">
        <v>18</v>
      </c>
    </row>
    <row r="589" spans="1:8">
      <c r="A589" s="385" t="s">
        <v>152</v>
      </c>
      <c r="B589" s="380" t="s">
        <v>153</v>
      </c>
      <c r="C589" s="391" t="s">
        <v>57</v>
      </c>
      <c r="D589" s="401" t="s">
        <v>1058</v>
      </c>
      <c r="E589" s="386" t="s">
        <v>58</v>
      </c>
      <c r="F589" s="386" t="s">
        <v>17</v>
      </c>
      <c r="G589" s="385" t="s">
        <v>18</v>
      </c>
      <c r="H589" s="381" t="s">
        <v>18</v>
      </c>
    </row>
    <row r="590" spans="1:8">
      <c r="A590" s="385" t="s">
        <v>98</v>
      </c>
      <c r="B590" s="380" t="s">
        <v>99</v>
      </c>
      <c r="C590" s="391" t="s">
        <v>57</v>
      </c>
      <c r="D590" s="401" t="s">
        <v>1059</v>
      </c>
      <c r="E590" s="386" t="s">
        <v>58</v>
      </c>
      <c r="F590" s="386" t="s">
        <v>17</v>
      </c>
      <c r="G590" s="385" t="s">
        <v>18</v>
      </c>
      <c r="H590" s="381" t="s">
        <v>18</v>
      </c>
    </row>
    <row r="591" spans="1:8">
      <c r="A591" s="385" t="s">
        <v>102</v>
      </c>
      <c r="B591" s="380" t="s">
        <v>103</v>
      </c>
      <c r="C591" s="391" t="s">
        <v>57</v>
      </c>
      <c r="D591" s="401" t="s">
        <v>1060</v>
      </c>
      <c r="E591" s="386" t="s">
        <v>58</v>
      </c>
      <c r="F591" s="386" t="s">
        <v>17</v>
      </c>
      <c r="G591" s="385" t="s">
        <v>18</v>
      </c>
      <c r="H591" s="381" t="s">
        <v>18</v>
      </c>
    </row>
    <row r="592" spans="1:8">
      <c r="A592" s="385" t="s">
        <v>104</v>
      </c>
      <c r="B592" s="380" t="s">
        <v>105</v>
      </c>
      <c r="C592" s="391" t="s">
        <v>57</v>
      </c>
      <c r="D592" s="401" t="s">
        <v>1061</v>
      </c>
      <c r="E592" s="386" t="s">
        <v>58</v>
      </c>
      <c r="F592" s="386" t="s">
        <v>17</v>
      </c>
      <c r="G592" s="385" t="s">
        <v>18</v>
      </c>
      <c r="H592" s="381" t="s">
        <v>18</v>
      </c>
    </row>
    <row r="593" spans="1:8">
      <c r="A593" s="385" t="s">
        <v>13</v>
      </c>
      <c r="B593" s="380" t="s">
        <v>14</v>
      </c>
      <c r="C593" s="391" t="s">
        <v>67</v>
      </c>
      <c r="D593" s="401" t="s">
        <v>1062</v>
      </c>
      <c r="E593" s="386" t="s">
        <v>68</v>
      </c>
      <c r="F593" s="386" t="s">
        <v>17</v>
      </c>
      <c r="G593" s="381" t="s">
        <v>21</v>
      </c>
      <c r="H593" s="381" t="s">
        <v>864</v>
      </c>
    </row>
    <row r="594" spans="1:8">
      <c r="A594" s="385" t="s">
        <v>13</v>
      </c>
      <c r="B594" s="380" t="s">
        <v>14</v>
      </c>
      <c r="C594" s="391" t="s">
        <v>69</v>
      </c>
      <c r="D594" s="401" t="s">
        <v>1063</v>
      </c>
      <c r="E594" s="386" t="s">
        <v>70</v>
      </c>
      <c r="F594" s="386" t="s">
        <v>17</v>
      </c>
      <c r="G594" s="385" t="s">
        <v>18</v>
      </c>
      <c r="H594" s="381" t="s">
        <v>18</v>
      </c>
    </row>
    <row r="595" spans="1:8">
      <c r="A595" s="385" t="s">
        <v>102</v>
      </c>
      <c r="B595" s="380" t="s">
        <v>103</v>
      </c>
      <c r="C595" s="391" t="s">
        <v>69</v>
      </c>
      <c r="D595" s="401" t="s">
        <v>1064</v>
      </c>
      <c r="E595" s="386" t="s">
        <v>70</v>
      </c>
      <c r="F595" s="386" t="s">
        <v>17</v>
      </c>
      <c r="G595" s="385" t="s">
        <v>18</v>
      </c>
      <c r="H595" s="381" t="s">
        <v>18</v>
      </c>
    </row>
    <row r="596" spans="1:8">
      <c r="A596" s="385" t="s">
        <v>108</v>
      </c>
      <c r="B596" s="380" t="s">
        <v>109</v>
      </c>
      <c r="C596" s="391" t="s">
        <v>90</v>
      </c>
      <c r="D596" s="401" t="s">
        <v>1065</v>
      </c>
      <c r="E596" s="386" t="s">
        <v>91</v>
      </c>
      <c r="F596" s="387" t="s">
        <v>17</v>
      </c>
      <c r="G596" s="381" t="s">
        <v>18</v>
      </c>
      <c r="H596" s="381" t="s">
        <v>18</v>
      </c>
    </row>
    <row r="597" spans="1:8">
      <c r="A597" s="385" t="s">
        <v>13</v>
      </c>
      <c r="B597" s="380" t="s">
        <v>14</v>
      </c>
      <c r="C597" s="391" t="s">
        <v>74</v>
      </c>
      <c r="D597" s="401" t="s">
        <v>1066</v>
      </c>
      <c r="E597" s="386" t="s">
        <v>75</v>
      </c>
      <c r="F597" s="386" t="s">
        <v>17</v>
      </c>
      <c r="G597" s="381" t="s">
        <v>18</v>
      </c>
      <c r="H597" s="381" t="s">
        <v>18</v>
      </c>
    </row>
    <row r="598" spans="1:8">
      <c r="A598" s="385" t="s">
        <v>104</v>
      </c>
      <c r="B598" s="380" t="s">
        <v>105</v>
      </c>
      <c r="C598" s="391" t="s">
        <v>74</v>
      </c>
      <c r="D598" s="401" t="s">
        <v>1067</v>
      </c>
      <c r="E598" s="386" t="s">
        <v>75</v>
      </c>
      <c r="F598" s="386" t="s">
        <v>17</v>
      </c>
      <c r="G598" s="381" t="s">
        <v>18</v>
      </c>
      <c r="H598" s="381" t="s">
        <v>18</v>
      </c>
    </row>
    <row r="599" spans="1:8">
      <c r="A599" s="385" t="s">
        <v>13</v>
      </c>
      <c r="B599" s="380" t="s">
        <v>14</v>
      </c>
      <c r="C599" s="391" t="s">
        <v>24</v>
      </c>
      <c r="D599" s="401" t="s">
        <v>1068</v>
      </c>
      <c r="E599" s="386" t="s">
        <v>25</v>
      </c>
      <c r="F599" s="386" t="s">
        <v>17</v>
      </c>
      <c r="G599" s="381" t="s">
        <v>21</v>
      </c>
      <c r="H599" s="381" t="s">
        <v>864</v>
      </c>
    </row>
    <row r="600" spans="1:8">
      <c r="A600" s="385" t="s">
        <v>110</v>
      </c>
      <c r="B600" s="380" t="s">
        <v>111</v>
      </c>
      <c r="C600" s="391" t="s">
        <v>80</v>
      </c>
      <c r="D600" s="401" t="s">
        <v>818</v>
      </c>
      <c r="E600" s="386" t="s">
        <v>81</v>
      </c>
      <c r="F600" s="387" t="s">
        <v>17</v>
      </c>
      <c r="G600" s="381" t="s">
        <v>999</v>
      </c>
      <c r="H600" s="381" t="s">
        <v>999</v>
      </c>
    </row>
    <row r="601" spans="1:8" customFormat="1" ht="15">
      <c r="A601" s="361" t="s">
        <v>98</v>
      </c>
      <c r="B601" s="363" t="s">
        <v>99</v>
      </c>
      <c r="C601" s="361" t="s">
        <v>114</v>
      </c>
      <c r="D601" s="363" t="s">
        <v>811</v>
      </c>
      <c r="E601" s="362" t="s">
        <v>115</v>
      </c>
      <c r="F601" s="364" t="s">
        <v>73</v>
      </c>
      <c r="G601" s="358" t="s">
        <v>997</v>
      </c>
      <c r="H601" s="358" t="s">
        <v>998</v>
      </c>
    </row>
    <row r="602" spans="1:8" customFormat="1" ht="15">
      <c r="A602" s="361" t="s">
        <v>102</v>
      </c>
      <c r="B602" s="363" t="s">
        <v>103</v>
      </c>
      <c r="C602" s="361" t="s">
        <v>114</v>
      </c>
      <c r="D602" s="363" t="s">
        <v>813</v>
      </c>
      <c r="E602" s="362" t="s">
        <v>115</v>
      </c>
      <c r="F602" s="364" t="s">
        <v>73</v>
      </c>
      <c r="G602" s="358" t="s">
        <v>997</v>
      </c>
      <c r="H602" s="358" t="s">
        <v>998</v>
      </c>
    </row>
    <row r="603" spans="1:8" customFormat="1" ht="15">
      <c r="A603" s="361" t="s">
        <v>106</v>
      </c>
      <c r="B603" s="363" t="s">
        <v>107</v>
      </c>
      <c r="C603" s="361" t="s">
        <v>114</v>
      </c>
      <c r="D603" s="363" t="s">
        <v>816</v>
      </c>
      <c r="E603" s="362" t="s">
        <v>115</v>
      </c>
      <c r="F603" s="364" t="s">
        <v>73</v>
      </c>
      <c r="G603" s="358" t="s">
        <v>997</v>
      </c>
      <c r="H603" s="358" t="s">
        <v>998</v>
      </c>
    </row>
    <row r="604" spans="1:8" customFormat="1" ht="15">
      <c r="A604" s="361" t="s">
        <v>110</v>
      </c>
      <c r="B604" s="363" t="s">
        <v>111</v>
      </c>
      <c r="C604" s="361" t="s">
        <v>114</v>
      </c>
      <c r="D604" s="363" t="s">
        <v>819</v>
      </c>
      <c r="E604" s="362" t="s">
        <v>115</v>
      </c>
      <c r="F604" s="364" t="s">
        <v>73</v>
      </c>
      <c r="G604" s="358" t="s">
        <v>997</v>
      </c>
      <c r="H604" s="358" t="s">
        <v>998</v>
      </c>
    </row>
    <row r="605" spans="1:8">
      <c r="A605" s="385" t="s">
        <v>13</v>
      </c>
      <c r="B605" s="380" t="s">
        <v>14</v>
      </c>
      <c r="C605" s="391" t="s">
        <v>180</v>
      </c>
      <c r="D605" s="401" t="s">
        <v>804</v>
      </c>
      <c r="E605" s="386" t="s">
        <v>181</v>
      </c>
      <c r="F605" s="387" t="s">
        <v>17</v>
      </c>
      <c r="G605" s="381" t="s">
        <v>1021</v>
      </c>
      <c r="H605" s="381" t="s">
        <v>1021</v>
      </c>
    </row>
    <row r="606" spans="1:8">
      <c r="A606" s="385" t="s">
        <v>96</v>
      </c>
      <c r="B606" s="380" t="s">
        <v>97</v>
      </c>
      <c r="C606" s="391" t="s">
        <v>180</v>
      </c>
      <c r="D606" s="401" t="s">
        <v>809</v>
      </c>
      <c r="E606" s="386" t="s">
        <v>181</v>
      </c>
      <c r="F606" s="387" t="s">
        <v>17</v>
      </c>
      <c r="G606" s="381" t="s">
        <v>1021</v>
      </c>
      <c r="H606" s="381" t="s">
        <v>1021</v>
      </c>
    </row>
    <row r="607" spans="1:8">
      <c r="A607" s="385" t="s">
        <v>100</v>
      </c>
      <c r="B607" s="380" t="s">
        <v>101</v>
      </c>
      <c r="C607" s="391" t="s">
        <v>180</v>
      </c>
      <c r="D607" s="401" t="s">
        <v>812</v>
      </c>
      <c r="E607" s="386" t="s">
        <v>181</v>
      </c>
      <c r="F607" s="387" t="s">
        <v>17</v>
      </c>
      <c r="G607" s="381" t="s">
        <v>1021</v>
      </c>
      <c r="H607" s="381" t="s">
        <v>1021</v>
      </c>
    </row>
    <row r="608" spans="1:8">
      <c r="A608" s="385" t="s">
        <v>108</v>
      </c>
      <c r="B608" s="380" t="s">
        <v>109</v>
      </c>
      <c r="C608" s="391" t="s">
        <v>180</v>
      </c>
      <c r="D608" s="401" t="s">
        <v>817</v>
      </c>
      <c r="E608" s="386" t="s">
        <v>181</v>
      </c>
      <c r="F608" s="387" t="s">
        <v>17</v>
      </c>
      <c r="G608" s="381" t="s">
        <v>1021</v>
      </c>
      <c r="H608" s="381" t="s">
        <v>1021</v>
      </c>
    </row>
    <row r="609" spans="1:8">
      <c r="A609" s="385" t="s">
        <v>13</v>
      </c>
      <c r="B609" s="380" t="s">
        <v>14</v>
      </c>
      <c r="C609" s="391" t="s">
        <v>183</v>
      </c>
      <c r="D609" s="401" t="s">
        <v>805</v>
      </c>
      <c r="E609" s="386" t="s">
        <v>184</v>
      </c>
      <c r="F609" s="380" t="s">
        <v>17</v>
      </c>
      <c r="G609" s="381" t="s">
        <v>18</v>
      </c>
      <c r="H609" s="381" t="s">
        <v>18</v>
      </c>
    </row>
    <row r="610" spans="1:8">
      <c r="A610" s="385" t="s">
        <v>26</v>
      </c>
      <c r="B610" s="380" t="s">
        <v>27</v>
      </c>
      <c r="C610" s="391" t="s">
        <v>773</v>
      </c>
      <c r="D610" s="401" t="s">
        <v>807</v>
      </c>
      <c r="E610" s="386" t="s">
        <v>775</v>
      </c>
      <c r="F610" s="387" t="s">
        <v>17</v>
      </c>
      <c r="G610" s="381" t="s">
        <v>995</v>
      </c>
      <c r="H610" s="381" t="s">
        <v>999</v>
      </c>
    </row>
    <row r="611" spans="1:8">
      <c r="A611" s="380" t="s">
        <v>94</v>
      </c>
      <c r="B611" s="380" t="s">
        <v>95</v>
      </c>
      <c r="C611" s="391" t="s">
        <v>773</v>
      </c>
      <c r="D611" s="401" t="s">
        <v>808</v>
      </c>
      <c r="E611" s="386" t="s">
        <v>775</v>
      </c>
      <c r="F611" s="387" t="s">
        <v>17</v>
      </c>
      <c r="G611" s="381" t="s">
        <v>995</v>
      </c>
      <c r="H611" s="381" t="s">
        <v>999</v>
      </c>
    </row>
    <row r="612" spans="1:8">
      <c r="A612" s="385" t="s">
        <v>152</v>
      </c>
      <c r="B612" s="380" t="s">
        <v>153</v>
      </c>
      <c r="C612" s="391" t="s">
        <v>773</v>
      </c>
      <c r="D612" s="401" t="s">
        <v>810</v>
      </c>
      <c r="E612" s="386" t="s">
        <v>775</v>
      </c>
      <c r="F612" s="387" t="s">
        <v>17</v>
      </c>
      <c r="G612" s="381" t="s">
        <v>995</v>
      </c>
      <c r="H612" s="381" t="s">
        <v>999</v>
      </c>
    </row>
    <row r="613" spans="1:8">
      <c r="A613" s="385" t="s">
        <v>112</v>
      </c>
      <c r="B613" s="380" t="s">
        <v>113</v>
      </c>
      <c r="C613" s="391" t="s">
        <v>773</v>
      </c>
      <c r="D613" s="401" t="s">
        <v>820</v>
      </c>
      <c r="E613" s="386" t="s">
        <v>775</v>
      </c>
      <c r="F613" s="387" t="s">
        <v>17</v>
      </c>
      <c r="G613" s="381" t="s">
        <v>995</v>
      </c>
      <c r="H613" s="381" t="s">
        <v>999</v>
      </c>
    </row>
    <row r="614" spans="1:8">
      <c r="A614" s="385" t="s">
        <v>102</v>
      </c>
      <c r="B614" s="380" t="s">
        <v>103</v>
      </c>
      <c r="C614" s="391" t="s">
        <v>194</v>
      </c>
      <c r="D614" s="401" t="s">
        <v>1069</v>
      </c>
      <c r="E614" s="386" t="s">
        <v>195</v>
      </c>
      <c r="F614" s="387" t="s">
        <v>17</v>
      </c>
      <c r="G614" s="381" t="s">
        <v>999</v>
      </c>
      <c r="H614" s="381" t="s">
        <v>999</v>
      </c>
    </row>
    <row r="615" spans="1:8">
      <c r="A615" s="385" t="s">
        <v>13</v>
      </c>
      <c r="B615" s="380" t="s">
        <v>14</v>
      </c>
      <c r="C615" s="391" t="s">
        <v>778</v>
      </c>
      <c r="D615" s="401" t="s">
        <v>806</v>
      </c>
      <c r="E615" s="386" t="s">
        <v>780</v>
      </c>
      <c r="F615" s="387" t="s">
        <v>17</v>
      </c>
      <c r="G615" s="381" t="s">
        <v>18</v>
      </c>
      <c r="H615" s="381" t="s">
        <v>18</v>
      </c>
    </row>
    <row r="616" spans="1:8">
      <c r="A616" s="385" t="s">
        <v>102</v>
      </c>
      <c r="B616" s="380" t="s">
        <v>103</v>
      </c>
      <c r="C616" s="391" t="s">
        <v>778</v>
      </c>
      <c r="D616" s="401" t="s">
        <v>814</v>
      </c>
      <c r="E616" s="386" t="s">
        <v>780</v>
      </c>
      <c r="F616" s="387" t="s">
        <v>17</v>
      </c>
      <c r="G616" s="381" t="s">
        <v>18</v>
      </c>
      <c r="H616" s="381" t="s">
        <v>18</v>
      </c>
    </row>
    <row r="617" spans="1:8">
      <c r="A617" s="385" t="s">
        <v>104</v>
      </c>
      <c r="B617" s="380" t="s">
        <v>105</v>
      </c>
      <c r="C617" s="391" t="s">
        <v>778</v>
      </c>
      <c r="D617" s="401" t="s">
        <v>815</v>
      </c>
      <c r="E617" s="386" t="s">
        <v>780</v>
      </c>
      <c r="F617" s="387" t="s">
        <v>17</v>
      </c>
      <c r="G617" s="381" t="s">
        <v>18</v>
      </c>
      <c r="H617" s="381" t="s">
        <v>18</v>
      </c>
    </row>
    <row r="618" spans="1:8">
      <c r="A618" s="385" t="s">
        <v>98</v>
      </c>
      <c r="B618" s="380" t="s">
        <v>99</v>
      </c>
      <c r="C618" s="391" t="s">
        <v>22</v>
      </c>
      <c r="D618" s="401" t="s">
        <v>1070</v>
      </c>
      <c r="E618" s="386" t="s">
        <v>23</v>
      </c>
      <c r="F618" s="387" t="s">
        <v>17</v>
      </c>
      <c r="G618" s="381" t="s">
        <v>1021</v>
      </c>
      <c r="H618" s="381" t="s">
        <v>1021</v>
      </c>
    </row>
    <row r="619" spans="1:8">
      <c r="A619" s="388" t="s">
        <v>185</v>
      </c>
      <c r="B619" s="366" t="s">
        <v>186</v>
      </c>
      <c r="C619" s="391" t="s">
        <v>22</v>
      </c>
      <c r="D619" s="401" t="s">
        <v>1071</v>
      </c>
      <c r="E619" s="386" t="s">
        <v>23</v>
      </c>
      <c r="F619" s="387" t="s">
        <v>17</v>
      </c>
      <c r="G619" s="381" t="s">
        <v>1021</v>
      </c>
      <c r="H619" s="381" t="s">
        <v>1021</v>
      </c>
    </row>
    <row r="620" spans="1:8">
      <c r="A620" s="388" t="s">
        <v>185</v>
      </c>
      <c r="B620" s="380" t="s">
        <v>186</v>
      </c>
      <c r="C620" s="391" t="s">
        <v>51</v>
      </c>
      <c r="D620" s="401" t="s">
        <v>1072</v>
      </c>
      <c r="E620" s="380" t="s">
        <v>52</v>
      </c>
      <c r="F620" s="387" t="s">
        <v>17</v>
      </c>
      <c r="G620" s="381" t="s">
        <v>995</v>
      </c>
      <c r="H620" s="381" t="s">
        <v>864</v>
      </c>
    </row>
    <row r="621" spans="1:8">
      <c r="A621" s="385" t="s">
        <v>13</v>
      </c>
      <c r="B621" s="397" t="s">
        <v>14</v>
      </c>
      <c r="C621" s="391" t="s">
        <v>51</v>
      </c>
      <c r="D621" s="374" t="s">
        <v>825</v>
      </c>
      <c r="E621" s="380" t="s">
        <v>52</v>
      </c>
      <c r="F621" s="380" t="s">
        <v>17</v>
      </c>
      <c r="G621" s="381" t="s">
        <v>21</v>
      </c>
      <c r="H621" s="381" t="s">
        <v>864</v>
      </c>
    </row>
    <row r="622" spans="1:8">
      <c r="A622" s="385" t="s">
        <v>13</v>
      </c>
      <c r="B622" s="397" t="s">
        <v>14</v>
      </c>
      <c r="C622" s="391" t="s">
        <v>53</v>
      </c>
      <c r="D622" s="374" t="s">
        <v>826</v>
      </c>
      <c r="E622" s="386" t="s">
        <v>54</v>
      </c>
      <c r="F622" s="380" t="s">
        <v>17</v>
      </c>
      <c r="G622" s="381" t="s">
        <v>999</v>
      </c>
      <c r="H622" s="381" t="s">
        <v>999</v>
      </c>
    </row>
    <row r="623" spans="1:8">
      <c r="A623" s="385" t="s">
        <v>13</v>
      </c>
      <c r="B623" s="397" t="s">
        <v>14</v>
      </c>
      <c r="C623" s="391" t="s">
        <v>65</v>
      </c>
      <c r="D623" s="374" t="s">
        <v>829</v>
      </c>
      <c r="E623" s="386" t="s">
        <v>66</v>
      </c>
      <c r="F623" s="380" t="s">
        <v>17</v>
      </c>
      <c r="G623" s="381" t="s">
        <v>18</v>
      </c>
      <c r="H623" s="381" t="s">
        <v>18</v>
      </c>
    </row>
    <row r="624" spans="1:8">
      <c r="A624" s="385" t="s">
        <v>13</v>
      </c>
      <c r="B624" s="397" t="s">
        <v>14</v>
      </c>
      <c r="C624" s="391" t="s">
        <v>84</v>
      </c>
      <c r="D624" s="374" t="s">
        <v>830</v>
      </c>
      <c r="E624" s="386" t="s">
        <v>85</v>
      </c>
      <c r="F624" s="380" t="s">
        <v>17</v>
      </c>
      <c r="G624" s="381" t="s">
        <v>18</v>
      </c>
      <c r="H624" s="381" t="s">
        <v>18</v>
      </c>
    </row>
    <row r="625" spans="1:8">
      <c r="A625" s="385" t="s">
        <v>13</v>
      </c>
      <c r="B625" s="397" t="s">
        <v>14</v>
      </c>
      <c r="C625" s="391" t="s">
        <v>32</v>
      </c>
      <c r="D625" s="374" t="s">
        <v>831</v>
      </c>
      <c r="E625" s="386" t="s">
        <v>33</v>
      </c>
      <c r="F625" s="380" t="s">
        <v>17</v>
      </c>
      <c r="G625" s="381" t="s">
        <v>999</v>
      </c>
      <c r="H625" s="381" t="s">
        <v>999</v>
      </c>
    </row>
    <row r="626" spans="1:8">
      <c r="A626" s="390" t="s">
        <v>86</v>
      </c>
      <c r="B626" s="374" t="s">
        <v>87</v>
      </c>
      <c r="C626" s="403" t="s">
        <v>823</v>
      </c>
      <c r="D626" s="374" t="s">
        <v>840</v>
      </c>
      <c r="E626" s="390" t="s">
        <v>824</v>
      </c>
      <c r="F626" s="386" t="s">
        <v>17</v>
      </c>
      <c r="G626" s="381" t="s">
        <v>999</v>
      </c>
      <c r="H626" s="381" t="s">
        <v>999</v>
      </c>
    </row>
    <row r="627" spans="1:8">
      <c r="A627" s="390" t="s">
        <v>715</v>
      </c>
      <c r="B627" s="374" t="s">
        <v>716</v>
      </c>
      <c r="C627" s="403" t="s">
        <v>69</v>
      </c>
      <c r="D627" s="374" t="s">
        <v>841</v>
      </c>
      <c r="E627" s="390" t="s">
        <v>70</v>
      </c>
      <c r="F627" s="386" t="s">
        <v>17</v>
      </c>
      <c r="G627" s="385" t="s">
        <v>18</v>
      </c>
      <c r="H627" s="381" t="s">
        <v>18</v>
      </c>
    </row>
    <row r="628" spans="1:8">
      <c r="A628" s="385" t="s">
        <v>86</v>
      </c>
      <c r="B628" s="374" t="s">
        <v>87</v>
      </c>
      <c r="C628" s="391" t="s">
        <v>170</v>
      </c>
      <c r="D628" s="374" t="s">
        <v>844</v>
      </c>
      <c r="E628" s="386" t="s">
        <v>171</v>
      </c>
      <c r="F628" s="380" t="s">
        <v>17</v>
      </c>
      <c r="G628" s="381" t="s">
        <v>18</v>
      </c>
      <c r="H628" s="381" t="s">
        <v>18</v>
      </c>
    </row>
    <row r="629" spans="1:8" customFormat="1" ht="15">
      <c r="A629" s="367" t="s">
        <v>94</v>
      </c>
      <c r="B629" s="369" t="s">
        <v>95</v>
      </c>
      <c r="C629" s="367" t="s">
        <v>114</v>
      </c>
      <c r="D629" s="369" t="s">
        <v>845</v>
      </c>
      <c r="E629" s="368" t="s">
        <v>115</v>
      </c>
      <c r="F629" s="356" t="s">
        <v>73</v>
      </c>
      <c r="G629" s="358" t="s">
        <v>997</v>
      </c>
      <c r="H629" s="358" t="s">
        <v>998</v>
      </c>
    </row>
    <row r="630" spans="1:8">
      <c r="A630" s="385" t="s">
        <v>94</v>
      </c>
      <c r="B630" s="374" t="s">
        <v>95</v>
      </c>
      <c r="C630" s="391" t="s">
        <v>170</v>
      </c>
      <c r="D630" s="374" t="s">
        <v>846</v>
      </c>
      <c r="E630" s="386" t="s">
        <v>171</v>
      </c>
      <c r="F630" s="380" t="s">
        <v>17</v>
      </c>
      <c r="G630" s="381" t="s">
        <v>18</v>
      </c>
      <c r="H630" s="381" t="s">
        <v>18</v>
      </c>
    </row>
    <row r="631" spans="1:8">
      <c r="A631" s="385" t="s">
        <v>152</v>
      </c>
      <c r="B631" s="374" t="s">
        <v>153</v>
      </c>
      <c r="C631" s="391" t="s">
        <v>170</v>
      </c>
      <c r="D631" s="374" t="s">
        <v>847</v>
      </c>
      <c r="E631" s="386" t="s">
        <v>171</v>
      </c>
      <c r="F631" s="380" t="s">
        <v>17</v>
      </c>
      <c r="G631" s="381" t="s">
        <v>18</v>
      </c>
      <c r="H631" s="381" t="s">
        <v>18</v>
      </c>
    </row>
    <row r="632" spans="1:8" customFormat="1" ht="15">
      <c r="A632" s="367" t="s">
        <v>174</v>
      </c>
      <c r="B632" s="369" t="s">
        <v>175</v>
      </c>
      <c r="C632" s="367" t="s">
        <v>114</v>
      </c>
      <c r="D632" s="369" t="s">
        <v>848</v>
      </c>
      <c r="E632" s="368" t="s">
        <v>115</v>
      </c>
      <c r="F632" s="356" t="s">
        <v>73</v>
      </c>
      <c r="G632" s="358" t="s">
        <v>997</v>
      </c>
      <c r="H632" s="358" t="s">
        <v>998</v>
      </c>
    </row>
    <row r="633" spans="1:8">
      <c r="A633" s="385" t="s">
        <v>174</v>
      </c>
      <c r="B633" s="374" t="s">
        <v>175</v>
      </c>
      <c r="C633" s="391" t="s">
        <v>778</v>
      </c>
      <c r="D633" s="374" t="s">
        <v>849</v>
      </c>
      <c r="E633" s="386" t="s">
        <v>780</v>
      </c>
      <c r="F633" s="380" t="s">
        <v>17</v>
      </c>
      <c r="G633" s="381" t="s">
        <v>18</v>
      </c>
      <c r="H633" s="381" t="s">
        <v>18</v>
      </c>
    </row>
    <row r="634" spans="1:8">
      <c r="A634" s="385" t="s">
        <v>106</v>
      </c>
      <c r="B634" s="374" t="s">
        <v>107</v>
      </c>
      <c r="C634" s="391" t="s">
        <v>170</v>
      </c>
      <c r="D634" s="374" t="s">
        <v>850</v>
      </c>
      <c r="E634" s="386" t="s">
        <v>171</v>
      </c>
      <c r="F634" s="380" t="s">
        <v>17</v>
      </c>
      <c r="G634" s="381" t="s">
        <v>18</v>
      </c>
      <c r="H634" s="381" t="s">
        <v>18</v>
      </c>
    </row>
    <row r="635" spans="1:8">
      <c r="A635" s="385" t="s">
        <v>110</v>
      </c>
      <c r="B635" s="374" t="s">
        <v>111</v>
      </c>
      <c r="C635" s="391" t="s">
        <v>170</v>
      </c>
      <c r="D635" s="374" t="s">
        <v>851</v>
      </c>
      <c r="E635" s="386" t="s">
        <v>171</v>
      </c>
      <c r="F635" s="380" t="s">
        <v>17</v>
      </c>
      <c r="G635" s="381" t="s">
        <v>18</v>
      </c>
      <c r="H635" s="381" t="s">
        <v>18</v>
      </c>
    </row>
    <row r="636" spans="1:8">
      <c r="A636" s="385" t="s">
        <v>112</v>
      </c>
      <c r="B636" s="374" t="s">
        <v>113</v>
      </c>
      <c r="C636" s="391" t="s">
        <v>170</v>
      </c>
      <c r="D636" s="374" t="s">
        <v>852</v>
      </c>
      <c r="E636" s="386" t="s">
        <v>171</v>
      </c>
      <c r="F636" s="380" t="s">
        <v>17</v>
      </c>
      <c r="G636" s="381" t="s">
        <v>18</v>
      </c>
      <c r="H636" s="381" t="s">
        <v>18</v>
      </c>
    </row>
    <row r="637" spans="1:8" customFormat="1" ht="15">
      <c r="A637" s="367" t="s">
        <v>13</v>
      </c>
      <c r="B637" s="369" t="s">
        <v>14</v>
      </c>
      <c r="C637" s="367" t="s">
        <v>28</v>
      </c>
      <c r="D637" s="369" t="s">
        <v>827</v>
      </c>
      <c r="E637" s="368" t="s">
        <v>29</v>
      </c>
      <c r="F637" s="356" t="s">
        <v>30</v>
      </c>
      <c r="G637" s="358" t="s">
        <v>172</v>
      </c>
      <c r="H637" s="358" t="s">
        <v>896</v>
      </c>
    </row>
    <row r="638" spans="1:8">
      <c r="A638" s="385" t="s">
        <v>13</v>
      </c>
      <c r="B638" s="374" t="s">
        <v>14</v>
      </c>
      <c r="C638" s="391" t="s">
        <v>59</v>
      </c>
      <c r="D638" s="374" t="s">
        <v>828</v>
      </c>
      <c r="E638" s="386" t="s">
        <v>60</v>
      </c>
      <c r="F638" s="380" t="s">
        <v>17</v>
      </c>
      <c r="G638" s="381" t="s">
        <v>995</v>
      </c>
      <c r="H638" s="381" t="s">
        <v>864</v>
      </c>
    </row>
    <row r="639" spans="1:8">
      <c r="A639" s="385" t="s">
        <v>13</v>
      </c>
      <c r="B639" s="374" t="s">
        <v>14</v>
      </c>
      <c r="C639" s="391" t="s">
        <v>146</v>
      </c>
      <c r="D639" s="374" t="s">
        <v>832</v>
      </c>
      <c r="E639" s="386" t="s">
        <v>147</v>
      </c>
      <c r="F639" s="380" t="s">
        <v>17</v>
      </c>
      <c r="G639" s="381" t="s">
        <v>1021</v>
      </c>
      <c r="H639" s="381" t="s">
        <v>1021</v>
      </c>
    </row>
    <row r="640" spans="1:8" customFormat="1" ht="15">
      <c r="A640" s="367" t="s">
        <v>13</v>
      </c>
      <c r="B640" s="369" t="s">
        <v>14</v>
      </c>
      <c r="C640" s="367" t="s">
        <v>167</v>
      </c>
      <c r="D640" s="369" t="s">
        <v>833</v>
      </c>
      <c r="E640" s="368" t="s">
        <v>168</v>
      </c>
      <c r="F640" s="356" t="s">
        <v>169</v>
      </c>
      <c r="G640" s="358" t="s">
        <v>173</v>
      </c>
      <c r="H640" s="358" t="s">
        <v>896</v>
      </c>
    </row>
    <row r="641" spans="1:8" customFormat="1" ht="15">
      <c r="A641" s="367" t="s">
        <v>13</v>
      </c>
      <c r="B641" s="369" t="s">
        <v>14</v>
      </c>
      <c r="C641" s="367" t="s">
        <v>198</v>
      </c>
      <c r="D641" s="369" t="s">
        <v>834</v>
      </c>
      <c r="E641" s="368" t="s">
        <v>199</v>
      </c>
      <c r="F641" s="356" t="s">
        <v>30</v>
      </c>
      <c r="G641" s="358" t="s">
        <v>172</v>
      </c>
      <c r="H641" s="358" t="s">
        <v>896</v>
      </c>
    </row>
    <row r="642" spans="1:8">
      <c r="A642" s="385" t="s">
        <v>96</v>
      </c>
      <c r="B642" s="374" t="s">
        <v>97</v>
      </c>
      <c r="C642" s="391" t="s">
        <v>170</v>
      </c>
      <c r="D642" s="374" t="s">
        <v>854</v>
      </c>
      <c r="E642" s="386" t="s">
        <v>171</v>
      </c>
      <c r="F642" s="380" t="s">
        <v>17</v>
      </c>
      <c r="G642" s="381" t="s">
        <v>18</v>
      </c>
      <c r="H642" s="381" t="s">
        <v>18</v>
      </c>
    </row>
    <row r="643" spans="1:8">
      <c r="A643" s="385" t="s">
        <v>104</v>
      </c>
      <c r="B643" s="374" t="s">
        <v>105</v>
      </c>
      <c r="C643" s="391" t="s">
        <v>194</v>
      </c>
      <c r="D643" s="401" t="s">
        <v>1073</v>
      </c>
      <c r="E643" s="386" t="s">
        <v>195</v>
      </c>
      <c r="F643" s="380" t="s">
        <v>17</v>
      </c>
      <c r="G643" s="381" t="s">
        <v>999</v>
      </c>
      <c r="H643" s="381" t="s">
        <v>999</v>
      </c>
    </row>
    <row r="644" spans="1:8">
      <c r="A644" s="391" t="s">
        <v>86</v>
      </c>
      <c r="B644" s="374" t="s">
        <v>87</v>
      </c>
      <c r="C644" s="391" t="s">
        <v>855</v>
      </c>
      <c r="D644" s="374" t="s">
        <v>1074</v>
      </c>
      <c r="E644" s="386" t="s">
        <v>856</v>
      </c>
      <c r="F644" s="392" t="s">
        <v>17</v>
      </c>
      <c r="G644" s="381" t="s">
        <v>18</v>
      </c>
      <c r="H644" s="381" t="s">
        <v>18</v>
      </c>
    </row>
    <row r="645" spans="1:8">
      <c r="A645" s="393" t="s">
        <v>185</v>
      </c>
      <c r="B645" s="374" t="s">
        <v>186</v>
      </c>
      <c r="C645" s="391" t="s">
        <v>24</v>
      </c>
      <c r="D645" s="374" t="s">
        <v>1075</v>
      </c>
      <c r="E645" s="386" t="s">
        <v>25</v>
      </c>
      <c r="F645" s="380" t="s">
        <v>17</v>
      </c>
      <c r="G645" s="381" t="s">
        <v>995</v>
      </c>
      <c r="H645" s="381" t="s">
        <v>864</v>
      </c>
    </row>
    <row r="646" spans="1:8">
      <c r="A646" s="393" t="s">
        <v>185</v>
      </c>
      <c r="B646" s="374" t="s">
        <v>186</v>
      </c>
      <c r="C646" s="391" t="s">
        <v>778</v>
      </c>
      <c r="D646" s="374" t="s">
        <v>857</v>
      </c>
      <c r="E646" s="386" t="s">
        <v>780</v>
      </c>
      <c r="F646" s="380" t="s">
        <v>17</v>
      </c>
      <c r="G646" s="381" t="s">
        <v>18</v>
      </c>
      <c r="H646" s="381" t="s">
        <v>18</v>
      </c>
    </row>
    <row r="647" spans="1:8">
      <c r="A647" s="394" t="s">
        <v>715</v>
      </c>
      <c r="B647" s="394" t="s">
        <v>716</v>
      </c>
      <c r="C647" s="404" t="s">
        <v>194</v>
      </c>
      <c r="D647" s="401" t="s">
        <v>1076</v>
      </c>
      <c r="E647" s="404" t="s">
        <v>195</v>
      </c>
      <c r="F647" s="380" t="s">
        <v>17</v>
      </c>
      <c r="G647" s="381" t="s">
        <v>999</v>
      </c>
      <c r="H647" s="381" t="s">
        <v>999</v>
      </c>
    </row>
    <row r="648" spans="1:8" customFormat="1" ht="15">
      <c r="A648" s="356" t="s">
        <v>98</v>
      </c>
      <c r="B648" s="356" t="s">
        <v>99</v>
      </c>
      <c r="C648" s="356" t="s">
        <v>198</v>
      </c>
      <c r="D648" s="357" t="s">
        <v>1077</v>
      </c>
      <c r="E648" s="356" t="s">
        <v>199</v>
      </c>
      <c r="F648" s="356" t="s">
        <v>30</v>
      </c>
      <c r="G648" s="358" t="s">
        <v>172</v>
      </c>
      <c r="H648" s="358" t="s">
        <v>896</v>
      </c>
    </row>
    <row r="649" spans="1:8" customFormat="1" ht="15">
      <c r="A649" s="356" t="s">
        <v>100</v>
      </c>
      <c r="B649" s="356" t="s">
        <v>101</v>
      </c>
      <c r="C649" s="356" t="s">
        <v>198</v>
      </c>
      <c r="D649" s="357" t="s">
        <v>1078</v>
      </c>
      <c r="E649" s="356" t="s">
        <v>199</v>
      </c>
      <c r="F649" s="356" t="s">
        <v>30</v>
      </c>
      <c r="G649" s="358" t="s">
        <v>172</v>
      </c>
      <c r="H649" s="358" t="s">
        <v>896</v>
      </c>
    </row>
    <row r="650" spans="1:8" customFormat="1" ht="15">
      <c r="A650" s="356" t="s">
        <v>174</v>
      </c>
      <c r="B650" s="356" t="s">
        <v>175</v>
      </c>
      <c r="C650" s="356" t="s">
        <v>198</v>
      </c>
      <c r="D650" s="357" t="s">
        <v>1079</v>
      </c>
      <c r="E650" s="356" t="s">
        <v>199</v>
      </c>
      <c r="F650" s="356" t="s">
        <v>30</v>
      </c>
      <c r="G650" s="358" t="s">
        <v>172</v>
      </c>
      <c r="H650" s="358" t="s">
        <v>896</v>
      </c>
    </row>
    <row r="651" spans="1:8" customFormat="1" ht="15">
      <c r="A651" s="356" t="s">
        <v>715</v>
      </c>
      <c r="B651" s="356" t="s">
        <v>716</v>
      </c>
      <c r="C651" s="356" t="s">
        <v>198</v>
      </c>
      <c r="D651" s="357" t="s">
        <v>1080</v>
      </c>
      <c r="E651" s="356" t="s">
        <v>199</v>
      </c>
      <c r="F651" s="356" t="s">
        <v>30</v>
      </c>
      <c r="G651" s="358" t="s">
        <v>172</v>
      </c>
      <c r="H651" s="358" t="s">
        <v>896</v>
      </c>
    </row>
    <row r="652" spans="1:8">
      <c r="A652" s="380" t="s">
        <v>26</v>
      </c>
      <c r="B652" s="380" t="s">
        <v>27</v>
      </c>
      <c r="C652" s="401" t="s">
        <v>862</v>
      </c>
      <c r="D652" s="402" t="s">
        <v>1081</v>
      </c>
      <c r="E652" s="380" t="s">
        <v>863</v>
      </c>
      <c r="F652" s="380" t="s">
        <v>17</v>
      </c>
      <c r="G652" s="381" t="s">
        <v>999</v>
      </c>
      <c r="H652" s="381" t="s">
        <v>999</v>
      </c>
    </row>
    <row r="653" spans="1:8">
      <c r="A653" s="380" t="s">
        <v>86</v>
      </c>
      <c r="B653" s="380" t="s">
        <v>87</v>
      </c>
      <c r="C653" s="401" t="s">
        <v>862</v>
      </c>
      <c r="D653" s="402" t="s">
        <v>1082</v>
      </c>
      <c r="E653" s="380" t="s">
        <v>863</v>
      </c>
      <c r="F653" s="380" t="s">
        <v>17</v>
      </c>
      <c r="G653" s="381" t="s">
        <v>999</v>
      </c>
      <c r="H653" s="381" t="s">
        <v>999</v>
      </c>
    </row>
    <row r="654" spans="1:8">
      <c r="A654" s="380" t="s">
        <v>94</v>
      </c>
      <c r="B654" s="380" t="s">
        <v>95</v>
      </c>
      <c r="C654" s="401" t="s">
        <v>862</v>
      </c>
      <c r="D654" s="402" t="s">
        <v>1083</v>
      </c>
      <c r="E654" s="380" t="s">
        <v>863</v>
      </c>
      <c r="F654" s="380" t="s">
        <v>17</v>
      </c>
      <c r="G654" s="381" t="s">
        <v>999</v>
      </c>
      <c r="H654" s="381" t="s">
        <v>999</v>
      </c>
    </row>
    <row r="655" spans="1:8">
      <c r="A655" s="380" t="s">
        <v>96</v>
      </c>
      <c r="B655" s="380" t="s">
        <v>97</v>
      </c>
      <c r="C655" s="401" t="s">
        <v>862</v>
      </c>
      <c r="D655" s="402" t="s">
        <v>1084</v>
      </c>
      <c r="E655" s="380" t="s">
        <v>863</v>
      </c>
      <c r="F655" s="380" t="s">
        <v>17</v>
      </c>
      <c r="G655" s="381" t="s">
        <v>999</v>
      </c>
      <c r="H655" s="381" t="s">
        <v>999</v>
      </c>
    </row>
    <row r="656" spans="1:8">
      <c r="A656" s="380" t="s">
        <v>152</v>
      </c>
      <c r="B656" s="380" t="s">
        <v>153</v>
      </c>
      <c r="C656" s="401" t="s">
        <v>862</v>
      </c>
      <c r="D656" s="402" t="s">
        <v>1085</v>
      </c>
      <c r="E656" s="380" t="s">
        <v>863</v>
      </c>
      <c r="F656" s="380" t="s">
        <v>17</v>
      </c>
      <c r="G656" s="381" t="s">
        <v>999</v>
      </c>
      <c r="H656" s="381" t="s">
        <v>999</v>
      </c>
    </row>
    <row r="657" spans="1:8">
      <c r="A657" s="380" t="s">
        <v>98</v>
      </c>
      <c r="B657" s="380" t="s">
        <v>99</v>
      </c>
      <c r="C657" s="401" t="s">
        <v>862</v>
      </c>
      <c r="D657" s="402" t="s">
        <v>1086</v>
      </c>
      <c r="E657" s="380" t="s">
        <v>863</v>
      </c>
      <c r="F657" s="380" t="s">
        <v>17</v>
      </c>
      <c r="G657" s="381" t="s">
        <v>999</v>
      </c>
      <c r="H657" s="381" t="s">
        <v>999</v>
      </c>
    </row>
    <row r="658" spans="1:8">
      <c r="A658" s="380" t="s">
        <v>100</v>
      </c>
      <c r="B658" s="380" t="s">
        <v>101</v>
      </c>
      <c r="C658" s="401" t="s">
        <v>862</v>
      </c>
      <c r="D658" s="402" t="s">
        <v>1087</v>
      </c>
      <c r="E658" s="380" t="s">
        <v>863</v>
      </c>
      <c r="F658" s="380" t="s">
        <v>17</v>
      </c>
      <c r="G658" s="381" t="s">
        <v>999</v>
      </c>
      <c r="H658" s="381" t="s">
        <v>999</v>
      </c>
    </row>
    <row r="659" spans="1:8">
      <c r="A659" s="380" t="s">
        <v>174</v>
      </c>
      <c r="B659" s="380" t="s">
        <v>175</v>
      </c>
      <c r="C659" s="401" t="s">
        <v>862</v>
      </c>
      <c r="D659" s="402" t="s">
        <v>1088</v>
      </c>
      <c r="E659" s="380" t="s">
        <v>863</v>
      </c>
      <c r="F659" s="380" t="s">
        <v>17</v>
      </c>
      <c r="G659" s="381" t="s">
        <v>999</v>
      </c>
      <c r="H659" s="381" t="s">
        <v>999</v>
      </c>
    </row>
    <row r="660" spans="1:8">
      <c r="A660" s="380" t="s">
        <v>102</v>
      </c>
      <c r="B660" s="380" t="s">
        <v>103</v>
      </c>
      <c r="C660" s="401" t="s">
        <v>862</v>
      </c>
      <c r="D660" s="402" t="s">
        <v>1089</v>
      </c>
      <c r="E660" s="380" t="s">
        <v>863</v>
      </c>
      <c r="F660" s="380" t="s">
        <v>17</v>
      </c>
      <c r="G660" s="381" t="s">
        <v>999</v>
      </c>
      <c r="H660" s="381" t="s">
        <v>999</v>
      </c>
    </row>
    <row r="661" spans="1:8">
      <c r="A661" s="380" t="s">
        <v>104</v>
      </c>
      <c r="B661" s="380" t="s">
        <v>105</v>
      </c>
      <c r="C661" s="401" t="s">
        <v>862</v>
      </c>
      <c r="D661" s="402" t="s">
        <v>1090</v>
      </c>
      <c r="E661" s="380" t="s">
        <v>863</v>
      </c>
      <c r="F661" s="380" t="s">
        <v>17</v>
      </c>
      <c r="G661" s="381" t="s">
        <v>999</v>
      </c>
      <c r="H661" s="381" t="s">
        <v>999</v>
      </c>
    </row>
    <row r="662" spans="1:8">
      <c r="A662" s="380" t="s">
        <v>715</v>
      </c>
      <c r="B662" s="380" t="s">
        <v>716</v>
      </c>
      <c r="C662" s="401" t="s">
        <v>862</v>
      </c>
      <c r="D662" s="402" t="s">
        <v>1091</v>
      </c>
      <c r="E662" s="380" t="s">
        <v>863</v>
      </c>
      <c r="F662" s="380" t="s">
        <v>17</v>
      </c>
      <c r="G662" s="381" t="s">
        <v>999</v>
      </c>
      <c r="H662" s="381" t="s">
        <v>999</v>
      </c>
    </row>
    <row r="663" spans="1:8">
      <c r="A663" s="380" t="s">
        <v>106</v>
      </c>
      <c r="B663" s="380" t="s">
        <v>107</v>
      </c>
      <c r="C663" s="401" t="s">
        <v>862</v>
      </c>
      <c r="D663" s="402" t="s">
        <v>1092</v>
      </c>
      <c r="E663" s="380" t="s">
        <v>863</v>
      </c>
      <c r="F663" s="380" t="s">
        <v>17</v>
      </c>
      <c r="G663" s="381" t="s">
        <v>999</v>
      </c>
      <c r="H663" s="381" t="s">
        <v>999</v>
      </c>
    </row>
    <row r="664" spans="1:8">
      <c r="A664" s="380" t="s">
        <v>108</v>
      </c>
      <c r="B664" s="380" t="s">
        <v>109</v>
      </c>
      <c r="C664" s="401" t="s">
        <v>862</v>
      </c>
      <c r="D664" s="402" t="s">
        <v>1093</v>
      </c>
      <c r="E664" s="380" t="s">
        <v>863</v>
      </c>
      <c r="F664" s="380" t="s">
        <v>17</v>
      </c>
      <c r="G664" s="381" t="s">
        <v>999</v>
      </c>
      <c r="H664" s="381" t="s">
        <v>999</v>
      </c>
    </row>
    <row r="665" spans="1:8">
      <c r="A665" s="380" t="s">
        <v>110</v>
      </c>
      <c r="B665" s="380" t="s">
        <v>111</v>
      </c>
      <c r="C665" s="401" t="s">
        <v>862</v>
      </c>
      <c r="D665" s="402" t="s">
        <v>1094</v>
      </c>
      <c r="E665" s="380" t="s">
        <v>863</v>
      </c>
      <c r="F665" s="380" t="s">
        <v>17</v>
      </c>
      <c r="G665" s="381" t="s">
        <v>999</v>
      </c>
      <c r="H665" s="381" t="s">
        <v>999</v>
      </c>
    </row>
    <row r="666" spans="1:8">
      <c r="A666" s="380" t="s">
        <v>112</v>
      </c>
      <c r="B666" s="380" t="s">
        <v>113</v>
      </c>
      <c r="C666" s="401" t="s">
        <v>862</v>
      </c>
      <c r="D666" s="402" t="s">
        <v>1095</v>
      </c>
      <c r="E666" s="380" t="s">
        <v>863</v>
      </c>
      <c r="F666" s="386" t="s">
        <v>17</v>
      </c>
      <c r="G666" s="381" t="s">
        <v>999</v>
      </c>
      <c r="H666" s="381" t="s">
        <v>999</v>
      </c>
    </row>
    <row r="667" spans="1:8">
      <c r="A667" s="380" t="s">
        <v>98</v>
      </c>
      <c r="B667" s="380" t="s">
        <v>99</v>
      </c>
      <c r="C667" s="401" t="s">
        <v>194</v>
      </c>
      <c r="D667" s="401" t="s">
        <v>1096</v>
      </c>
      <c r="E667" s="380" t="s">
        <v>195</v>
      </c>
      <c r="F667" s="380" t="s">
        <v>17</v>
      </c>
      <c r="G667" s="381" t="s">
        <v>999</v>
      </c>
      <c r="H667" s="381" t="s">
        <v>999</v>
      </c>
    </row>
    <row r="668" spans="1:8">
      <c r="A668" s="380" t="s">
        <v>100</v>
      </c>
      <c r="B668" s="380" t="s">
        <v>101</v>
      </c>
      <c r="C668" s="401" t="s">
        <v>194</v>
      </c>
      <c r="D668" s="401" t="s">
        <v>1097</v>
      </c>
      <c r="E668" s="380" t="s">
        <v>195</v>
      </c>
      <c r="F668" s="380" t="s">
        <v>17</v>
      </c>
      <c r="G668" s="381" t="s">
        <v>999</v>
      </c>
      <c r="H668" s="381" t="s">
        <v>999</v>
      </c>
    </row>
    <row r="669" spans="1:8">
      <c r="A669" s="380" t="s">
        <v>174</v>
      </c>
      <c r="B669" s="380" t="s">
        <v>175</v>
      </c>
      <c r="C669" s="401" t="s">
        <v>194</v>
      </c>
      <c r="D669" s="401" t="s">
        <v>1098</v>
      </c>
      <c r="E669" s="380" t="s">
        <v>195</v>
      </c>
      <c r="F669" s="380" t="s">
        <v>17</v>
      </c>
      <c r="G669" s="381" t="s">
        <v>999</v>
      </c>
      <c r="H669" s="381" t="s">
        <v>999</v>
      </c>
    </row>
    <row r="670" spans="1:8" customFormat="1" ht="15">
      <c r="A670" s="370" t="s">
        <v>152</v>
      </c>
      <c r="B670" s="362" t="s">
        <v>153</v>
      </c>
      <c r="C670" s="356" t="s">
        <v>198</v>
      </c>
      <c r="D670" s="357" t="s">
        <v>1099</v>
      </c>
      <c r="E670" s="356" t="s">
        <v>199</v>
      </c>
      <c r="F670" s="356" t="s">
        <v>30</v>
      </c>
      <c r="G670" s="358" t="s">
        <v>172</v>
      </c>
      <c r="H670" s="358" t="s">
        <v>896</v>
      </c>
    </row>
    <row r="671" spans="1:8">
      <c r="A671" s="380" t="s">
        <v>104</v>
      </c>
      <c r="B671" s="386" t="s">
        <v>105</v>
      </c>
      <c r="C671" s="401" t="s">
        <v>862</v>
      </c>
      <c r="D671" s="402" t="s">
        <v>1090</v>
      </c>
      <c r="E671" s="380" t="s">
        <v>863</v>
      </c>
      <c r="F671" s="386" t="s">
        <v>17</v>
      </c>
      <c r="G671" s="381" t="s">
        <v>999</v>
      </c>
      <c r="H671" s="381" t="s">
        <v>999</v>
      </c>
    </row>
    <row r="672" spans="1:8">
      <c r="A672" s="385" t="s">
        <v>715</v>
      </c>
      <c r="B672" s="374" t="s">
        <v>716</v>
      </c>
      <c r="C672" s="401" t="s">
        <v>74</v>
      </c>
      <c r="D672" s="402" t="s">
        <v>1100</v>
      </c>
      <c r="E672" s="380" t="s">
        <v>75</v>
      </c>
      <c r="F672" s="380" t="s">
        <v>17</v>
      </c>
      <c r="G672" s="381" t="s">
        <v>18</v>
      </c>
      <c r="H672" s="381" t="s">
        <v>18</v>
      </c>
    </row>
    <row r="673" spans="1:8" customFormat="1" ht="15">
      <c r="A673" s="371" t="s">
        <v>94</v>
      </c>
      <c r="B673" s="369" t="s">
        <v>95</v>
      </c>
      <c r="C673" s="371" t="s">
        <v>198</v>
      </c>
      <c r="D673" s="357" t="s">
        <v>1101</v>
      </c>
      <c r="E673" s="356" t="s">
        <v>199</v>
      </c>
      <c r="F673" s="356" t="s">
        <v>30</v>
      </c>
      <c r="G673" s="358" t="s">
        <v>172</v>
      </c>
      <c r="H673" s="358" t="s">
        <v>896</v>
      </c>
    </row>
    <row r="674" spans="1:8">
      <c r="A674" s="380" t="s">
        <v>185</v>
      </c>
      <c r="B674" s="374" t="s">
        <v>186</v>
      </c>
      <c r="C674" s="401" t="s">
        <v>55</v>
      </c>
      <c r="D674" s="374" t="s">
        <v>1102</v>
      </c>
      <c r="E674" s="380" t="s">
        <v>56</v>
      </c>
      <c r="F674" s="380" t="s">
        <v>17</v>
      </c>
      <c r="G674" s="381" t="s">
        <v>1021</v>
      </c>
      <c r="H674" s="381" t="s">
        <v>1021</v>
      </c>
    </row>
    <row r="675" spans="1:8">
      <c r="A675" s="380" t="s">
        <v>185</v>
      </c>
      <c r="B675" s="374" t="s">
        <v>186</v>
      </c>
      <c r="C675" s="401" t="s">
        <v>61</v>
      </c>
      <c r="D675" s="374" t="s">
        <v>1103</v>
      </c>
      <c r="E675" s="380" t="s">
        <v>62</v>
      </c>
      <c r="F675" s="380" t="s">
        <v>17</v>
      </c>
      <c r="G675" s="381" t="s">
        <v>1021</v>
      </c>
      <c r="H675" s="381" t="s">
        <v>1021</v>
      </c>
    </row>
    <row r="676" spans="1:8">
      <c r="A676" s="380" t="s">
        <v>185</v>
      </c>
      <c r="B676" s="374" t="s">
        <v>186</v>
      </c>
      <c r="C676" s="401" t="s">
        <v>67</v>
      </c>
      <c r="D676" s="374" t="s">
        <v>1104</v>
      </c>
      <c r="E676" s="380" t="s">
        <v>68</v>
      </c>
      <c r="F676" s="380" t="s">
        <v>17</v>
      </c>
      <c r="G676" s="381" t="s">
        <v>995</v>
      </c>
      <c r="H676" s="381" t="s">
        <v>864</v>
      </c>
    </row>
    <row r="677" spans="1:8">
      <c r="A677" s="380" t="s">
        <v>185</v>
      </c>
      <c r="B677" s="374" t="s">
        <v>186</v>
      </c>
      <c r="C677" s="401" t="s">
        <v>69</v>
      </c>
      <c r="D677" s="374" t="s">
        <v>1105</v>
      </c>
      <c r="E677" s="380" t="s">
        <v>70</v>
      </c>
      <c r="F677" s="380" t="s">
        <v>17</v>
      </c>
      <c r="G677" s="385" t="s">
        <v>18</v>
      </c>
      <c r="H677" s="381" t="s">
        <v>18</v>
      </c>
    </row>
    <row r="678" spans="1:8">
      <c r="A678" s="380" t="s">
        <v>185</v>
      </c>
      <c r="B678" s="374" t="s">
        <v>186</v>
      </c>
      <c r="C678" s="401" t="s">
        <v>74</v>
      </c>
      <c r="D678" s="374" t="s">
        <v>1106</v>
      </c>
      <c r="E678" s="380" t="s">
        <v>75</v>
      </c>
      <c r="F678" s="380" t="s">
        <v>17</v>
      </c>
      <c r="G678" s="381" t="s">
        <v>18</v>
      </c>
      <c r="H678" s="381" t="s">
        <v>18</v>
      </c>
    </row>
    <row r="679" spans="1:8">
      <c r="A679" s="380" t="s">
        <v>185</v>
      </c>
      <c r="B679" s="374" t="s">
        <v>186</v>
      </c>
      <c r="C679" s="401" t="s">
        <v>180</v>
      </c>
      <c r="D679" s="374" t="s">
        <v>1107</v>
      </c>
      <c r="E679" s="380" t="s">
        <v>181</v>
      </c>
      <c r="F679" s="380" t="s">
        <v>17</v>
      </c>
      <c r="G679" s="381" t="s">
        <v>1021</v>
      </c>
      <c r="H679" s="381" t="s">
        <v>1021</v>
      </c>
    </row>
    <row r="680" spans="1:8">
      <c r="A680" s="380" t="s">
        <v>185</v>
      </c>
      <c r="B680" s="374" t="s">
        <v>186</v>
      </c>
      <c r="C680" s="401" t="s">
        <v>19</v>
      </c>
      <c r="D680" s="374" t="s">
        <v>865</v>
      </c>
      <c r="E680" s="380" t="s">
        <v>20</v>
      </c>
      <c r="F680" s="380" t="s">
        <v>17</v>
      </c>
      <c r="G680" s="381" t="s">
        <v>21</v>
      </c>
      <c r="H680" s="381" t="s">
        <v>864</v>
      </c>
    </row>
    <row r="681" spans="1:8">
      <c r="A681" s="380" t="s">
        <v>185</v>
      </c>
      <c r="B681" s="374" t="s">
        <v>186</v>
      </c>
      <c r="C681" s="401" t="s">
        <v>65</v>
      </c>
      <c r="D681" s="374" t="s">
        <v>866</v>
      </c>
      <c r="E681" s="380" t="s">
        <v>66</v>
      </c>
      <c r="F681" s="380" t="s">
        <v>17</v>
      </c>
      <c r="G681" s="381" t="s">
        <v>18</v>
      </c>
      <c r="H681" s="381" t="s">
        <v>18</v>
      </c>
    </row>
    <row r="682" spans="1:8">
      <c r="A682" s="380" t="s">
        <v>185</v>
      </c>
      <c r="B682" s="374" t="s">
        <v>186</v>
      </c>
      <c r="C682" s="401" t="s">
        <v>63</v>
      </c>
      <c r="D682" s="374" t="s">
        <v>867</v>
      </c>
      <c r="E682" s="380" t="s">
        <v>140</v>
      </c>
      <c r="F682" s="380" t="s">
        <v>17</v>
      </c>
      <c r="G682" s="381" t="s">
        <v>999</v>
      </c>
      <c r="H682" s="381" t="s">
        <v>999</v>
      </c>
    </row>
    <row r="683" spans="1:8">
      <c r="A683" s="380" t="s">
        <v>185</v>
      </c>
      <c r="B683" s="374" t="s">
        <v>186</v>
      </c>
      <c r="C683" s="401" t="s">
        <v>53</v>
      </c>
      <c r="D683" s="374" t="s">
        <v>868</v>
      </c>
      <c r="E683" s="380" t="s">
        <v>54</v>
      </c>
      <c r="F683" s="380" t="s">
        <v>17</v>
      </c>
      <c r="G683" s="381" t="s">
        <v>999</v>
      </c>
      <c r="H683" s="381" t="s">
        <v>999</v>
      </c>
    </row>
    <row r="684" spans="1:8">
      <c r="A684" s="380" t="s">
        <v>185</v>
      </c>
      <c r="B684" s="374" t="s">
        <v>186</v>
      </c>
      <c r="C684" s="401" t="s">
        <v>59</v>
      </c>
      <c r="D684" s="374" t="s">
        <v>869</v>
      </c>
      <c r="E684" s="380" t="s">
        <v>60</v>
      </c>
      <c r="F684" s="380" t="s">
        <v>17</v>
      </c>
      <c r="G684" s="381" t="s">
        <v>995</v>
      </c>
      <c r="H684" s="381" t="s">
        <v>864</v>
      </c>
    </row>
    <row r="685" spans="1:8" customFormat="1" ht="15">
      <c r="A685" s="371" t="s">
        <v>185</v>
      </c>
      <c r="B685" s="369" t="s">
        <v>186</v>
      </c>
      <c r="C685" s="371" t="s">
        <v>71</v>
      </c>
      <c r="D685" s="369" t="s">
        <v>870</v>
      </c>
      <c r="E685" s="371" t="s">
        <v>72</v>
      </c>
      <c r="F685" s="356" t="s">
        <v>73</v>
      </c>
      <c r="G685" s="358" t="s">
        <v>997</v>
      </c>
      <c r="H685" s="358" t="s">
        <v>998</v>
      </c>
    </row>
    <row r="686" spans="1:8">
      <c r="A686" s="380" t="s">
        <v>185</v>
      </c>
      <c r="B686" s="374" t="s">
        <v>186</v>
      </c>
      <c r="C686" s="401" t="s">
        <v>78</v>
      </c>
      <c r="D686" s="374" t="s">
        <v>871</v>
      </c>
      <c r="E686" s="380" t="s">
        <v>79</v>
      </c>
      <c r="F686" s="380" t="s">
        <v>17</v>
      </c>
      <c r="G686" s="381" t="s">
        <v>18</v>
      </c>
      <c r="H686" s="381" t="s">
        <v>18</v>
      </c>
    </row>
    <row r="687" spans="1:8">
      <c r="A687" s="380" t="s">
        <v>185</v>
      </c>
      <c r="B687" s="374" t="s">
        <v>186</v>
      </c>
      <c r="C687" s="401" t="s">
        <v>84</v>
      </c>
      <c r="D687" s="374" t="s">
        <v>872</v>
      </c>
      <c r="E687" s="380" t="s">
        <v>85</v>
      </c>
      <c r="F687" s="380" t="s">
        <v>17</v>
      </c>
      <c r="G687" s="381" t="s">
        <v>18</v>
      </c>
      <c r="H687" s="381" t="s">
        <v>18</v>
      </c>
    </row>
    <row r="688" spans="1:8">
      <c r="A688" s="380" t="s">
        <v>185</v>
      </c>
      <c r="B688" s="374" t="s">
        <v>186</v>
      </c>
      <c r="C688" s="401" t="s">
        <v>146</v>
      </c>
      <c r="D688" s="374" t="s">
        <v>873</v>
      </c>
      <c r="E688" s="380" t="s">
        <v>147</v>
      </c>
      <c r="F688" s="380" t="s">
        <v>17</v>
      </c>
      <c r="G688" s="381" t="s">
        <v>1021</v>
      </c>
      <c r="H688" s="381" t="s">
        <v>1021</v>
      </c>
    </row>
    <row r="689" spans="1:8">
      <c r="A689" s="380" t="s">
        <v>96</v>
      </c>
      <c r="B689" s="374" t="s">
        <v>97</v>
      </c>
      <c r="C689" s="401" t="s">
        <v>146</v>
      </c>
      <c r="D689" s="374" t="s">
        <v>1108</v>
      </c>
      <c r="E689" s="380" t="s">
        <v>147</v>
      </c>
      <c r="F689" s="380" t="s">
        <v>17</v>
      </c>
      <c r="G689" s="381" t="s">
        <v>1021</v>
      </c>
      <c r="H689" s="381" t="s">
        <v>1021</v>
      </c>
    </row>
    <row r="690" spans="1:8" customFormat="1" ht="15">
      <c r="A690" s="371" t="s">
        <v>86</v>
      </c>
      <c r="B690" s="369" t="s">
        <v>87</v>
      </c>
      <c r="C690" s="371" t="s">
        <v>39</v>
      </c>
      <c r="D690" s="369" t="s">
        <v>874</v>
      </c>
      <c r="E690" s="371" t="s">
        <v>40</v>
      </c>
      <c r="F690" s="356" t="s">
        <v>36</v>
      </c>
      <c r="G690" s="358" t="s">
        <v>996</v>
      </c>
      <c r="H690" s="358" t="s">
        <v>895</v>
      </c>
    </row>
    <row r="691" spans="1:8" customFormat="1" ht="15">
      <c r="A691" s="371" t="s">
        <v>185</v>
      </c>
      <c r="B691" s="369" t="s">
        <v>186</v>
      </c>
      <c r="C691" s="371" t="s">
        <v>28</v>
      </c>
      <c r="D691" s="369" t="s">
        <v>394</v>
      </c>
      <c r="E691" s="371" t="s">
        <v>29</v>
      </c>
      <c r="F691" s="356" t="s">
        <v>30</v>
      </c>
      <c r="G691" s="358" t="s">
        <v>172</v>
      </c>
      <c r="H691" s="358" t="s">
        <v>896</v>
      </c>
    </row>
    <row r="692" spans="1:8" customFormat="1" ht="15">
      <c r="A692" s="371" t="s">
        <v>185</v>
      </c>
      <c r="B692" s="369" t="s">
        <v>186</v>
      </c>
      <c r="C692" s="371" t="s">
        <v>88</v>
      </c>
      <c r="D692" s="369" t="s">
        <v>875</v>
      </c>
      <c r="E692" s="371" t="s">
        <v>89</v>
      </c>
      <c r="F692" s="356" t="s">
        <v>31</v>
      </c>
      <c r="G692" s="358" t="s">
        <v>172</v>
      </c>
      <c r="H692" s="358" t="s">
        <v>896</v>
      </c>
    </row>
    <row r="693" spans="1:8" customFormat="1" ht="15">
      <c r="A693" s="371" t="s">
        <v>185</v>
      </c>
      <c r="B693" s="369" t="s">
        <v>186</v>
      </c>
      <c r="C693" s="371" t="s">
        <v>144</v>
      </c>
      <c r="D693" s="369" t="s">
        <v>876</v>
      </c>
      <c r="E693" s="371" t="s">
        <v>145</v>
      </c>
      <c r="F693" s="356" t="s">
        <v>31</v>
      </c>
      <c r="G693" s="358" t="s">
        <v>172</v>
      </c>
      <c r="H693" s="358" t="s">
        <v>896</v>
      </c>
    </row>
    <row r="694" spans="1:8" customFormat="1" ht="15">
      <c r="A694" s="371" t="s">
        <v>185</v>
      </c>
      <c r="B694" s="369" t="s">
        <v>186</v>
      </c>
      <c r="C694" s="371" t="s">
        <v>167</v>
      </c>
      <c r="D694" s="369" t="s">
        <v>877</v>
      </c>
      <c r="E694" s="371" t="s">
        <v>168</v>
      </c>
      <c r="F694" s="356" t="s">
        <v>169</v>
      </c>
      <c r="G694" s="358" t="s">
        <v>173</v>
      </c>
      <c r="H694" s="358" t="s">
        <v>896</v>
      </c>
    </row>
    <row r="695" spans="1:8" customFormat="1" ht="15">
      <c r="A695" s="371" t="s">
        <v>185</v>
      </c>
      <c r="B695" s="369" t="s">
        <v>186</v>
      </c>
      <c r="C695" s="371" t="s">
        <v>198</v>
      </c>
      <c r="D695" s="369" t="s">
        <v>878</v>
      </c>
      <c r="E695" s="371" t="s">
        <v>199</v>
      </c>
      <c r="F695" s="356" t="s">
        <v>30</v>
      </c>
      <c r="G695" s="358" t="s">
        <v>172</v>
      </c>
      <c r="H695" s="358" t="s">
        <v>896</v>
      </c>
    </row>
    <row r="696" spans="1:8" customFormat="1" ht="15">
      <c r="A696" s="371" t="s">
        <v>185</v>
      </c>
      <c r="B696" s="369" t="s">
        <v>186</v>
      </c>
      <c r="C696" s="371" t="s">
        <v>34</v>
      </c>
      <c r="D696" s="369" t="s">
        <v>879</v>
      </c>
      <c r="E696" s="371" t="s">
        <v>35</v>
      </c>
      <c r="F696" s="356" t="s">
        <v>36</v>
      </c>
      <c r="G696" s="358" t="s">
        <v>996</v>
      </c>
      <c r="H696" s="358" t="s">
        <v>895</v>
      </c>
    </row>
    <row r="697" spans="1:8" customFormat="1" ht="15">
      <c r="A697" s="371" t="s">
        <v>185</v>
      </c>
      <c r="B697" s="369" t="s">
        <v>186</v>
      </c>
      <c r="C697" s="371" t="s">
        <v>37</v>
      </c>
      <c r="D697" s="369" t="s">
        <v>880</v>
      </c>
      <c r="E697" s="371" t="s">
        <v>38</v>
      </c>
      <c r="F697" s="356" t="s">
        <v>36</v>
      </c>
      <c r="G697" s="358" t="s">
        <v>996</v>
      </c>
      <c r="H697" s="358" t="s">
        <v>895</v>
      </c>
    </row>
    <row r="698" spans="1:8" customFormat="1" ht="15">
      <c r="A698" s="371" t="s">
        <v>185</v>
      </c>
      <c r="B698" s="369" t="s">
        <v>186</v>
      </c>
      <c r="C698" s="371" t="s">
        <v>41</v>
      </c>
      <c r="D698" s="369" t="s">
        <v>881</v>
      </c>
      <c r="E698" s="371" t="s">
        <v>42</v>
      </c>
      <c r="F698" s="356" t="s">
        <v>36</v>
      </c>
      <c r="G698" s="358" t="s">
        <v>996</v>
      </c>
      <c r="H698" s="358" t="s">
        <v>895</v>
      </c>
    </row>
    <row r="699" spans="1:8" customFormat="1" ht="15">
      <c r="A699" s="371" t="s">
        <v>185</v>
      </c>
      <c r="B699" s="369" t="s">
        <v>186</v>
      </c>
      <c r="C699" s="371" t="s">
        <v>43</v>
      </c>
      <c r="D699" s="369" t="s">
        <v>882</v>
      </c>
      <c r="E699" s="371" t="s">
        <v>44</v>
      </c>
      <c r="F699" s="356" t="s">
        <v>36</v>
      </c>
      <c r="G699" s="358" t="s">
        <v>996</v>
      </c>
      <c r="H699" s="358" t="s">
        <v>895</v>
      </c>
    </row>
    <row r="700" spans="1:8" customFormat="1" ht="15">
      <c r="A700" s="371" t="s">
        <v>185</v>
      </c>
      <c r="B700" s="369" t="s">
        <v>186</v>
      </c>
      <c r="C700" s="371" t="s">
        <v>45</v>
      </c>
      <c r="D700" s="369" t="s">
        <v>883</v>
      </c>
      <c r="E700" s="371" t="s">
        <v>46</v>
      </c>
      <c r="F700" s="356" t="s">
        <v>36</v>
      </c>
      <c r="G700" s="358" t="s">
        <v>996</v>
      </c>
      <c r="H700" s="358" t="s">
        <v>895</v>
      </c>
    </row>
    <row r="701" spans="1:8" customFormat="1" ht="15">
      <c r="A701" s="371" t="s">
        <v>185</v>
      </c>
      <c r="B701" s="369" t="s">
        <v>186</v>
      </c>
      <c r="C701" s="371" t="s">
        <v>47</v>
      </c>
      <c r="D701" s="369" t="s">
        <v>884</v>
      </c>
      <c r="E701" s="371" t="s">
        <v>48</v>
      </c>
      <c r="F701" s="356" t="s">
        <v>36</v>
      </c>
      <c r="G701" s="358" t="s">
        <v>996</v>
      </c>
      <c r="H701" s="358" t="s">
        <v>895</v>
      </c>
    </row>
    <row r="702" spans="1:8" customFormat="1" ht="15">
      <c r="A702" s="371" t="s">
        <v>185</v>
      </c>
      <c r="B702" s="369" t="s">
        <v>186</v>
      </c>
      <c r="C702" s="371" t="s">
        <v>49</v>
      </c>
      <c r="D702" s="369" t="s">
        <v>885</v>
      </c>
      <c r="E702" s="371" t="s">
        <v>50</v>
      </c>
      <c r="F702" s="356" t="s">
        <v>36</v>
      </c>
      <c r="G702" s="358" t="s">
        <v>996</v>
      </c>
      <c r="H702" s="358" t="s">
        <v>895</v>
      </c>
    </row>
    <row r="703" spans="1:8">
      <c r="A703" s="385" t="s">
        <v>185</v>
      </c>
      <c r="B703" s="380" t="s">
        <v>186</v>
      </c>
      <c r="C703" s="391" t="s">
        <v>57</v>
      </c>
      <c r="D703" s="401" t="s">
        <v>1109</v>
      </c>
      <c r="E703" s="386" t="s">
        <v>58</v>
      </c>
      <c r="F703" s="386" t="s">
        <v>17</v>
      </c>
      <c r="G703" s="385" t="s">
        <v>18</v>
      </c>
      <c r="H703" s="381" t="s">
        <v>18</v>
      </c>
    </row>
    <row r="704" spans="1:8">
      <c r="A704" s="385" t="s">
        <v>185</v>
      </c>
      <c r="B704" s="380" t="s">
        <v>186</v>
      </c>
      <c r="C704" s="391" t="s">
        <v>80</v>
      </c>
      <c r="D704" s="401" t="s">
        <v>886</v>
      </c>
      <c r="E704" s="386" t="s">
        <v>81</v>
      </c>
      <c r="F704" s="386" t="s">
        <v>17</v>
      </c>
      <c r="G704" s="381" t="s">
        <v>999</v>
      </c>
      <c r="H704" s="381" t="s">
        <v>999</v>
      </c>
    </row>
    <row r="705" spans="1:13" customFormat="1" ht="15">
      <c r="A705" s="361" t="s">
        <v>185</v>
      </c>
      <c r="B705" s="363" t="s">
        <v>186</v>
      </c>
      <c r="C705" s="361" t="s">
        <v>114</v>
      </c>
      <c r="D705" s="363" t="s">
        <v>887</v>
      </c>
      <c r="E705" s="362" t="s">
        <v>115</v>
      </c>
      <c r="F705" s="362" t="s">
        <v>73</v>
      </c>
      <c r="G705" s="361" t="s">
        <v>997</v>
      </c>
      <c r="H705" s="358" t="s">
        <v>998</v>
      </c>
    </row>
    <row r="706" spans="1:13">
      <c r="A706" s="385" t="s">
        <v>185</v>
      </c>
      <c r="B706" s="380" t="s">
        <v>186</v>
      </c>
      <c r="C706" s="391" t="s">
        <v>92</v>
      </c>
      <c r="D706" s="401" t="s">
        <v>888</v>
      </c>
      <c r="E706" s="386" t="s">
        <v>93</v>
      </c>
      <c r="F706" s="386" t="s">
        <v>17</v>
      </c>
      <c r="G706" s="385" t="s">
        <v>999</v>
      </c>
      <c r="H706" s="381" t="s">
        <v>999</v>
      </c>
    </row>
    <row r="707" spans="1:13">
      <c r="A707" s="385" t="s">
        <v>185</v>
      </c>
      <c r="B707" s="380" t="s">
        <v>186</v>
      </c>
      <c r="C707" s="391" t="s">
        <v>32</v>
      </c>
      <c r="D707" s="401" t="s">
        <v>889</v>
      </c>
      <c r="E707" s="386" t="s">
        <v>33</v>
      </c>
      <c r="F707" s="386" t="s">
        <v>17</v>
      </c>
      <c r="G707" s="385" t="s">
        <v>999</v>
      </c>
      <c r="H707" s="381" t="s">
        <v>999</v>
      </c>
    </row>
    <row r="708" spans="1:13" customFormat="1" ht="15">
      <c r="A708" s="361" t="s">
        <v>185</v>
      </c>
      <c r="B708" s="363" t="s">
        <v>186</v>
      </c>
      <c r="C708" s="361" t="s">
        <v>149</v>
      </c>
      <c r="D708" s="363" t="s">
        <v>890</v>
      </c>
      <c r="E708" s="362" t="s">
        <v>150</v>
      </c>
      <c r="F708" s="362" t="s">
        <v>73</v>
      </c>
      <c r="G708" s="361" t="s">
        <v>997</v>
      </c>
      <c r="H708" s="358" t="s">
        <v>998</v>
      </c>
    </row>
    <row r="709" spans="1:13">
      <c r="A709" s="385" t="s">
        <v>185</v>
      </c>
      <c r="B709" s="380" t="s">
        <v>186</v>
      </c>
      <c r="C709" s="391" t="s">
        <v>183</v>
      </c>
      <c r="D709" s="401" t="s">
        <v>891</v>
      </c>
      <c r="E709" s="386" t="s">
        <v>184</v>
      </c>
      <c r="F709" s="386" t="s">
        <v>17</v>
      </c>
      <c r="G709" s="385" t="s">
        <v>18</v>
      </c>
      <c r="H709" s="381" t="s">
        <v>18</v>
      </c>
    </row>
    <row r="710" spans="1:13">
      <c r="A710" s="385" t="s">
        <v>185</v>
      </c>
      <c r="B710" s="380" t="s">
        <v>186</v>
      </c>
      <c r="C710" s="391" t="s">
        <v>191</v>
      </c>
      <c r="D710" s="401" t="s">
        <v>892</v>
      </c>
      <c r="E710" s="386" t="s">
        <v>192</v>
      </c>
      <c r="F710" s="386" t="s">
        <v>17</v>
      </c>
      <c r="G710" s="381" t="s">
        <v>18</v>
      </c>
      <c r="H710" s="381" t="s">
        <v>18</v>
      </c>
    </row>
    <row r="711" spans="1:13">
      <c r="A711" s="385" t="s">
        <v>185</v>
      </c>
      <c r="B711" s="380" t="s">
        <v>186</v>
      </c>
      <c r="C711" s="391" t="s">
        <v>189</v>
      </c>
      <c r="D711" s="401" t="s">
        <v>893</v>
      </c>
      <c r="E711" s="386" t="s">
        <v>190</v>
      </c>
      <c r="F711" s="386" t="s">
        <v>17</v>
      </c>
      <c r="G711" s="381" t="s">
        <v>18</v>
      </c>
      <c r="H711" s="381" t="s">
        <v>18</v>
      </c>
    </row>
    <row r="712" spans="1:13">
      <c r="A712" s="385" t="s">
        <v>185</v>
      </c>
      <c r="B712" s="380" t="s">
        <v>186</v>
      </c>
      <c r="C712" s="391" t="s">
        <v>194</v>
      </c>
      <c r="D712" s="401" t="s">
        <v>1110</v>
      </c>
      <c r="E712" s="386" t="s">
        <v>195</v>
      </c>
      <c r="F712" s="386" t="s">
        <v>17</v>
      </c>
      <c r="G712" s="381" t="s">
        <v>999</v>
      </c>
      <c r="H712" s="381" t="s">
        <v>999</v>
      </c>
      <c r="L712" s="76" t="s">
        <v>904</v>
      </c>
      <c r="M712" s="398" t="s">
        <v>95</v>
      </c>
    </row>
    <row r="713" spans="1:13">
      <c r="A713" s="385" t="s">
        <v>185</v>
      </c>
      <c r="B713" s="380" t="s">
        <v>186</v>
      </c>
      <c r="C713" s="391" t="s">
        <v>862</v>
      </c>
      <c r="D713" s="401" t="s">
        <v>1111</v>
      </c>
      <c r="E713" s="386" t="s">
        <v>863</v>
      </c>
      <c r="F713" s="386" t="s">
        <v>17</v>
      </c>
      <c r="G713" s="385" t="s">
        <v>999</v>
      </c>
      <c r="H713" s="381" t="s">
        <v>999</v>
      </c>
      <c r="I713" s="355" t="s">
        <v>909</v>
      </c>
      <c r="J713" s="4" t="s">
        <v>910</v>
      </c>
      <c r="K713" s="4" t="s">
        <v>911</v>
      </c>
      <c r="L713" s="4">
        <v>4102</v>
      </c>
      <c r="M713" s="398" t="s">
        <v>95</v>
      </c>
    </row>
    <row r="714" spans="1:13">
      <c r="A714" s="385" t="s">
        <v>904</v>
      </c>
      <c r="B714" s="380" t="s">
        <v>95</v>
      </c>
      <c r="C714" s="391" t="s">
        <v>51</v>
      </c>
      <c r="D714" s="401" t="s">
        <v>1112</v>
      </c>
      <c r="E714" s="386" t="s">
        <v>903</v>
      </c>
      <c r="F714" s="386" t="s">
        <v>17</v>
      </c>
      <c r="G714" s="381" t="s">
        <v>995</v>
      </c>
      <c r="H714" s="381" t="s">
        <v>864</v>
      </c>
    </row>
    <row r="715" spans="1:13">
      <c r="A715" s="385" t="s">
        <v>904</v>
      </c>
      <c r="B715" s="380" t="s">
        <v>95</v>
      </c>
      <c r="C715" s="391" t="s">
        <v>15</v>
      </c>
      <c r="D715" s="401" t="s">
        <v>1113</v>
      </c>
      <c r="E715" s="386" t="s">
        <v>16</v>
      </c>
      <c r="F715" s="386" t="s">
        <v>17</v>
      </c>
      <c r="G715" s="381" t="s">
        <v>1021</v>
      </c>
      <c r="H715" s="381" t="s">
        <v>1021</v>
      </c>
    </row>
    <row r="716" spans="1:13">
      <c r="A716" s="385" t="s">
        <v>904</v>
      </c>
      <c r="B716" s="380" t="s">
        <v>95</v>
      </c>
      <c r="C716" s="391" t="s">
        <v>61</v>
      </c>
      <c r="D716" s="401" t="s">
        <v>1114</v>
      </c>
      <c r="E716" s="386" t="s">
        <v>62</v>
      </c>
      <c r="F716" s="386" t="s">
        <v>17</v>
      </c>
      <c r="G716" s="381" t="s">
        <v>1021</v>
      </c>
      <c r="H716" s="381" t="s">
        <v>1021</v>
      </c>
    </row>
    <row r="717" spans="1:13">
      <c r="A717" s="385" t="s">
        <v>904</v>
      </c>
      <c r="B717" s="380" t="s">
        <v>95</v>
      </c>
      <c r="C717" s="391" t="s">
        <v>22</v>
      </c>
      <c r="D717" s="401" t="s">
        <v>1115</v>
      </c>
      <c r="E717" s="386" t="s">
        <v>23</v>
      </c>
      <c r="F717" s="386" t="s">
        <v>17</v>
      </c>
      <c r="G717" s="381" t="s">
        <v>1021</v>
      </c>
      <c r="H717" s="381" t="s">
        <v>1021</v>
      </c>
    </row>
    <row r="718" spans="1:13">
      <c r="A718" s="385" t="s">
        <v>904</v>
      </c>
      <c r="B718" s="380" t="s">
        <v>95</v>
      </c>
      <c r="C718" s="391" t="s">
        <v>67</v>
      </c>
      <c r="D718" s="401" t="s">
        <v>1116</v>
      </c>
      <c r="E718" s="386" t="s">
        <v>68</v>
      </c>
      <c r="F718" s="386" t="s">
        <v>17</v>
      </c>
      <c r="G718" s="381" t="s">
        <v>995</v>
      </c>
      <c r="H718" s="381" t="s">
        <v>864</v>
      </c>
    </row>
    <row r="719" spans="1:13">
      <c r="A719" s="385" t="s">
        <v>904</v>
      </c>
      <c r="B719" s="380" t="s">
        <v>95</v>
      </c>
      <c r="C719" s="391" t="s">
        <v>69</v>
      </c>
      <c r="D719" s="401" t="s">
        <v>1117</v>
      </c>
      <c r="E719" s="386" t="s">
        <v>70</v>
      </c>
      <c r="F719" s="386" t="s">
        <v>17</v>
      </c>
      <c r="G719" s="385" t="s">
        <v>18</v>
      </c>
      <c r="H719" s="381" t="s">
        <v>18</v>
      </c>
    </row>
    <row r="720" spans="1:13">
      <c r="A720" s="385" t="s">
        <v>905</v>
      </c>
      <c r="B720" s="380" t="s">
        <v>908</v>
      </c>
      <c r="C720" s="391" t="s">
        <v>51</v>
      </c>
      <c r="D720" s="401" t="s">
        <v>1118</v>
      </c>
      <c r="E720" s="386" t="s">
        <v>903</v>
      </c>
      <c r="F720" s="386" t="s">
        <v>17</v>
      </c>
      <c r="G720" s="381" t="s">
        <v>995</v>
      </c>
      <c r="H720" s="381" t="s">
        <v>864</v>
      </c>
    </row>
    <row r="721" spans="1:8">
      <c r="A721" s="385" t="s">
        <v>905</v>
      </c>
      <c r="B721" s="380" t="s">
        <v>908</v>
      </c>
      <c r="C721" s="391" t="s">
        <v>19</v>
      </c>
      <c r="D721" s="401" t="s">
        <v>1119</v>
      </c>
      <c r="E721" s="386" t="s">
        <v>20</v>
      </c>
      <c r="F721" s="386" t="s">
        <v>17</v>
      </c>
      <c r="G721" s="385" t="s">
        <v>995</v>
      </c>
      <c r="H721" s="381" t="s">
        <v>864</v>
      </c>
    </row>
    <row r="722" spans="1:8">
      <c r="A722" s="385" t="s">
        <v>905</v>
      </c>
      <c r="B722" s="380" t="s">
        <v>908</v>
      </c>
      <c r="C722" s="391" t="s">
        <v>69</v>
      </c>
      <c r="D722" s="401" t="s">
        <v>1120</v>
      </c>
      <c r="E722" s="386" t="s">
        <v>70</v>
      </c>
      <c r="F722" s="386" t="s">
        <v>17</v>
      </c>
      <c r="G722" s="385" t="s">
        <v>18</v>
      </c>
      <c r="H722" s="381" t="s">
        <v>18</v>
      </c>
    </row>
    <row r="723" spans="1:8">
      <c r="A723" s="385" t="s">
        <v>905</v>
      </c>
      <c r="B723" s="380" t="s">
        <v>908</v>
      </c>
      <c r="C723" s="391" t="s">
        <v>24</v>
      </c>
      <c r="D723" s="401" t="s">
        <v>1121</v>
      </c>
      <c r="E723" s="386" t="s">
        <v>25</v>
      </c>
      <c r="F723" s="386" t="s">
        <v>17</v>
      </c>
      <c r="G723" s="385" t="s">
        <v>995</v>
      </c>
      <c r="H723" s="381" t="s">
        <v>864</v>
      </c>
    </row>
    <row r="724" spans="1:8">
      <c r="A724" s="385" t="s">
        <v>905</v>
      </c>
      <c r="B724" s="380" t="s">
        <v>908</v>
      </c>
      <c r="C724" s="391" t="s">
        <v>862</v>
      </c>
      <c r="D724" s="401" t="s">
        <v>1122</v>
      </c>
      <c r="E724" s="386" t="s">
        <v>863</v>
      </c>
      <c r="F724" s="386" t="s">
        <v>17</v>
      </c>
      <c r="G724" s="385" t="s">
        <v>999</v>
      </c>
      <c r="H724" s="381" t="s">
        <v>999</v>
      </c>
    </row>
    <row r="725" spans="1:8">
      <c r="A725" s="385" t="s">
        <v>905</v>
      </c>
      <c r="B725" s="380" t="s">
        <v>908</v>
      </c>
      <c r="C725" s="391" t="s">
        <v>906</v>
      </c>
      <c r="D725" s="401" t="s">
        <v>1123</v>
      </c>
      <c r="E725" s="386" t="s">
        <v>907</v>
      </c>
      <c r="F725" s="386" t="s">
        <v>17</v>
      </c>
      <c r="G725" s="385" t="s">
        <v>999</v>
      </c>
      <c r="H725" s="381" t="s">
        <v>999</v>
      </c>
    </row>
    <row r="726" spans="1:8" customFormat="1" ht="15">
      <c r="A726" s="361" t="s">
        <v>904</v>
      </c>
      <c r="B726" s="363" t="s">
        <v>95</v>
      </c>
      <c r="C726" s="361" t="s">
        <v>28</v>
      </c>
      <c r="D726" s="363" t="s">
        <v>1124</v>
      </c>
      <c r="E726" s="362" t="s">
        <v>29</v>
      </c>
      <c r="F726" s="362" t="s">
        <v>30</v>
      </c>
      <c r="G726" s="361" t="s">
        <v>172</v>
      </c>
      <c r="H726" s="358" t="s">
        <v>896</v>
      </c>
    </row>
    <row r="727" spans="1:8">
      <c r="A727" s="385" t="s">
        <v>904</v>
      </c>
      <c r="B727" s="380" t="s">
        <v>95</v>
      </c>
      <c r="C727" s="391" t="s">
        <v>63</v>
      </c>
      <c r="D727" s="401" t="s">
        <v>1125</v>
      </c>
      <c r="E727" s="386" t="s">
        <v>140</v>
      </c>
      <c r="F727" s="386" t="s">
        <v>17</v>
      </c>
      <c r="G727" s="385" t="s">
        <v>999</v>
      </c>
      <c r="H727" s="381" t="s">
        <v>999</v>
      </c>
    </row>
    <row r="728" spans="1:8">
      <c r="A728" s="385" t="s">
        <v>26</v>
      </c>
      <c r="B728" s="380" t="s">
        <v>27</v>
      </c>
      <c r="C728" s="391" t="s">
        <v>906</v>
      </c>
      <c r="D728" s="401" t="s">
        <v>913</v>
      </c>
      <c r="E728" s="386" t="s">
        <v>912</v>
      </c>
      <c r="F728" s="386" t="s">
        <v>17</v>
      </c>
      <c r="G728" s="385" t="s">
        <v>999</v>
      </c>
      <c r="H728" s="381" t="s">
        <v>999</v>
      </c>
    </row>
    <row r="729" spans="1:8">
      <c r="A729" s="385" t="s">
        <v>86</v>
      </c>
      <c r="B729" s="380" t="s">
        <v>87</v>
      </c>
      <c r="C729" s="391" t="s">
        <v>906</v>
      </c>
      <c r="D729" s="401" t="s">
        <v>914</v>
      </c>
      <c r="E729" s="386" t="s">
        <v>912</v>
      </c>
      <c r="F729" s="386" t="s">
        <v>17</v>
      </c>
      <c r="G729" s="385" t="s">
        <v>999</v>
      </c>
      <c r="H729" s="381" t="s">
        <v>999</v>
      </c>
    </row>
    <row r="730" spans="1:8">
      <c r="A730" s="385" t="s">
        <v>94</v>
      </c>
      <c r="B730" s="380" t="s">
        <v>95</v>
      </c>
      <c r="C730" s="391" t="s">
        <v>906</v>
      </c>
      <c r="D730" s="401" t="s">
        <v>915</v>
      </c>
      <c r="E730" s="386" t="s">
        <v>912</v>
      </c>
      <c r="F730" s="386" t="s">
        <v>17</v>
      </c>
      <c r="G730" s="385" t="s">
        <v>999</v>
      </c>
      <c r="H730" s="381" t="s">
        <v>999</v>
      </c>
    </row>
    <row r="731" spans="1:8">
      <c r="A731" s="385" t="s">
        <v>96</v>
      </c>
      <c r="B731" s="380" t="s">
        <v>97</v>
      </c>
      <c r="C731" s="391" t="s">
        <v>906</v>
      </c>
      <c r="D731" s="401" t="s">
        <v>916</v>
      </c>
      <c r="E731" s="386" t="s">
        <v>912</v>
      </c>
      <c r="F731" s="386" t="s">
        <v>17</v>
      </c>
      <c r="G731" s="385" t="s">
        <v>999</v>
      </c>
      <c r="H731" s="381" t="s">
        <v>999</v>
      </c>
    </row>
    <row r="732" spans="1:8">
      <c r="A732" s="385" t="s">
        <v>152</v>
      </c>
      <c r="B732" s="380" t="s">
        <v>153</v>
      </c>
      <c r="C732" s="391" t="s">
        <v>906</v>
      </c>
      <c r="D732" s="401" t="s">
        <v>917</v>
      </c>
      <c r="E732" s="386" t="s">
        <v>912</v>
      </c>
      <c r="F732" s="386" t="s">
        <v>17</v>
      </c>
      <c r="G732" s="385" t="s">
        <v>999</v>
      </c>
      <c r="H732" s="381" t="s">
        <v>999</v>
      </c>
    </row>
    <row r="733" spans="1:8">
      <c r="A733" s="385" t="s">
        <v>185</v>
      </c>
      <c r="B733" s="380" t="s">
        <v>186</v>
      </c>
      <c r="C733" s="391" t="s">
        <v>906</v>
      </c>
      <c r="D733" s="401" t="s">
        <v>918</v>
      </c>
      <c r="E733" s="386" t="s">
        <v>912</v>
      </c>
      <c r="F733" s="386" t="s">
        <v>17</v>
      </c>
      <c r="G733" s="385" t="s">
        <v>999</v>
      </c>
      <c r="H733" s="381" t="s">
        <v>999</v>
      </c>
    </row>
    <row r="734" spans="1:8" customFormat="1" ht="15">
      <c r="A734" s="361" t="s">
        <v>904</v>
      </c>
      <c r="B734" s="363" t="s">
        <v>95</v>
      </c>
      <c r="C734" s="361" t="s">
        <v>88</v>
      </c>
      <c r="D734" s="363" t="s">
        <v>919</v>
      </c>
      <c r="E734" s="362" t="s">
        <v>89</v>
      </c>
      <c r="F734" s="362" t="s">
        <v>31</v>
      </c>
      <c r="G734" s="361" t="s">
        <v>172</v>
      </c>
      <c r="H734" s="358" t="s">
        <v>896</v>
      </c>
    </row>
    <row r="735" spans="1:8" customFormat="1" ht="15">
      <c r="A735" s="361" t="s">
        <v>904</v>
      </c>
      <c r="B735" s="363" t="s">
        <v>95</v>
      </c>
      <c r="C735" s="361" t="s">
        <v>144</v>
      </c>
      <c r="D735" s="363" t="s">
        <v>920</v>
      </c>
      <c r="E735" s="362" t="s">
        <v>145</v>
      </c>
      <c r="F735" s="362" t="s">
        <v>31</v>
      </c>
      <c r="G735" s="361" t="s">
        <v>172</v>
      </c>
      <c r="H735" s="358" t="s">
        <v>896</v>
      </c>
    </row>
    <row r="736" spans="1:8" customFormat="1" ht="15">
      <c r="A736" s="361" t="s">
        <v>904</v>
      </c>
      <c r="B736" s="363" t="s">
        <v>95</v>
      </c>
      <c r="C736" s="361" t="s">
        <v>167</v>
      </c>
      <c r="D736" s="363" t="s">
        <v>921</v>
      </c>
      <c r="E736" s="362" t="s">
        <v>168</v>
      </c>
      <c r="F736" s="362" t="s">
        <v>169</v>
      </c>
      <c r="G736" s="361" t="s">
        <v>173</v>
      </c>
      <c r="H736" s="358" t="s">
        <v>896</v>
      </c>
    </row>
    <row r="737" spans="1:8" customFormat="1" ht="15">
      <c r="A737" s="361" t="s">
        <v>904</v>
      </c>
      <c r="B737" s="363" t="s">
        <v>95</v>
      </c>
      <c r="C737" s="361" t="s">
        <v>198</v>
      </c>
      <c r="D737" s="363" t="s">
        <v>922</v>
      </c>
      <c r="E737" s="362" t="s">
        <v>199</v>
      </c>
      <c r="F737" s="362" t="s">
        <v>30</v>
      </c>
      <c r="G737" s="361" t="s">
        <v>172</v>
      </c>
      <c r="H737" s="358" t="s">
        <v>896</v>
      </c>
    </row>
    <row r="738" spans="1:8" customFormat="1" ht="15">
      <c r="A738" s="361" t="s">
        <v>904</v>
      </c>
      <c r="B738" s="363" t="s">
        <v>95</v>
      </c>
      <c r="C738" s="361" t="s">
        <v>34</v>
      </c>
      <c r="D738" s="363" t="s">
        <v>923</v>
      </c>
      <c r="E738" s="362" t="s">
        <v>35</v>
      </c>
      <c r="F738" s="362" t="s">
        <v>36</v>
      </c>
      <c r="G738" s="361" t="s">
        <v>996</v>
      </c>
      <c r="H738" s="358" t="s">
        <v>895</v>
      </c>
    </row>
    <row r="739" spans="1:8" customFormat="1" ht="15">
      <c r="A739" s="361" t="s">
        <v>904</v>
      </c>
      <c r="B739" s="363" t="s">
        <v>95</v>
      </c>
      <c r="C739" s="361" t="s">
        <v>37</v>
      </c>
      <c r="D739" s="363" t="s">
        <v>924</v>
      </c>
      <c r="E739" s="362" t="s">
        <v>38</v>
      </c>
      <c r="F739" s="362" t="s">
        <v>36</v>
      </c>
      <c r="G739" s="361" t="s">
        <v>996</v>
      </c>
      <c r="H739" s="358" t="s">
        <v>895</v>
      </c>
    </row>
    <row r="740" spans="1:8" customFormat="1" ht="15">
      <c r="A740" s="361" t="s">
        <v>904</v>
      </c>
      <c r="B740" s="363" t="s">
        <v>95</v>
      </c>
      <c r="C740" s="361" t="s">
        <v>41</v>
      </c>
      <c r="D740" s="363" t="s">
        <v>925</v>
      </c>
      <c r="E740" s="362" t="s">
        <v>42</v>
      </c>
      <c r="F740" s="362" t="s">
        <v>36</v>
      </c>
      <c r="G740" s="361" t="s">
        <v>996</v>
      </c>
      <c r="H740" s="358" t="s">
        <v>895</v>
      </c>
    </row>
    <row r="741" spans="1:8" customFormat="1" ht="15">
      <c r="A741" s="361" t="s">
        <v>904</v>
      </c>
      <c r="B741" s="363" t="s">
        <v>95</v>
      </c>
      <c r="C741" s="361" t="s">
        <v>43</v>
      </c>
      <c r="D741" s="363" t="s">
        <v>926</v>
      </c>
      <c r="E741" s="362" t="s">
        <v>44</v>
      </c>
      <c r="F741" s="362" t="s">
        <v>36</v>
      </c>
      <c r="G741" s="361" t="s">
        <v>996</v>
      </c>
      <c r="H741" s="358" t="s">
        <v>895</v>
      </c>
    </row>
    <row r="742" spans="1:8" customFormat="1" ht="15">
      <c r="A742" s="361" t="s">
        <v>904</v>
      </c>
      <c r="B742" s="363" t="s">
        <v>95</v>
      </c>
      <c r="C742" s="361" t="s">
        <v>45</v>
      </c>
      <c r="D742" s="363" t="s">
        <v>927</v>
      </c>
      <c r="E742" s="362" t="s">
        <v>46</v>
      </c>
      <c r="F742" s="362" t="s">
        <v>36</v>
      </c>
      <c r="G742" s="361" t="s">
        <v>996</v>
      </c>
      <c r="H742" s="358" t="s">
        <v>895</v>
      </c>
    </row>
    <row r="743" spans="1:8" customFormat="1" ht="15">
      <c r="A743" s="361" t="s">
        <v>904</v>
      </c>
      <c r="B743" s="363" t="s">
        <v>95</v>
      </c>
      <c r="C743" s="361" t="s">
        <v>47</v>
      </c>
      <c r="D743" s="363" t="s">
        <v>928</v>
      </c>
      <c r="E743" s="362" t="s">
        <v>48</v>
      </c>
      <c r="F743" s="362" t="s">
        <v>36</v>
      </c>
      <c r="G743" s="361" t="s">
        <v>996</v>
      </c>
      <c r="H743" s="358" t="s">
        <v>895</v>
      </c>
    </row>
    <row r="744" spans="1:8" customFormat="1" ht="15">
      <c r="A744" s="361" t="s">
        <v>904</v>
      </c>
      <c r="B744" s="363" t="s">
        <v>95</v>
      </c>
      <c r="C744" s="361" t="s">
        <v>49</v>
      </c>
      <c r="D744" s="363" t="s">
        <v>929</v>
      </c>
      <c r="E744" s="362" t="s">
        <v>50</v>
      </c>
      <c r="F744" s="362" t="s">
        <v>36</v>
      </c>
      <c r="G744" s="361" t="s">
        <v>996</v>
      </c>
      <c r="H744" s="358" t="s">
        <v>895</v>
      </c>
    </row>
    <row r="745" spans="1:8">
      <c r="A745" s="385" t="s">
        <v>904</v>
      </c>
      <c r="B745" s="380" t="s">
        <v>95</v>
      </c>
      <c r="C745" s="391" t="s">
        <v>53</v>
      </c>
      <c r="D745" s="401" t="s">
        <v>930</v>
      </c>
      <c r="E745" s="386" t="s">
        <v>54</v>
      </c>
      <c r="F745" s="386" t="s">
        <v>17</v>
      </c>
      <c r="G745" s="381" t="s">
        <v>999</v>
      </c>
      <c r="H745" s="381" t="s">
        <v>999</v>
      </c>
    </row>
    <row r="746" spans="1:8">
      <c r="A746" s="385" t="s">
        <v>904</v>
      </c>
      <c r="B746" s="380" t="s">
        <v>95</v>
      </c>
      <c r="C746" s="391" t="s">
        <v>55</v>
      </c>
      <c r="D746" s="401" t="s">
        <v>931</v>
      </c>
      <c r="E746" s="386" t="s">
        <v>56</v>
      </c>
      <c r="F746" s="386" t="s">
        <v>17</v>
      </c>
      <c r="G746" s="381" t="s">
        <v>1021</v>
      </c>
      <c r="H746" s="381" t="s">
        <v>1021</v>
      </c>
    </row>
    <row r="747" spans="1:8">
      <c r="A747" s="385" t="s">
        <v>904</v>
      </c>
      <c r="B747" s="380" t="s">
        <v>95</v>
      </c>
      <c r="C747" s="391" t="s">
        <v>57</v>
      </c>
      <c r="D747" s="401" t="s">
        <v>1126</v>
      </c>
      <c r="E747" s="386" t="s">
        <v>58</v>
      </c>
      <c r="F747" s="386" t="s">
        <v>17</v>
      </c>
      <c r="G747" s="385" t="s">
        <v>18</v>
      </c>
      <c r="H747" s="381" t="s">
        <v>18</v>
      </c>
    </row>
    <row r="748" spans="1:8">
      <c r="A748" s="385" t="s">
        <v>904</v>
      </c>
      <c r="B748" s="380" t="s">
        <v>95</v>
      </c>
      <c r="C748" s="391" t="s">
        <v>59</v>
      </c>
      <c r="D748" s="401" t="s">
        <v>932</v>
      </c>
      <c r="E748" s="386" t="s">
        <v>60</v>
      </c>
      <c r="F748" s="386" t="s">
        <v>17</v>
      </c>
      <c r="G748" s="381" t="s">
        <v>995</v>
      </c>
      <c r="H748" s="381" t="s">
        <v>864</v>
      </c>
    </row>
    <row r="749" spans="1:8">
      <c r="A749" s="385" t="s">
        <v>904</v>
      </c>
      <c r="B749" s="380" t="s">
        <v>95</v>
      </c>
      <c r="C749" s="391" t="s">
        <v>19</v>
      </c>
      <c r="D749" s="401" t="s">
        <v>933</v>
      </c>
      <c r="E749" s="386" t="s">
        <v>20</v>
      </c>
      <c r="F749" s="386" t="s">
        <v>17</v>
      </c>
      <c r="G749" s="385" t="s">
        <v>995</v>
      </c>
      <c r="H749" s="381" t="s">
        <v>864</v>
      </c>
    </row>
    <row r="750" spans="1:8">
      <c r="A750" s="385" t="s">
        <v>904</v>
      </c>
      <c r="B750" s="380" t="s">
        <v>95</v>
      </c>
      <c r="C750" s="391" t="s">
        <v>65</v>
      </c>
      <c r="D750" s="401" t="s">
        <v>934</v>
      </c>
      <c r="E750" s="386" t="s">
        <v>66</v>
      </c>
      <c r="F750" s="386" t="s">
        <v>17</v>
      </c>
      <c r="G750" s="381" t="s">
        <v>18</v>
      </c>
      <c r="H750" s="381" t="s">
        <v>18</v>
      </c>
    </row>
    <row r="751" spans="1:8" customFormat="1" ht="15">
      <c r="A751" s="361" t="s">
        <v>904</v>
      </c>
      <c r="B751" s="363" t="s">
        <v>95</v>
      </c>
      <c r="C751" s="361" t="s">
        <v>71</v>
      </c>
      <c r="D751" s="363" t="s">
        <v>935</v>
      </c>
      <c r="E751" s="362" t="s">
        <v>72</v>
      </c>
      <c r="F751" s="362" t="s">
        <v>73</v>
      </c>
      <c r="G751" s="361" t="s">
        <v>997</v>
      </c>
      <c r="H751" s="358" t="s">
        <v>998</v>
      </c>
    </row>
    <row r="752" spans="1:8">
      <c r="A752" s="385" t="s">
        <v>904</v>
      </c>
      <c r="B752" s="380" t="s">
        <v>95</v>
      </c>
      <c r="C752" s="391" t="s">
        <v>24</v>
      </c>
      <c r="D752" s="401" t="s">
        <v>936</v>
      </c>
      <c r="E752" s="386" t="s">
        <v>25</v>
      </c>
      <c r="F752" s="386" t="s">
        <v>17</v>
      </c>
      <c r="G752" s="385" t="s">
        <v>995</v>
      </c>
      <c r="H752" s="381" t="s">
        <v>864</v>
      </c>
    </row>
    <row r="753" spans="1:8">
      <c r="A753" s="385" t="s">
        <v>904</v>
      </c>
      <c r="B753" s="380" t="s">
        <v>95</v>
      </c>
      <c r="C753" s="391" t="s">
        <v>78</v>
      </c>
      <c r="D753" s="401" t="s">
        <v>937</v>
      </c>
      <c r="E753" s="386" t="s">
        <v>79</v>
      </c>
      <c r="F753" s="386" t="s">
        <v>17</v>
      </c>
      <c r="G753" s="381" t="s">
        <v>18</v>
      </c>
      <c r="H753" s="381" t="s">
        <v>18</v>
      </c>
    </row>
    <row r="754" spans="1:8">
      <c r="A754" s="385" t="s">
        <v>904</v>
      </c>
      <c r="B754" s="380" t="s">
        <v>95</v>
      </c>
      <c r="C754" s="391" t="s">
        <v>80</v>
      </c>
      <c r="D754" s="401" t="s">
        <v>938</v>
      </c>
      <c r="E754" s="386" t="s">
        <v>81</v>
      </c>
      <c r="F754" s="386" t="s">
        <v>17</v>
      </c>
      <c r="G754" s="381" t="s">
        <v>999</v>
      </c>
      <c r="H754" s="381" t="s">
        <v>999</v>
      </c>
    </row>
    <row r="755" spans="1:8">
      <c r="A755" s="385" t="s">
        <v>904</v>
      </c>
      <c r="B755" s="380" t="s">
        <v>95</v>
      </c>
      <c r="C755" s="391" t="s">
        <v>84</v>
      </c>
      <c r="D755" s="401" t="s">
        <v>939</v>
      </c>
      <c r="E755" s="386" t="s">
        <v>85</v>
      </c>
      <c r="F755" s="386" t="s">
        <v>17</v>
      </c>
      <c r="G755" s="381" t="s">
        <v>18</v>
      </c>
      <c r="H755" s="381" t="s">
        <v>18</v>
      </c>
    </row>
    <row r="756" spans="1:8" customFormat="1" ht="15">
      <c r="A756" s="361" t="s">
        <v>904</v>
      </c>
      <c r="B756" s="363" t="s">
        <v>95</v>
      </c>
      <c r="C756" s="361" t="s">
        <v>114</v>
      </c>
      <c r="D756" s="363" t="s">
        <v>940</v>
      </c>
      <c r="E756" s="362" t="s">
        <v>115</v>
      </c>
      <c r="F756" s="362" t="s">
        <v>73</v>
      </c>
      <c r="G756" s="361" t="s">
        <v>997</v>
      </c>
      <c r="H756" s="358" t="s">
        <v>998</v>
      </c>
    </row>
    <row r="757" spans="1:8">
      <c r="A757" s="385" t="s">
        <v>904</v>
      </c>
      <c r="B757" s="380" t="s">
        <v>95</v>
      </c>
      <c r="C757" s="391" t="s">
        <v>92</v>
      </c>
      <c r="D757" s="401" t="s">
        <v>941</v>
      </c>
      <c r="E757" s="386" t="s">
        <v>93</v>
      </c>
      <c r="F757" s="386" t="s">
        <v>17</v>
      </c>
      <c r="G757" s="385" t="s">
        <v>999</v>
      </c>
      <c r="H757" s="381" t="s">
        <v>999</v>
      </c>
    </row>
    <row r="758" spans="1:8">
      <c r="A758" s="385" t="s">
        <v>904</v>
      </c>
      <c r="B758" s="380" t="s">
        <v>95</v>
      </c>
      <c r="C758" s="391" t="s">
        <v>32</v>
      </c>
      <c r="D758" s="401" t="s">
        <v>942</v>
      </c>
      <c r="E758" s="386" t="s">
        <v>33</v>
      </c>
      <c r="F758" s="386" t="s">
        <v>17</v>
      </c>
      <c r="G758" s="385" t="s">
        <v>999</v>
      </c>
      <c r="H758" s="381" t="s">
        <v>999</v>
      </c>
    </row>
    <row r="759" spans="1:8">
      <c r="A759" s="385" t="s">
        <v>904</v>
      </c>
      <c r="B759" s="380" t="s">
        <v>95</v>
      </c>
      <c r="C759" s="391" t="s">
        <v>146</v>
      </c>
      <c r="D759" s="401" t="s">
        <v>943</v>
      </c>
      <c r="E759" s="386" t="s">
        <v>902</v>
      </c>
      <c r="F759" s="386" t="s">
        <v>17</v>
      </c>
      <c r="G759" s="381" t="s">
        <v>1021</v>
      </c>
      <c r="H759" s="381" t="s">
        <v>1021</v>
      </c>
    </row>
    <row r="760" spans="1:8" customFormat="1" ht="15">
      <c r="A760" s="361" t="s">
        <v>904</v>
      </c>
      <c r="B760" s="363" t="s">
        <v>95</v>
      </c>
      <c r="C760" s="361" t="s">
        <v>149</v>
      </c>
      <c r="D760" s="363" t="s">
        <v>944</v>
      </c>
      <c r="E760" s="362" t="s">
        <v>150</v>
      </c>
      <c r="F760" s="362" t="s">
        <v>73</v>
      </c>
      <c r="G760" s="361" t="s">
        <v>997</v>
      </c>
      <c r="H760" s="358" t="s">
        <v>998</v>
      </c>
    </row>
    <row r="761" spans="1:8">
      <c r="A761" s="385" t="s">
        <v>904</v>
      </c>
      <c r="B761" s="380" t="s">
        <v>95</v>
      </c>
      <c r="C761" s="391" t="s">
        <v>180</v>
      </c>
      <c r="D761" s="401" t="s">
        <v>945</v>
      </c>
      <c r="E761" s="386" t="s">
        <v>181</v>
      </c>
      <c r="F761" s="386" t="s">
        <v>17</v>
      </c>
      <c r="G761" s="381" t="s">
        <v>1021</v>
      </c>
      <c r="H761" s="381" t="s">
        <v>1021</v>
      </c>
    </row>
    <row r="762" spans="1:8">
      <c r="A762" s="385" t="s">
        <v>904</v>
      </c>
      <c r="B762" s="380" t="s">
        <v>95</v>
      </c>
      <c r="C762" s="391" t="s">
        <v>183</v>
      </c>
      <c r="D762" s="401" t="s">
        <v>946</v>
      </c>
      <c r="E762" s="386" t="s">
        <v>184</v>
      </c>
      <c r="F762" s="386" t="s">
        <v>17</v>
      </c>
      <c r="G762" s="385" t="s">
        <v>18</v>
      </c>
      <c r="H762" s="381" t="s">
        <v>18</v>
      </c>
    </row>
    <row r="763" spans="1:8">
      <c r="A763" s="385" t="s">
        <v>904</v>
      </c>
      <c r="B763" s="380" t="s">
        <v>95</v>
      </c>
      <c r="C763" s="391" t="s">
        <v>191</v>
      </c>
      <c r="D763" s="401" t="s">
        <v>947</v>
      </c>
      <c r="E763" s="386" t="s">
        <v>192</v>
      </c>
      <c r="F763" s="386" t="s">
        <v>17</v>
      </c>
      <c r="G763" s="381" t="s">
        <v>18</v>
      </c>
      <c r="H763" s="381" t="s">
        <v>18</v>
      </c>
    </row>
    <row r="764" spans="1:8">
      <c r="A764" s="385" t="s">
        <v>904</v>
      </c>
      <c r="B764" s="380" t="s">
        <v>95</v>
      </c>
      <c r="C764" s="391" t="s">
        <v>189</v>
      </c>
      <c r="D764" s="401" t="s">
        <v>948</v>
      </c>
      <c r="E764" s="386" t="s">
        <v>190</v>
      </c>
      <c r="F764" s="386" t="s">
        <v>17</v>
      </c>
      <c r="G764" s="381" t="s">
        <v>18</v>
      </c>
      <c r="H764" s="381" t="s">
        <v>18</v>
      </c>
    </row>
    <row r="765" spans="1:8">
      <c r="A765" s="385" t="s">
        <v>904</v>
      </c>
      <c r="B765" s="380" t="s">
        <v>95</v>
      </c>
      <c r="C765" s="391" t="s">
        <v>194</v>
      </c>
      <c r="D765" s="401" t="s">
        <v>1127</v>
      </c>
      <c r="E765" s="386" t="s">
        <v>195</v>
      </c>
      <c r="F765" s="386" t="s">
        <v>17</v>
      </c>
      <c r="G765" s="381" t="s">
        <v>999</v>
      </c>
      <c r="H765" s="381" t="s">
        <v>999</v>
      </c>
    </row>
    <row r="766" spans="1:8">
      <c r="A766" s="385" t="s">
        <v>904</v>
      </c>
      <c r="B766" s="380" t="s">
        <v>95</v>
      </c>
      <c r="C766" s="391" t="s">
        <v>862</v>
      </c>
      <c r="D766" s="401" t="s">
        <v>949</v>
      </c>
      <c r="E766" s="386" t="s">
        <v>863</v>
      </c>
      <c r="F766" s="386" t="s">
        <v>17</v>
      </c>
      <c r="G766" s="385" t="s">
        <v>999</v>
      </c>
      <c r="H766" s="381" t="s">
        <v>999</v>
      </c>
    </row>
    <row r="767" spans="1:8">
      <c r="A767" s="385" t="s">
        <v>98</v>
      </c>
      <c r="B767" s="380" t="s">
        <v>99</v>
      </c>
      <c r="C767" s="391" t="s">
        <v>906</v>
      </c>
      <c r="D767" s="401" t="s">
        <v>950</v>
      </c>
      <c r="E767" s="386" t="s">
        <v>912</v>
      </c>
      <c r="F767" s="386" t="s">
        <v>17</v>
      </c>
      <c r="G767" s="385" t="s">
        <v>999</v>
      </c>
      <c r="H767" s="381" t="s">
        <v>999</v>
      </c>
    </row>
    <row r="768" spans="1:8">
      <c r="A768" s="385" t="s">
        <v>100</v>
      </c>
      <c r="B768" s="380" t="s">
        <v>101</v>
      </c>
      <c r="C768" s="391" t="s">
        <v>906</v>
      </c>
      <c r="D768" s="401" t="s">
        <v>951</v>
      </c>
      <c r="E768" s="386" t="s">
        <v>912</v>
      </c>
      <c r="F768" s="386" t="s">
        <v>17</v>
      </c>
      <c r="G768" s="385" t="s">
        <v>999</v>
      </c>
      <c r="H768" s="381" t="s">
        <v>999</v>
      </c>
    </row>
    <row r="769" spans="1:8">
      <c r="A769" s="385" t="s">
        <v>174</v>
      </c>
      <c r="B769" s="380" t="s">
        <v>175</v>
      </c>
      <c r="C769" s="391" t="s">
        <v>906</v>
      </c>
      <c r="D769" s="401" t="s">
        <v>952</v>
      </c>
      <c r="E769" s="386" t="s">
        <v>912</v>
      </c>
      <c r="F769" s="386" t="s">
        <v>17</v>
      </c>
      <c r="G769" s="385" t="s">
        <v>999</v>
      </c>
      <c r="H769" s="381" t="s">
        <v>999</v>
      </c>
    </row>
    <row r="770" spans="1:8">
      <c r="A770" s="385" t="s">
        <v>102</v>
      </c>
      <c r="B770" s="380" t="s">
        <v>103</v>
      </c>
      <c r="C770" s="391" t="s">
        <v>906</v>
      </c>
      <c r="D770" s="401" t="s">
        <v>953</v>
      </c>
      <c r="E770" s="386" t="s">
        <v>912</v>
      </c>
      <c r="F770" s="386" t="s">
        <v>17</v>
      </c>
      <c r="G770" s="385" t="s">
        <v>999</v>
      </c>
      <c r="H770" s="381" t="s">
        <v>999</v>
      </c>
    </row>
    <row r="771" spans="1:8">
      <c r="A771" s="385" t="s">
        <v>104</v>
      </c>
      <c r="B771" s="380" t="s">
        <v>105</v>
      </c>
      <c r="C771" s="391" t="s">
        <v>906</v>
      </c>
      <c r="D771" s="401" t="s">
        <v>954</v>
      </c>
      <c r="E771" s="386" t="s">
        <v>912</v>
      </c>
      <c r="F771" s="386" t="s">
        <v>17</v>
      </c>
      <c r="G771" s="385" t="s">
        <v>999</v>
      </c>
      <c r="H771" s="381" t="s">
        <v>999</v>
      </c>
    </row>
    <row r="772" spans="1:8">
      <c r="A772" s="385" t="s">
        <v>715</v>
      </c>
      <c r="B772" s="380" t="s">
        <v>716</v>
      </c>
      <c r="C772" s="391" t="s">
        <v>906</v>
      </c>
      <c r="D772" s="401" t="s">
        <v>955</v>
      </c>
      <c r="E772" s="386" t="s">
        <v>912</v>
      </c>
      <c r="F772" s="386" t="s">
        <v>17</v>
      </c>
      <c r="G772" s="385" t="s">
        <v>999</v>
      </c>
      <c r="H772" s="381" t="s">
        <v>999</v>
      </c>
    </row>
    <row r="773" spans="1:8">
      <c r="A773" s="385" t="s">
        <v>106</v>
      </c>
      <c r="B773" s="380" t="s">
        <v>107</v>
      </c>
      <c r="C773" s="391" t="s">
        <v>906</v>
      </c>
      <c r="D773" s="401" t="s">
        <v>956</v>
      </c>
      <c r="E773" s="386" t="s">
        <v>912</v>
      </c>
      <c r="F773" s="386" t="s">
        <v>17</v>
      </c>
      <c r="G773" s="385" t="s">
        <v>999</v>
      </c>
      <c r="H773" s="381" t="s">
        <v>999</v>
      </c>
    </row>
    <row r="774" spans="1:8">
      <c r="A774" s="385" t="s">
        <v>108</v>
      </c>
      <c r="B774" s="380" t="s">
        <v>109</v>
      </c>
      <c r="C774" s="391" t="s">
        <v>906</v>
      </c>
      <c r="D774" s="401" t="s">
        <v>957</v>
      </c>
      <c r="E774" s="386" t="s">
        <v>912</v>
      </c>
      <c r="F774" s="386" t="s">
        <v>17</v>
      </c>
      <c r="G774" s="385" t="s">
        <v>999</v>
      </c>
      <c r="H774" s="381" t="s">
        <v>999</v>
      </c>
    </row>
    <row r="775" spans="1:8">
      <c r="A775" s="385" t="s">
        <v>110</v>
      </c>
      <c r="B775" s="380" t="s">
        <v>111</v>
      </c>
      <c r="C775" s="391" t="s">
        <v>906</v>
      </c>
      <c r="D775" s="401" t="s">
        <v>958</v>
      </c>
      <c r="E775" s="386" t="s">
        <v>912</v>
      </c>
      <c r="F775" s="386" t="s">
        <v>17</v>
      </c>
      <c r="G775" s="385" t="s">
        <v>999</v>
      </c>
      <c r="H775" s="381" t="s">
        <v>999</v>
      </c>
    </row>
    <row r="776" spans="1:8">
      <c r="A776" s="385" t="s">
        <v>112</v>
      </c>
      <c r="B776" s="380" t="s">
        <v>113</v>
      </c>
      <c r="C776" s="391" t="s">
        <v>906</v>
      </c>
      <c r="D776" s="401" t="s">
        <v>959</v>
      </c>
      <c r="E776" s="386" t="s">
        <v>912</v>
      </c>
      <c r="F776" s="386" t="s">
        <v>17</v>
      </c>
      <c r="G776" s="385" t="s">
        <v>999</v>
      </c>
      <c r="H776" s="381" t="s">
        <v>999</v>
      </c>
    </row>
    <row r="777" spans="1:8">
      <c r="A777" s="385" t="s">
        <v>904</v>
      </c>
      <c r="B777" s="380" t="s">
        <v>95</v>
      </c>
      <c r="C777" s="391" t="s">
        <v>906</v>
      </c>
      <c r="D777" s="401" t="s">
        <v>1128</v>
      </c>
      <c r="E777" s="386" t="s">
        <v>912</v>
      </c>
      <c r="F777" s="386" t="s">
        <v>17</v>
      </c>
      <c r="G777" s="385" t="s">
        <v>999</v>
      </c>
      <c r="H777" s="381" t="s">
        <v>999</v>
      </c>
    </row>
    <row r="778" spans="1:8">
      <c r="A778" s="385" t="s">
        <v>13</v>
      </c>
      <c r="B778" s="380" t="s">
        <v>14</v>
      </c>
      <c r="C778" s="391" t="s">
        <v>78</v>
      </c>
      <c r="D778" s="401" t="s">
        <v>1129</v>
      </c>
      <c r="E778" s="386" t="s">
        <v>79</v>
      </c>
      <c r="F778" s="386" t="s">
        <v>17</v>
      </c>
      <c r="G778" s="381" t="s">
        <v>18</v>
      </c>
      <c r="H778" s="381" t="s">
        <v>18</v>
      </c>
    </row>
    <row r="779" spans="1:8">
      <c r="A779" s="385" t="s">
        <v>904</v>
      </c>
      <c r="B779" s="380" t="s">
        <v>95</v>
      </c>
      <c r="C779" s="391" t="s">
        <v>74</v>
      </c>
      <c r="D779" s="401" t="s">
        <v>1130</v>
      </c>
      <c r="E779" s="386" t="s">
        <v>75</v>
      </c>
      <c r="F779" s="386" t="s">
        <v>17</v>
      </c>
      <c r="G779" s="381" t="s">
        <v>18</v>
      </c>
      <c r="H779" s="381" t="s">
        <v>18</v>
      </c>
    </row>
    <row r="780" spans="1:8">
      <c r="A780" s="385" t="s">
        <v>960</v>
      </c>
      <c r="B780" s="380" t="s">
        <v>961</v>
      </c>
      <c r="C780" s="391" t="s">
        <v>15</v>
      </c>
      <c r="D780" s="401" t="s">
        <v>1131</v>
      </c>
      <c r="E780" s="386" t="s">
        <v>16</v>
      </c>
      <c r="F780" s="386" t="s">
        <v>17</v>
      </c>
      <c r="G780" s="381" t="s">
        <v>1021</v>
      </c>
      <c r="H780" s="381" t="s">
        <v>1021</v>
      </c>
    </row>
    <row r="781" spans="1:8">
      <c r="A781" s="385" t="s">
        <v>960</v>
      </c>
      <c r="B781" s="380" t="s">
        <v>961</v>
      </c>
      <c r="C781" s="391" t="s">
        <v>55</v>
      </c>
      <c r="D781" s="401" t="s">
        <v>1132</v>
      </c>
      <c r="E781" s="386" t="s">
        <v>56</v>
      </c>
      <c r="F781" s="386" t="s">
        <v>17</v>
      </c>
      <c r="G781" s="381" t="s">
        <v>1021</v>
      </c>
      <c r="H781" s="381" t="s">
        <v>1021</v>
      </c>
    </row>
    <row r="782" spans="1:8">
      <c r="A782" s="385" t="s">
        <v>960</v>
      </c>
      <c r="B782" s="380" t="s">
        <v>961</v>
      </c>
      <c r="C782" s="391" t="s">
        <v>19</v>
      </c>
      <c r="D782" s="401" t="s">
        <v>1133</v>
      </c>
      <c r="E782" s="386" t="s">
        <v>20</v>
      </c>
      <c r="F782" s="386" t="s">
        <v>17</v>
      </c>
      <c r="G782" s="385" t="s">
        <v>21</v>
      </c>
      <c r="H782" s="381" t="s">
        <v>864</v>
      </c>
    </row>
    <row r="783" spans="1:8">
      <c r="A783" s="385" t="s">
        <v>960</v>
      </c>
      <c r="B783" s="380" t="s">
        <v>961</v>
      </c>
      <c r="C783" s="391" t="s">
        <v>61</v>
      </c>
      <c r="D783" s="401" t="s">
        <v>1134</v>
      </c>
      <c r="E783" s="386" t="s">
        <v>62</v>
      </c>
      <c r="F783" s="386" t="s">
        <v>17</v>
      </c>
      <c r="G783" s="381" t="s">
        <v>1021</v>
      </c>
      <c r="H783" s="381" t="s">
        <v>1021</v>
      </c>
    </row>
    <row r="784" spans="1:8">
      <c r="A784" s="385" t="s">
        <v>960</v>
      </c>
      <c r="B784" s="380" t="s">
        <v>961</v>
      </c>
      <c r="C784" s="391" t="s">
        <v>22</v>
      </c>
      <c r="D784" s="401" t="s">
        <v>1135</v>
      </c>
      <c r="E784" s="386" t="s">
        <v>23</v>
      </c>
      <c r="F784" s="386" t="s">
        <v>17</v>
      </c>
      <c r="G784" s="381" t="s">
        <v>1021</v>
      </c>
      <c r="H784" s="381" t="s">
        <v>1021</v>
      </c>
    </row>
    <row r="785" spans="1:8">
      <c r="A785" s="385" t="s">
        <v>960</v>
      </c>
      <c r="B785" s="380" t="s">
        <v>961</v>
      </c>
      <c r="C785" s="391" t="s">
        <v>67</v>
      </c>
      <c r="D785" s="401" t="s">
        <v>1136</v>
      </c>
      <c r="E785" s="386" t="s">
        <v>68</v>
      </c>
      <c r="F785" s="386" t="s">
        <v>17</v>
      </c>
      <c r="G785" s="381" t="s">
        <v>21</v>
      </c>
      <c r="H785" s="381" t="s">
        <v>864</v>
      </c>
    </row>
    <row r="786" spans="1:8">
      <c r="A786" s="385" t="s">
        <v>960</v>
      </c>
      <c r="B786" s="380" t="s">
        <v>961</v>
      </c>
      <c r="C786" s="391" t="s">
        <v>24</v>
      </c>
      <c r="D786" s="401" t="s">
        <v>1137</v>
      </c>
      <c r="E786" s="386" t="s">
        <v>25</v>
      </c>
      <c r="F786" s="386" t="s">
        <v>17</v>
      </c>
      <c r="G786" s="385" t="s">
        <v>995</v>
      </c>
      <c r="H786" s="381" t="s">
        <v>864</v>
      </c>
    </row>
    <row r="787" spans="1:8">
      <c r="A787" s="385" t="s">
        <v>13</v>
      </c>
      <c r="B787" s="380" t="s">
        <v>14</v>
      </c>
      <c r="C787" s="391" t="s">
        <v>189</v>
      </c>
      <c r="D787" s="401" t="s">
        <v>963</v>
      </c>
      <c r="E787" s="386" t="s">
        <v>190</v>
      </c>
      <c r="F787" s="386" t="s">
        <v>17</v>
      </c>
      <c r="G787" s="381" t="s">
        <v>18</v>
      </c>
      <c r="H787" s="381" t="s">
        <v>18</v>
      </c>
    </row>
    <row r="788" spans="1:8" customFormat="1" ht="15">
      <c r="A788" s="361" t="s">
        <v>960</v>
      </c>
      <c r="B788" s="363" t="s">
        <v>961</v>
      </c>
      <c r="C788" s="361" t="s">
        <v>28</v>
      </c>
      <c r="D788" s="363" t="s">
        <v>964</v>
      </c>
      <c r="E788" s="362" t="s">
        <v>29</v>
      </c>
      <c r="F788" s="362" t="s">
        <v>30</v>
      </c>
      <c r="G788" s="361" t="s">
        <v>172</v>
      </c>
      <c r="H788" s="358" t="s">
        <v>896</v>
      </c>
    </row>
    <row r="789" spans="1:8" customFormat="1" ht="15">
      <c r="A789" s="361" t="s">
        <v>960</v>
      </c>
      <c r="B789" s="363" t="s">
        <v>961</v>
      </c>
      <c r="C789" s="361" t="s">
        <v>88</v>
      </c>
      <c r="D789" s="363" t="s">
        <v>965</v>
      </c>
      <c r="E789" s="362" t="s">
        <v>89</v>
      </c>
      <c r="F789" s="362" t="s">
        <v>31</v>
      </c>
      <c r="G789" s="361" t="s">
        <v>172</v>
      </c>
      <c r="H789" s="358" t="s">
        <v>896</v>
      </c>
    </row>
    <row r="790" spans="1:8" customFormat="1" ht="15">
      <c r="A790" s="361" t="s">
        <v>960</v>
      </c>
      <c r="B790" s="363" t="s">
        <v>961</v>
      </c>
      <c r="C790" s="361" t="s">
        <v>144</v>
      </c>
      <c r="D790" s="363" t="s">
        <v>966</v>
      </c>
      <c r="E790" s="362" t="s">
        <v>145</v>
      </c>
      <c r="F790" s="362" t="s">
        <v>31</v>
      </c>
      <c r="G790" s="361" t="s">
        <v>172</v>
      </c>
      <c r="H790" s="358" t="s">
        <v>896</v>
      </c>
    </row>
    <row r="791" spans="1:8" customFormat="1" ht="15">
      <c r="A791" s="361" t="s">
        <v>960</v>
      </c>
      <c r="B791" s="363" t="s">
        <v>961</v>
      </c>
      <c r="C791" s="361" t="s">
        <v>167</v>
      </c>
      <c r="D791" s="363" t="s">
        <v>967</v>
      </c>
      <c r="E791" s="362" t="s">
        <v>168</v>
      </c>
      <c r="F791" s="362" t="s">
        <v>169</v>
      </c>
      <c r="G791" s="361" t="s">
        <v>173</v>
      </c>
      <c r="H791" s="358" t="s">
        <v>896</v>
      </c>
    </row>
    <row r="792" spans="1:8" customFormat="1" ht="15">
      <c r="A792" s="361" t="s">
        <v>960</v>
      </c>
      <c r="B792" s="363" t="s">
        <v>961</v>
      </c>
      <c r="C792" s="361" t="s">
        <v>198</v>
      </c>
      <c r="D792" s="363" t="s">
        <v>968</v>
      </c>
      <c r="E792" s="362" t="s">
        <v>199</v>
      </c>
      <c r="F792" s="362" t="s">
        <v>30</v>
      </c>
      <c r="G792" s="361" t="s">
        <v>172</v>
      </c>
      <c r="H792" s="358" t="s">
        <v>896</v>
      </c>
    </row>
    <row r="793" spans="1:8" customFormat="1" ht="15">
      <c r="A793" s="361" t="s">
        <v>960</v>
      </c>
      <c r="B793" s="363" t="s">
        <v>961</v>
      </c>
      <c r="C793" s="361" t="s">
        <v>34</v>
      </c>
      <c r="D793" s="363" t="s">
        <v>969</v>
      </c>
      <c r="E793" s="362" t="s">
        <v>35</v>
      </c>
      <c r="F793" s="362" t="s">
        <v>36</v>
      </c>
      <c r="G793" s="361" t="s">
        <v>996</v>
      </c>
      <c r="H793" s="358" t="s">
        <v>895</v>
      </c>
    </row>
    <row r="794" spans="1:8" customFormat="1" ht="15">
      <c r="A794" s="361" t="s">
        <v>960</v>
      </c>
      <c r="B794" s="363" t="s">
        <v>961</v>
      </c>
      <c r="C794" s="361" t="s">
        <v>37</v>
      </c>
      <c r="D794" s="363" t="s">
        <v>970</v>
      </c>
      <c r="E794" s="362" t="s">
        <v>38</v>
      </c>
      <c r="F794" s="362" t="s">
        <v>36</v>
      </c>
      <c r="G794" s="361" t="s">
        <v>996</v>
      </c>
      <c r="H794" s="358" t="s">
        <v>895</v>
      </c>
    </row>
    <row r="795" spans="1:8" customFormat="1" ht="15">
      <c r="A795" s="361" t="s">
        <v>960</v>
      </c>
      <c r="B795" s="363" t="s">
        <v>961</v>
      </c>
      <c r="C795" s="361" t="s">
        <v>41</v>
      </c>
      <c r="D795" s="363" t="s">
        <v>971</v>
      </c>
      <c r="E795" s="362" t="s">
        <v>42</v>
      </c>
      <c r="F795" s="362" t="s">
        <v>36</v>
      </c>
      <c r="G795" s="361" t="s">
        <v>996</v>
      </c>
      <c r="H795" s="358" t="s">
        <v>895</v>
      </c>
    </row>
    <row r="796" spans="1:8" customFormat="1" ht="15">
      <c r="A796" s="361" t="s">
        <v>960</v>
      </c>
      <c r="B796" s="363" t="s">
        <v>961</v>
      </c>
      <c r="C796" s="361" t="s">
        <v>43</v>
      </c>
      <c r="D796" s="363" t="s">
        <v>972</v>
      </c>
      <c r="E796" s="362" t="s">
        <v>44</v>
      </c>
      <c r="F796" s="362" t="s">
        <v>36</v>
      </c>
      <c r="G796" s="361" t="s">
        <v>996</v>
      </c>
      <c r="H796" s="358" t="s">
        <v>895</v>
      </c>
    </row>
    <row r="797" spans="1:8" customFormat="1" ht="15">
      <c r="A797" s="361" t="s">
        <v>960</v>
      </c>
      <c r="B797" s="363" t="s">
        <v>961</v>
      </c>
      <c r="C797" s="361" t="s">
        <v>45</v>
      </c>
      <c r="D797" s="363" t="s">
        <v>973</v>
      </c>
      <c r="E797" s="362" t="s">
        <v>46</v>
      </c>
      <c r="F797" s="362" t="s">
        <v>36</v>
      </c>
      <c r="G797" s="361" t="s">
        <v>996</v>
      </c>
      <c r="H797" s="358" t="s">
        <v>895</v>
      </c>
    </row>
    <row r="798" spans="1:8" customFormat="1" ht="15">
      <c r="A798" s="361" t="s">
        <v>960</v>
      </c>
      <c r="B798" s="363" t="s">
        <v>961</v>
      </c>
      <c r="C798" s="361" t="s">
        <v>47</v>
      </c>
      <c r="D798" s="363" t="s">
        <v>974</v>
      </c>
      <c r="E798" s="362" t="s">
        <v>48</v>
      </c>
      <c r="F798" s="362" t="s">
        <v>36</v>
      </c>
      <c r="G798" s="361" t="s">
        <v>996</v>
      </c>
      <c r="H798" s="358" t="s">
        <v>895</v>
      </c>
    </row>
    <row r="799" spans="1:8" customFormat="1" ht="15">
      <c r="A799" s="361" t="s">
        <v>960</v>
      </c>
      <c r="B799" s="363" t="s">
        <v>961</v>
      </c>
      <c r="C799" s="361" t="s">
        <v>49</v>
      </c>
      <c r="D799" s="363" t="s">
        <v>975</v>
      </c>
      <c r="E799" s="362" t="s">
        <v>50</v>
      </c>
      <c r="F799" s="362" t="s">
        <v>36</v>
      </c>
      <c r="G799" s="361" t="s">
        <v>996</v>
      </c>
      <c r="H799" s="358" t="s">
        <v>895</v>
      </c>
    </row>
    <row r="800" spans="1:8">
      <c r="A800" s="385" t="s">
        <v>960</v>
      </c>
      <c r="B800" s="380" t="s">
        <v>961</v>
      </c>
      <c r="C800" s="391" t="s">
        <v>51</v>
      </c>
      <c r="D800" s="401" t="s">
        <v>976</v>
      </c>
      <c r="E800" s="380" t="s">
        <v>52</v>
      </c>
      <c r="F800" s="386" t="s">
        <v>17</v>
      </c>
      <c r="G800" s="385" t="s">
        <v>995</v>
      </c>
      <c r="H800" s="381" t="s">
        <v>864</v>
      </c>
    </row>
    <row r="801" spans="1:8">
      <c r="A801" s="385" t="s">
        <v>960</v>
      </c>
      <c r="B801" s="380" t="s">
        <v>961</v>
      </c>
      <c r="C801" s="391" t="s">
        <v>53</v>
      </c>
      <c r="D801" s="401" t="s">
        <v>977</v>
      </c>
      <c r="E801" s="386" t="s">
        <v>54</v>
      </c>
      <c r="F801" s="386" t="s">
        <v>17</v>
      </c>
      <c r="G801" s="381" t="s">
        <v>999</v>
      </c>
      <c r="H801" s="381" t="s">
        <v>999</v>
      </c>
    </row>
    <row r="802" spans="1:8">
      <c r="A802" s="385" t="s">
        <v>960</v>
      </c>
      <c r="B802" s="380" t="s">
        <v>961</v>
      </c>
      <c r="C802" s="391" t="s">
        <v>59</v>
      </c>
      <c r="D802" s="401" t="s">
        <v>978</v>
      </c>
      <c r="E802" s="386" t="s">
        <v>60</v>
      </c>
      <c r="F802" s="386" t="s">
        <v>17</v>
      </c>
      <c r="G802" s="381" t="s">
        <v>995</v>
      </c>
      <c r="H802" s="381" t="s">
        <v>864</v>
      </c>
    </row>
    <row r="803" spans="1:8">
      <c r="A803" s="385" t="s">
        <v>960</v>
      </c>
      <c r="B803" s="380" t="s">
        <v>961</v>
      </c>
      <c r="C803" s="391" t="s">
        <v>65</v>
      </c>
      <c r="D803" s="401" t="s">
        <v>979</v>
      </c>
      <c r="E803" s="386" t="s">
        <v>66</v>
      </c>
      <c r="F803" s="386" t="s">
        <v>17</v>
      </c>
      <c r="G803" s="381" t="s">
        <v>18</v>
      </c>
      <c r="H803" s="381" t="s">
        <v>18</v>
      </c>
    </row>
    <row r="804" spans="1:8" customFormat="1" ht="15">
      <c r="A804" s="361" t="s">
        <v>960</v>
      </c>
      <c r="B804" s="363" t="s">
        <v>961</v>
      </c>
      <c r="C804" s="361" t="s">
        <v>71</v>
      </c>
      <c r="D804" s="363" t="s">
        <v>980</v>
      </c>
      <c r="E804" s="362" t="s">
        <v>72</v>
      </c>
      <c r="F804" s="362" t="s">
        <v>73</v>
      </c>
      <c r="G804" s="361" t="s">
        <v>997</v>
      </c>
      <c r="H804" s="358" t="s">
        <v>998</v>
      </c>
    </row>
    <row r="805" spans="1:8">
      <c r="A805" s="385" t="s">
        <v>960</v>
      </c>
      <c r="B805" s="380" t="s">
        <v>961</v>
      </c>
      <c r="C805" s="391" t="s">
        <v>74</v>
      </c>
      <c r="D805" s="401" t="s">
        <v>981</v>
      </c>
      <c r="E805" s="386" t="s">
        <v>75</v>
      </c>
      <c r="F805" s="386" t="s">
        <v>17</v>
      </c>
      <c r="G805" s="381" t="s">
        <v>18</v>
      </c>
      <c r="H805" s="381" t="s">
        <v>18</v>
      </c>
    </row>
    <row r="806" spans="1:8">
      <c r="A806" s="385" t="s">
        <v>960</v>
      </c>
      <c r="B806" s="380" t="s">
        <v>961</v>
      </c>
      <c r="C806" s="391" t="s">
        <v>78</v>
      </c>
      <c r="D806" s="401" t="s">
        <v>982</v>
      </c>
      <c r="E806" s="386" t="s">
        <v>79</v>
      </c>
      <c r="F806" s="386" t="s">
        <v>17</v>
      </c>
      <c r="G806" s="381" t="s">
        <v>18</v>
      </c>
      <c r="H806" s="381" t="s">
        <v>18</v>
      </c>
    </row>
    <row r="807" spans="1:8">
      <c r="A807" s="385" t="s">
        <v>960</v>
      </c>
      <c r="B807" s="380" t="s">
        <v>961</v>
      </c>
      <c r="C807" s="391" t="s">
        <v>80</v>
      </c>
      <c r="D807" s="401" t="s">
        <v>983</v>
      </c>
      <c r="E807" s="386" t="s">
        <v>81</v>
      </c>
      <c r="F807" s="386" t="s">
        <v>17</v>
      </c>
      <c r="G807" s="381" t="s">
        <v>999</v>
      </c>
      <c r="H807" s="381" t="s">
        <v>999</v>
      </c>
    </row>
    <row r="808" spans="1:8">
      <c r="A808" s="385" t="s">
        <v>960</v>
      </c>
      <c r="B808" s="380" t="s">
        <v>961</v>
      </c>
      <c r="C808" s="391" t="s">
        <v>84</v>
      </c>
      <c r="D808" s="401" t="s">
        <v>984</v>
      </c>
      <c r="E808" s="386" t="s">
        <v>85</v>
      </c>
      <c r="F808" s="386" t="s">
        <v>17</v>
      </c>
      <c r="G808" s="381" t="s">
        <v>18</v>
      </c>
      <c r="H808" s="381" t="s">
        <v>18</v>
      </c>
    </row>
    <row r="809" spans="1:8">
      <c r="A809" s="385" t="s">
        <v>960</v>
      </c>
      <c r="B809" s="380" t="s">
        <v>961</v>
      </c>
      <c r="C809" s="391" t="s">
        <v>92</v>
      </c>
      <c r="D809" s="401" t="s">
        <v>985</v>
      </c>
      <c r="E809" s="386" t="s">
        <v>93</v>
      </c>
      <c r="F809" s="386" t="s">
        <v>17</v>
      </c>
      <c r="G809" s="385" t="s">
        <v>999</v>
      </c>
      <c r="H809" s="381" t="s">
        <v>999</v>
      </c>
    </row>
    <row r="810" spans="1:8">
      <c r="A810" s="385" t="s">
        <v>960</v>
      </c>
      <c r="B810" s="380" t="s">
        <v>961</v>
      </c>
      <c r="C810" s="391" t="s">
        <v>32</v>
      </c>
      <c r="D810" s="401" t="s">
        <v>986</v>
      </c>
      <c r="E810" s="386" t="s">
        <v>33</v>
      </c>
      <c r="F810" s="386" t="s">
        <v>17</v>
      </c>
      <c r="G810" s="385" t="s">
        <v>999</v>
      </c>
      <c r="H810" s="381" t="s">
        <v>999</v>
      </c>
    </row>
    <row r="811" spans="1:8">
      <c r="A811" s="385" t="s">
        <v>960</v>
      </c>
      <c r="B811" s="380" t="s">
        <v>961</v>
      </c>
      <c r="C811" s="391" t="s">
        <v>146</v>
      </c>
      <c r="D811" s="401" t="s">
        <v>987</v>
      </c>
      <c r="E811" s="386" t="s">
        <v>902</v>
      </c>
      <c r="F811" s="386" t="s">
        <v>17</v>
      </c>
      <c r="G811" s="381" t="s">
        <v>1021</v>
      </c>
      <c r="H811" s="381" t="s">
        <v>1021</v>
      </c>
    </row>
    <row r="812" spans="1:8" customFormat="1" ht="15">
      <c r="A812" s="361" t="s">
        <v>960</v>
      </c>
      <c r="B812" s="363" t="s">
        <v>961</v>
      </c>
      <c r="C812" s="361" t="s">
        <v>149</v>
      </c>
      <c r="D812" s="363" t="s">
        <v>988</v>
      </c>
      <c r="E812" s="362" t="s">
        <v>150</v>
      </c>
      <c r="F812" s="362" t="s">
        <v>73</v>
      </c>
      <c r="G812" s="361" t="s">
        <v>997</v>
      </c>
      <c r="H812" s="358" t="s">
        <v>998</v>
      </c>
    </row>
    <row r="813" spans="1:8">
      <c r="A813" s="385" t="s">
        <v>960</v>
      </c>
      <c r="B813" s="380" t="s">
        <v>961</v>
      </c>
      <c r="C813" s="391" t="s">
        <v>180</v>
      </c>
      <c r="D813" s="401" t="s">
        <v>989</v>
      </c>
      <c r="E813" s="386" t="s">
        <v>181</v>
      </c>
      <c r="F813" s="386" t="s">
        <v>17</v>
      </c>
      <c r="G813" s="381" t="s">
        <v>1021</v>
      </c>
      <c r="H813" s="381" t="s">
        <v>1021</v>
      </c>
    </row>
    <row r="814" spans="1:8">
      <c r="A814" s="385" t="s">
        <v>960</v>
      </c>
      <c r="B814" s="380" t="s">
        <v>961</v>
      </c>
      <c r="C814" s="391" t="s">
        <v>183</v>
      </c>
      <c r="D814" s="401" t="s">
        <v>990</v>
      </c>
      <c r="E814" s="386" t="s">
        <v>184</v>
      </c>
      <c r="F814" s="386" t="s">
        <v>17</v>
      </c>
      <c r="G814" s="385" t="s">
        <v>18</v>
      </c>
      <c r="H814" s="381" t="s">
        <v>18</v>
      </c>
    </row>
    <row r="815" spans="1:8">
      <c r="A815" s="385" t="s">
        <v>960</v>
      </c>
      <c r="B815" s="380" t="s">
        <v>961</v>
      </c>
      <c r="C815" s="391" t="s">
        <v>191</v>
      </c>
      <c r="D815" s="401" t="s">
        <v>991</v>
      </c>
      <c r="E815" s="386" t="s">
        <v>192</v>
      </c>
      <c r="F815" s="386" t="s">
        <v>17</v>
      </c>
      <c r="G815" s="381" t="s">
        <v>18</v>
      </c>
      <c r="H815" s="381" t="s">
        <v>18</v>
      </c>
    </row>
    <row r="816" spans="1:8">
      <c r="A816" s="385" t="s">
        <v>960</v>
      </c>
      <c r="B816" s="380" t="s">
        <v>961</v>
      </c>
      <c r="C816" s="391" t="s">
        <v>189</v>
      </c>
      <c r="D816" s="401" t="s">
        <v>992</v>
      </c>
      <c r="E816" s="386" t="s">
        <v>190</v>
      </c>
      <c r="F816" s="386" t="s">
        <v>17</v>
      </c>
      <c r="G816" s="381" t="s">
        <v>18</v>
      </c>
      <c r="H816" s="381" t="s">
        <v>18</v>
      </c>
    </row>
    <row r="817" spans="1:8">
      <c r="A817" s="385" t="s">
        <v>960</v>
      </c>
      <c r="B817" s="380" t="s">
        <v>961</v>
      </c>
      <c r="C817" s="391" t="s">
        <v>862</v>
      </c>
      <c r="D817" s="401" t="s">
        <v>993</v>
      </c>
      <c r="E817" s="386" t="s">
        <v>863</v>
      </c>
      <c r="F817" s="386" t="s">
        <v>17</v>
      </c>
      <c r="G817" s="385" t="s">
        <v>999</v>
      </c>
      <c r="H817" s="381" t="s">
        <v>999</v>
      </c>
    </row>
    <row r="818" spans="1:8">
      <c r="A818" s="385" t="s">
        <v>960</v>
      </c>
      <c r="B818" s="380" t="s">
        <v>961</v>
      </c>
      <c r="C818" s="391" t="s">
        <v>906</v>
      </c>
      <c r="D818" s="401" t="s">
        <v>994</v>
      </c>
      <c r="E818" s="386" t="s">
        <v>912</v>
      </c>
      <c r="F818" s="386" t="s">
        <v>17</v>
      </c>
      <c r="G818" s="385" t="s">
        <v>999</v>
      </c>
      <c r="H818" s="381" t="s">
        <v>999</v>
      </c>
    </row>
    <row r="819" spans="1:8">
      <c r="A819" s="385" t="s">
        <v>960</v>
      </c>
      <c r="B819" s="380" t="s">
        <v>961</v>
      </c>
      <c r="C819" s="391" t="s">
        <v>57</v>
      </c>
      <c r="D819" s="401" t="s">
        <v>1138</v>
      </c>
      <c r="E819" s="386" t="s">
        <v>58</v>
      </c>
      <c r="F819" s="386" t="s">
        <v>17</v>
      </c>
      <c r="G819" s="385" t="s">
        <v>18</v>
      </c>
      <c r="H819" s="381" t="s">
        <v>18</v>
      </c>
    </row>
    <row r="820" spans="1:8">
      <c r="A820" s="380" t="s">
        <v>960</v>
      </c>
      <c r="B820" s="374" t="s">
        <v>961</v>
      </c>
      <c r="C820" s="401" t="s">
        <v>194</v>
      </c>
      <c r="D820" s="401" t="s">
        <v>1139</v>
      </c>
      <c r="E820" s="380" t="s">
        <v>195</v>
      </c>
      <c r="F820" s="386" t="s">
        <v>17</v>
      </c>
      <c r="G820" s="381" t="s">
        <v>999</v>
      </c>
      <c r="H820" s="381" t="s">
        <v>999</v>
      </c>
    </row>
    <row r="821" spans="1:8">
      <c r="A821" s="380">
        <v>2000</v>
      </c>
      <c r="B821" s="380" t="s">
        <v>14</v>
      </c>
      <c r="C821" s="401" t="s">
        <v>90</v>
      </c>
      <c r="D821" s="402" t="s">
        <v>1140</v>
      </c>
      <c r="E821" s="380" t="s">
        <v>91</v>
      </c>
      <c r="F821" s="380" t="s">
        <v>17</v>
      </c>
      <c r="G821" s="381" t="s">
        <v>18</v>
      </c>
      <c r="H821" s="381" t="s">
        <v>18</v>
      </c>
    </row>
    <row r="822" spans="1:8">
      <c r="A822" s="380">
        <v>4301</v>
      </c>
      <c r="B822" s="380" t="s">
        <v>105</v>
      </c>
      <c r="C822" s="401" t="s">
        <v>90</v>
      </c>
      <c r="D822" s="402" t="s">
        <v>1141</v>
      </c>
      <c r="E822" s="380" t="s">
        <v>91</v>
      </c>
      <c r="F822" s="380" t="s">
        <v>17</v>
      </c>
      <c r="G822" s="381" t="s">
        <v>18</v>
      </c>
      <c r="H822" s="381" t="s">
        <v>18</v>
      </c>
    </row>
    <row r="823" spans="1:8" customFormat="1" ht="15">
      <c r="A823" s="356">
        <v>2000</v>
      </c>
      <c r="B823" s="356" t="s">
        <v>14</v>
      </c>
      <c r="C823" s="361" t="s">
        <v>71</v>
      </c>
      <c r="D823" s="357" t="s">
        <v>1142</v>
      </c>
      <c r="E823" s="362" t="s">
        <v>72</v>
      </c>
      <c r="F823" s="356" t="s">
        <v>73</v>
      </c>
      <c r="G823" s="361" t="s">
        <v>997</v>
      </c>
      <c r="H823" s="358" t="s">
        <v>1001</v>
      </c>
    </row>
    <row r="824" spans="1:8">
      <c r="A824" s="380">
        <v>2000</v>
      </c>
      <c r="B824" s="380" t="s">
        <v>14</v>
      </c>
      <c r="C824" s="391" t="s">
        <v>862</v>
      </c>
      <c r="D824" s="402" t="s">
        <v>1143</v>
      </c>
      <c r="E824" s="386" t="s">
        <v>863</v>
      </c>
      <c r="F824" s="386" t="s">
        <v>17</v>
      </c>
      <c r="G824" s="385" t="s">
        <v>999</v>
      </c>
      <c r="H824" s="381" t="s">
        <v>999</v>
      </c>
    </row>
    <row r="825" spans="1:8">
      <c r="A825" s="380" t="s">
        <v>86</v>
      </c>
      <c r="B825" s="380" t="s">
        <v>87</v>
      </c>
      <c r="C825" s="391" t="s">
        <v>778</v>
      </c>
      <c r="D825" s="402" t="s">
        <v>1144</v>
      </c>
      <c r="E825" s="386" t="s">
        <v>780</v>
      </c>
      <c r="F825" s="386" t="s">
        <v>17</v>
      </c>
      <c r="G825" s="385" t="s">
        <v>18</v>
      </c>
      <c r="H825" s="381" t="s">
        <v>18</v>
      </c>
    </row>
    <row r="826" spans="1:8">
      <c r="A826" s="386" t="s">
        <v>13</v>
      </c>
      <c r="B826" s="374" t="s">
        <v>14</v>
      </c>
      <c r="C826" s="391" t="s">
        <v>1004</v>
      </c>
      <c r="D826" s="402" t="s">
        <v>1145</v>
      </c>
      <c r="E826" s="386" t="s">
        <v>1005</v>
      </c>
      <c r="F826" s="386" t="s">
        <v>17</v>
      </c>
      <c r="G826" s="385" t="s">
        <v>18</v>
      </c>
      <c r="H826" s="381" t="s">
        <v>18</v>
      </c>
    </row>
    <row r="827" spans="1:8">
      <c r="A827" s="386" t="s">
        <v>106</v>
      </c>
      <c r="B827" s="374" t="s">
        <v>107</v>
      </c>
      <c r="C827" s="391" t="s">
        <v>1004</v>
      </c>
      <c r="D827" s="402" t="s">
        <v>1146</v>
      </c>
      <c r="E827" s="386" t="s">
        <v>1005</v>
      </c>
      <c r="F827" s="386" t="s">
        <v>17</v>
      </c>
      <c r="G827" s="385" t="s">
        <v>18</v>
      </c>
      <c r="H827" s="381" t="s">
        <v>18</v>
      </c>
    </row>
    <row r="828" spans="1:8">
      <c r="A828" s="386" t="s">
        <v>13</v>
      </c>
      <c r="B828" s="374" t="s">
        <v>14</v>
      </c>
      <c r="C828" s="391" t="s">
        <v>92</v>
      </c>
      <c r="D828" s="402" t="s">
        <v>1147</v>
      </c>
      <c r="E828" s="386" t="s">
        <v>93</v>
      </c>
      <c r="F828" s="386" t="s">
        <v>17</v>
      </c>
      <c r="G828" s="381" t="s">
        <v>999</v>
      </c>
      <c r="H828" s="385"/>
    </row>
    <row r="829" spans="1:8">
      <c r="A829" s="380" t="s">
        <v>13</v>
      </c>
      <c r="B829" s="374" t="s">
        <v>14</v>
      </c>
      <c r="C829" s="401" t="s">
        <v>1006</v>
      </c>
      <c r="D829" s="374" t="s">
        <v>1010</v>
      </c>
      <c r="E829" s="380" t="s">
        <v>1008</v>
      </c>
      <c r="F829" s="386" t="s">
        <v>17</v>
      </c>
      <c r="G829" s="385" t="s">
        <v>18</v>
      </c>
      <c r="H829" s="381" t="s">
        <v>18</v>
      </c>
    </row>
    <row r="830" spans="1:8">
      <c r="A830" s="380" t="s">
        <v>86</v>
      </c>
      <c r="B830" s="374" t="s">
        <v>87</v>
      </c>
      <c r="C830" s="401" t="s">
        <v>1007</v>
      </c>
      <c r="D830" s="374" t="s">
        <v>1011</v>
      </c>
      <c r="E830" s="380" t="s">
        <v>1009</v>
      </c>
      <c r="F830" s="386" t="s">
        <v>17</v>
      </c>
      <c r="G830" s="385" t="s">
        <v>18</v>
      </c>
      <c r="H830" s="381" t="s">
        <v>18</v>
      </c>
    </row>
    <row r="831" spans="1:8">
      <c r="A831" s="380" t="s">
        <v>104</v>
      </c>
      <c r="B831" s="374" t="s">
        <v>105</v>
      </c>
      <c r="C831" s="401" t="s">
        <v>1006</v>
      </c>
      <c r="D831" s="374" t="s">
        <v>1012</v>
      </c>
      <c r="E831" s="380" t="s">
        <v>1008</v>
      </c>
      <c r="F831" s="386" t="s">
        <v>17</v>
      </c>
      <c r="G831" s="385" t="s">
        <v>18</v>
      </c>
      <c r="H831" s="381" t="s">
        <v>18</v>
      </c>
    </row>
    <row r="832" spans="1:8">
      <c r="A832" s="380" t="s">
        <v>104</v>
      </c>
      <c r="B832" s="374" t="s">
        <v>105</v>
      </c>
      <c r="C832" s="401" t="s">
        <v>1007</v>
      </c>
      <c r="D832" s="374" t="s">
        <v>1013</v>
      </c>
      <c r="E832" s="380" t="s">
        <v>1009</v>
      </c>
      <c r="F832" s="386" t="s">
        <v>17</v>
      </c>
      <c r="G832" s="385" t="s">
        <v>18</v>
      </c>
      <c r="H832" s="381" t="s">
        <v>18</v>
      </c>
    </row>
    <row r="833" spans="1:8">
      <c r="A833" s="380" t="s">
        <v>86</v>
      </c>
      <c r="B833" s="374" t="s">
        <v>87</v>
      </c>
      <c r="C833" s="401" t="s">
        <v>1006</v>
      </c>
      <c r="D833" s="374" t="s">
        <v>1148</v>
      </c>
      <c r="E833" s="380" t="s">
        <v>1008</v>
      </c>
      <c r="F833" s="386" t="s">
        <v>17</v>
      </c>
      <c r="G833" s="385" t="s">
        <v>18</v>
      </c>
      <c r="H833" s="381" t="s">
        <v>18</v>
      </c>
    </row>
    <row r="834" spans="1:8" customFormat="1" ht="15">
      <c r="A834" s="371" t="s">
        <v>86</v>
      </c>
      <c r="B834" s="369" t="s">
        <v>87</v>
      </c>
      <c r="C834" s="371" t="s">
        <v>1014</v>
      </c>
      <c r="D834" s="369" t="s">
        <v>1016</v>
      </c>
      <c r="E834" s="371" t="s">
        <v>1015</v>
      </c>
      <c r="F834" s="362" t="s">
        <v>1020</v>
      </c>
      <c r="G834" s="365" t="s">
        <v>173</v>
      </c>
      <c r="H834" s="361"/>
    </row>
    <row r="835" spans="1:8">
      <c r="A835" s="380" t="s">
        <v>96</v>
      </c>
      <c r="B835" s="374" t="s">
        <v>97</v>
      </c>
      <c r="C835" s="401" t="s">
        <v>1007</v>
      </c>
      <c r="D835" s="374" t="s">
        <v>1017</v>
      </c>
      <c r="E835" s="380" t="s">
        <v>1009</v>
      </c>
      <c r="F835" s="386" t="s">
        <v>17</v>
      </c>
      <c r="G835" s="385" t="s">
        <v>18</v>
      </c>
      <c r="H835" s="381" t="s">
        <v>18</v>
      </c>
    </row>
    <row r="836" spans="1:8">
      <c r="A836" s="380" t="s">
        <v>715</v>
      </c>
      <c r="B836" s="374" t="s">
        <v>716</v>
      </c>
      <c r="C836" s="401" t="s">
        <v>1007</v>
      </c>
      <c r="D836" s="374" t="s">
        <v>1018</v>
      </c>
      <c r="E836" s="380" t="s">
        <v>1009</v>
      </c>
      <c r="F836" s="386" t="s">
        <v>17</v>
      </c>
      <c r="G836" s="385" t="s">
        <v>18</v>
      </c>
      <c r="H836" s="381" t="s">
        <v>18</v>
      </c>
    </row>
    <row r="837" spans="1:8">
      <c r="A837" s="380" t="s">
        <v>960</v>
      </c>
      <c r="B837" s="374" t="s">
        <v>961</v>
      </c>
      <c r="C837" s="401" t="s">
        <v>1007</v>
      </c>
      <c r="D837" s="374" t="s">
        <v>1019</v>
      </c>
      <c r="E837" s="380" t="s">
        <v>1009</v>
      </c>
      <c r="F837" s="386" t="s">
        <v>17</v>
      </c>
      <c r="G837" s="385" t="s">
        <v>18</v>
      </c>
      <c r="H837" s="381" t="s">
        <v>18</v>
      </c>
    </row>
    <row r="838" spans="1:8">
      <c r="A838" s="380" t="s">
        <v>98</v>
      </c>
      <c r="B838" s="374" t="s">
        <v>99</v>
      </c>
      <c r="C838" s="401" t="s">
        <v>1007</v>
      </c>
      <c r="D838" s="374" t="s">
        <v>1022</v>
      </c>
      <c r="E838" s="380" t="s">
        <v>1009</v>
      </c>
      <c r="F838" s="386" t="s">
        <v>17</v>
      </c>
      <c r="G838" s="385" t="s">
        <v>18</v>
      </c>
      <c r="H838" s="381" t="s">
        <v>18</v>
      </c>
    </row>
    <row r="839" spans="1:8">
      <c r="A839" s="386" t="s">
        <v>98</v>
      </c>
      <c r="B839" s="374" t="s">
        <v>99</v>
      </c>
      <c r="C839" s="391" t="s">
        <v>1004</v>
      </c>
      <c r="D839" s="402" t="s">
        <v>1023</v>
      </c>
      <c r="E839" s="386" t="s">
        <v>1005</v>
      </c>
      <c r="F839" s="386" t="s">
        <v>17</v>
      </c>
      <c r="G839" s="385" t="s">
        <v>18</v>
      </c>
      <c r="H839" s="381" t="s">
        <v>18</v>
      </c>
    </row>
    <row r="840" spans="1:8">
      <c r="A840" s="386" t="s">
        <v>104</v>
      </c>
      <c r="B840" s="374" t="s">
        <v>105</v>
      </c>
      <c r="C840" s="391" t="s">
        <v>1004</v>
      </c>
      <c r="D840" s="402" t="s">
        <v>1024</v>
      </c>
      <c r="E840" s="386" t="s">
        <v>1005</v>
      </c>
      <c r="F840" s="386" t="s">
        <v>17</v>
      </c>
      <c r="G840" s="385" t="s">
        <v>18</v>
      </c>
      <c r="H840" s="381" t="s">
        <v>18</v>
      </c>
    </row>
    <row r="841" spans="1:8" ht="15">
      <c r="A841" s="371" t="s">
        <v>108</v>
      </c>
      <c r="B841" s="69" t="s">
        <v>109</v>
      </c>
      <c r="C841" s="371" t="s">
        <v>1007</v>
      </c>
      <c r="D841" s="69" t="s">
        <v>1149</v>
      </c>
      <c r="E841" s="371" t="s">
        <v>1009</v>
      </c>
      <c r="F841" s="386" t="s">
        <v>17</v>
      </c>
      <c r="G841" s="385" t="s">
        <v>18</v>
      </c>
      <c r="H841" s="381" t="s">
        <v>18</v>
      </c>
    </row>
    <row r="842" spans="1:8" ht="15">
      <c r="A842" s="371" t="s">
        <v>112</v>
      </c>
      <c r="B842" s="69" t="s">
        <v>113</v>
      </c>
      <c r="C842" s="371" t="s">
        <v>1007</v>
      </c>
      <c r="D842" s="69" t="s">
        <v>1150</v>
      </c>
      <c r="E842" s="371" t="s">
        <v>1009</v>
      </c>
      <c r="F842" s="386" t="s">
        <v>17</v>
      </c>
      <c r="G842" s="385" t="s">
        <v>18</v>
      </c>
      <c r="H842" s="381" t="s">
        <v>18</v>
      </c>
    </row>
    <row r="843" spans="1:8" ht="15">
      <c r="A843" s="371" t="s">
        <v>86</v>
      </c>
      <c r="B843" s="69" t="s">
        <v>87</v>
      </c>
      <c r="C843" s="371" t="s">
        <v>1025</v>
      </c>
      <c r="D843" s="69" t="s">
        <v>1027</v>
      </c>
      <c r="E843" s="371" t="s">
        <v>1026</v>
      </c>
      <c r="F843" s="356" t="s">
        <v>31</v>
      </c>
      <c r="G843" s="358" t="s">
        <v>172</v>
      </c>
      <c r="H843" s="358" t="s">
        <v>896</v>
      </c>
    </row>
    <row r="844" spans="1:8" ht="15">
      <c r="A844" s="371">
        <v>4403</v>
      </c>
      <c r="B844" s="69" t="s">
        <v>111</v>
      </c>
      <c r="C844" s="371" t="s">
        <v>1007</v>
      </c>
      <c r="D844" s="69" t="s">
        <v>1151</v>
      </c>
      <c r="E844" s="371" t="s">
        <v>1009</v>
      </c>
      <c r="F844" s="386" t="s">
        <v>17</v>
      </c>
      <c r="G844" s="385" t="s">
        <v>18</v>
      </c>
      <c r="H844" s="381" t="s">
        <v>18</v>
      </c>
    </row>
    <row r="845" spans="1:8" ht="15">
      <c r="A845" s="371" t="s">
        <v>174</v>
      </c>
      <c r="B845" s="69" t="s">
        <v>175</v>
      </c>
      <c r="C845" s="371" t="s">
        <v>906</v>
      </c>
      <c r="D845" s="69" t="s">
        <v>952</v>
      </c>
      <c r="E845" s="371" t="s">
        <v>912</v>
      </c>
      <c r="F845" s="386" t="s">
        <v>17</v>
      </c>
      <c r="G845" s="385" t="s">
        <v>18</v>
      </c>
      <c r="H845" s="381" t="s">
        <v>18</v>
      </c>
    </row>
    <row r="846" spans="1:8" ht="15">
      <c r="A846" s="371" t="s">
        <v>108</v>
      </c>
      <c r="B846" s="69" t="s">
        <v>109</v>
      </c>
      <c r="C846" s="371" t="s">
        <v>906</v>
      </c>
      <c r="D846" s="69" t="s">
        <v>957</v>
      </c>
      <c r="E846" s="371" t="s">
        <v>912</v>
      </c>
      <c r="F846" s="386" t="s">
        <v>17</v>
      </c>
      <c r="G846" s="385" t="s">
        <v>18</v>
      </c>
      <c r="H846" s="381" t="s">
        <v>18</v>
      </c>
    </row>
    <row r="847" spans="1:8" ht="12.75">
      <c r="A847" s="495" t="s">
        <v>174</v>
      </c>
      <c r="B847" s="69" t="s">
        <v>175</v>
      </c>
      <c r="C847" s="495" t="s">
        <v>1007</v>
      </c>
      <c r="D847" s="69" t="s">
        <v>1028</v>
      </c>
      <c r="E847" s="495" t="s">
        <v>1009</v>
      </c>
      <c r="F847" s="386" t="s">
        <v>17</v>
      </c>
      <c r="G847" s="385" t="s">
        <v>18</v>
      </c>
      <c r="H847" s="381" t="s">
        <v>18</v>
      </c>
    </row>
    <row r="848" spans="1:8" ht="12.75">
      <c r="A848" s="495" t="s">
        <v>108</v>
      </c>
      <c r="B848" s="69" t="s">
        <v>109</v>
      </c>
      <c r="C848" s="495" t="s">
        <v>1006</v>
      </c>
      <c r="D848" s="69" t="s">
        <v>1029</v>
      </c>
      <c r="E848" s="495" t="s">
        <v>1008</v>
      </c>
      <c r="F848" s="386" t="s">
        <v>17</v>
      </c>
      <c r="G848" s="385" t="s">
        <v>18</v>
      </c>
      <c r="H848" s="381" t="s">
        <v>18</v>
      </c>
    </row>
    <row r="849" spans="1:8" ht="15">
      <c r="A849" s="371" t="s">
        <v>100</v>
      </c>
      <c r="B849" s="69" t="s">
        <v>101</v>
      </c>
      <c r="C849" s="371" t="s">
        <v>1006</v>
      </c>
      <c r="D849" s="69" t="s">
        <v>1030</v>
      </c>
      <c r="E849" s="371" t="s">
        <v>1008</v>
      </c>
      <c r="F849" s="386" t="s">
        <v>17</v>
      </c>
      <c r="G849" s="385" t="s">
        <v>18</v>
      </c>
      <c r="H849" s="381" t="s">
        <v>18</v>
      </c>
    </row>
    <row r="850" spans="1:8" ht="15">
      <c r="A850" s="371" t="s">
        <v>100</v>
      </c>
      <c r="B850" s="69" t="s">
        <v>101</v>
      </c>
      <c r="C850" s="371" t="s">
        <v>1007</v>
      </c>
      <c r="D850" s="69" t="s">
        <v>1031</v>
      </c>
      <c r="E850" s="371" t="s">
        <v>1009</v>
      </c>
      <c r="F850" s="386" t="s">
        <v>17</v>
      </c>
      <c r="G850" s="385" t="s">
        <v>18</v>
      </c>
      <c r="H850" s="381" t="s">
        <v>18</v>
      </c>
    </row>
    <row r="851" spans="1:8" ht="12.75">
      <c r="A851" s="495" t="s">
        <v>26</v>
      </c>
      <c r="B851" s="69" t="s">
        <v>27</v>
      </c>
      <c r="C851" s="495" t="s">
        <v>1007</v>
      </c>
      <c r="D851" s="69" t="s">
        <v>1032</v>
      </c>
      <c r="E851" s="495" t="s">
        <v>1009</v>
      </c>
      <c r="F851" s="386" t="s">
        <v>17</v>
      </c>
      <c r="G851" s="385" t="s">
        <v>18</v>
      </c>
      <c r="H851" s="381" t="s">
        <v>18</v>
      </c>
    </row>
    <row r="852" spans="1:8" ht="12.75">
      <c r="A852" s="495" t="s">
        <v>110</v>
      </c>
      <c r="B852" s="69" t="s">
        <v>111</v>
      </c>
      <c r="C852" s="495" t="s">
        <v>1006</v>
      </c>
      <c r="D852" s="69" t="s">
        <v>1033</v>
      </c>
      <c r="E852" s="495" t="s">
        <v>1008</v>
      </c>
      <c r="F852" s="386" t="s">
        <v>17</v>
      </c>
      <c r="G852" s="385" t="s">
        <v>18</v>
      </c>
      <c r="H852" s="381" t="s">
        <v>18</v>
      </c>
    </row>
    <row r="853" spans="1:8" ht="12.75">
      <c r="A853" s="495" t="s">
        <v>96</v>
      </c>
      <c r="B853" s="69" t="s">
        <v>97</v>
      </c>
      <c r="C853" s="495" t="s">
        <v>1006</v>
      </c>
      <c r="D853" s="69" t="s">
        <v>1034</v>
      </c>
      <c r="E853" s="495" t="s">
        <v>1008</v>
      </c>
      <c r="F853" s="386" t="s">
        <v>17</v>
      </c>
      <c r="G853" s="385" t="s">
        <v>18</v>
      </c>
      <c r="H853" s="381" t="s">
        <v>18</v>
      </c>
    </row>
    <row r="854" spans="1:8" ht="15">
      <c r="A854" s="371" t="s">
        <v>108</v>
      </c>
      <c r="B854" s="69" t="s">
        <v>109</v>
      </c>
      <c r="C854" s="371" t="s">
        <v>1004</v>
      </c>
      <c r="D854" s="69" t="s">
        <v>1035</v>
      </c>
      <c r="E854" s="371" t="s">
        <v>1005</v>
      </c>
      <c r="F854" s="386" t="s">
        <v>17</v>
      </c>
      <c r="G854" s="385" t="s">
        <v>18</v>
      </c>
      <c r="H854" s="381" t="s">
        <v>18</v>
      </c>
    </row>
    <row r="855" spans="1:8" ht="15">
      <c r="A855" s="371" t="s">
        <v>112</v>
      </c>
      <c r="B855" s="69" t="s">
        <v>113</v>
      </c>
      <c r="C855" s="371" t="s">
        <v>1004</v>
      </c>
      <c r="D855" s="69" t="s">
        <v>1036</v>
      </c>
      <c r="E855" s="371" t="s">
        <v>1005</v>
      </c>
      <c r="F855" s="386" t="s">
        <v>17</v>
      </c>
      <c r="G855" s="385" t="s">
        <v>18</v>
      </c>
      <c r="H855" s="381" t="s">
        <v>18</v>
      </c>
    </row>
    <row r="856" spans="1:8" ht="15">
      <c r="A856" s="371" t="s">
        <v>904</v>
      </c>
      <c r="B856" s="69" t="s">
        <v>95</v>
      </c>
      <c r="C856" s="371" t="s">
        <v>1037</v>
      </c>
      <c r="D856" s="69" t="s">
        <v>1039</v>
      </c>
      <c r="E856" s="371" t="s">
        <v>1038</v>
      </c>
      <c r="F856" s="386" t="s">
        <v>17</v>
      </c>
      <c r="G856" s="381" t="s">
        <v>999</v>
      </c>
      <c r="H856" s="381" t="s">
        <v>999</v>
      </c>
    </row>
    <row r="857" spans="1:8" ht="15">
      <c r="A857" s="371" t="s">
        <v>960</v>
      </c>
      <c r="B857" s="69" t="s">
        <v>961</v>
      </c>
      <c r="C857" s="371" t="s">
        <v>1037</v>
      </c>
      <c r="D857" s="69" t="s">
        <v>1040</v>
      </c>
      <c r="E857" s="371" t="s">
        <v>1038</v>
      </c>
      <c r="F857" s="386" t="s">
        <v>17</v>
      </c>
      <c r="G857" s="381" t="s">
        <v>999</v>
      </c>
      <c r="H857" s="381" t="s">
        <v>999</v>
      </c>
    </row>
    <row r="858" spans="1:8" ht="15">
      <c r="A858" s="371" t="s">
        <v>108</v>
      </c>
      <c r="B858" s="69" t="s">
        <v>109</v>
      </c>
      <c r="C858" s="371" t="s">
        <v>1037</v>
      </c>
      <c r="D858" s="69" t="s">
        <v>1041</v>
      </c>
      <c r="E858" s="371" t="s">
        <v>1038</v>
      </c>
      <c r="F858" s="386" t="s">
        <v>17</v>
      </c>
      <c r="G858" s="381" t="s">
        <v>999</v>
      </c>
      <c r="H858" s="381" t="s">
        <v>999</v>
      </c>
    </row>
    <row r="859" spans="1:8" ht="12.75">
      <c r="A859" s="496" t="s">
        <v>86</v>
      </c>
      <c r="B859" s="69" t="s">
        <v>87</v>
      </c>
      <c r="C859" s="496" t="s">
        <v>1037</v>
      </c>
      <c r="D859" s="69" t="s">
        <v>1042</v>
      </c>
      <c r="E859" s="496" t="s">
        <v>1038</v>
      </c>
      <c r="F859" s="386" t="s">
        <v>17</v>
      </c>
      <c r="G859" s="381" t="s">
        <v>999</v>
      </c>
      <c r="H859" s="381" t="s">
        <v>999</v>
      </c>
    </row>
    <row r="860" spans="1:8" ht="12.75">
      <c r="A860" s="496" t="s">
        <v>110</v>
      </c>
      <c r="B860" s="69" t="s">
        <v>111</v>
      </c>
      <c r="C860" s="496" t="s">
        <v>1004</v>
      </c>
      <c r="D860" s="69" t="s">
        <v>1043</v>
      </c>
      <c r="E860" s="496" t="s">
        <v>1005</v>
      </c>
      <c r="F860" s="386" t="s">
        <v>17</v>
      </c>
      <c r="G860" s="385" t="s">
        <v>18</v>
      </c>
      <c r="H860" s="381" t="s">
        <v>18</v>
      </c>
    </row>
    <row r="861" spans="1:8">
      <c r="A861" s="389" t="s">
        <v>13</v>
      </c>
      <c r="B861" s="39" t="s">
        <v>14</v>
      </c>
      <c r="C861" s="405" t="s">
        <v>194</v>
      </c>
      <c r="D861" s="406" t="s">
        <v>1044</v>
      </c>
      <c r="E861" s="39" t="s">
        <v>195</v>
      </c>
      <c r="F861" s="386" t="s">
        <v>17</v>
      </c>
      <c r="G861" s="381" t="s">
        <v>999</v>
      </c>
      <c r="H861" s="381" t="s">
        <v>999</v>
      </c>
    </row>
    <row r="862" spans="1:8" ht="15">
      <c r="A862" s="371" t="s">
        <v>904</v>
      </c>
      <c r="B862" s="69" t="s">
        <v>95</v>
      </c>
      <c r="C862" s="371" t="s">
        <v>1007</v>
      </c>
      <c r="D862" s="69" t="s">
        <v>1045</v>
      </c>
      <c r="E862" s="371" t="s">
        <v>1009</v>
      </c>
      <c r="F862" s="386" t="s">
        <v>17</v>
      </c>
      <c r="G862" s="385" t="s">
        <v>18</v>
      </c>
      <c r="H862" s="381" t="s">
        <v>18</v>
      </c>
    </row>
    <row r="863" spans="1:8" ht="12.75">
      <c r="A863" s="495" t="s">
        <v>106</v>
      </c>
      <c r="B863" s="69" t="s">
        <v>107</v>
      </c>
      <c r="C863" s="495" t="s">
        <v>1007</v>
      </c>
      <c r="D863" s="69" t="s">
        <v>1152</v>
      </c>
      <c r="E863" s="495" t="s">
        <v>1009</v>
      </c>
      <c r="F863" s="386" t="s">
        <v>17</v>
      </c>
      <c r="G863" s="385" t="s">
        <v>18</v>
      </c>
      <c r="H863" s="381" t="s">
        <v>18</v>
      </c>
    </row>
    <row r="864" spans="1:8" ht="12.75">
      <c r="A864" s="495" t="s">
        <v>152</v>
      </c>
      <c r="B864" s="69" t="s">
        <v>153</v>
      </c>
      <c r="C864" s="495" t="s">
        <v>1007</v>
      </c>
      <c r="D864" s="69" t="s">
        <v>1046</v>
      </c>
      <c r="E864" s="495" t="s">
        <v>1009</v>
      </c>
      <c r="F864" s="386" t="s">
        <v>17</v>
      </c>
      <c r="G864" s="385" t="s">
        <v>18</v>
      </c>
      <c r="H864" s="381" t="s">
        <v>18</v>
      </c>
    </row>
    <row r="865" spans="1:8" ht="12.75">
      <c r="A865" s="495" t="s">
        <v>100</v>
      </c>
      <c r="B865" s="69" t="s">
        <v>101</v>
      </c>
      <c r="C865" s="495" t="s">
        <v>144</v>
      </c>
      <c r="D865" s="69" t="s">
        <v>1047</v>
      </c>
      <c r="E865" s="495" t="s">
        <v>145</v>
      </c>
      <c r="F865" s="356" t="s">
        <v>31</v>
      </c>
      <c r="G865" s="358" t="s">
        <v>172</v>
      </c>
      <c r="H865" s="358" t="s">
        <v>896</v>
      </c>
    </row>
    <row r="866" spans="1:8" ht="12.75">
      <c r="A866" s="495" t="s">
        <v>104</v>
      </c>
      <c r="B866" s="69" t="s">
        <v>105</v>
      </c>
      <c r="C866" s="495" t="s">
        <v>823</v>
      </c>
      <c r="D866" s="69" t="s">
        <v>1048</v>
      </c>
      <c r="E866" s="495" t="s">
        <v>824</v>
      </c>
      <c r="F866" s="386" t="s">
        <v>17</v>
      </c>
      <c r="G866" s="381" t="s">
        <v>999</v>
      </c>
      <c r="H866" s="381" t="s">
        <v>999</v>
      </c>
    </row>
    <row r="867" spans="1:8" ht="12.75">
      <c r="A867" s="495" t="s">
        <v>86</v>
      </c>
      <c r="B867" s="69" t="s">
        <v>87</v>
      </c>
      <c r="C867" s="495" t="s">
        <v>1153</v>
      </c>
      <c r="D867" s="69" t="str">
        <f t="shared" ref="D867" si="0">A867&amp;C867</f>
        <v>410124216</v>
      </c>
      <c r="E867" s="495" t="s">
        <v>1154</v>
      </c>
      <c r="F867" s="356" t="s">
        <v>30</v>
      </c>
      <c r="G867" s="358" t="s">
        <v>172</v>
      </c>
      <c r="H867" s="358" t="s">
        <v>896</v>
      </c>
    </row>
    <row r="868" spans="1:8" ht="15">
      <c r="A868" s="371" t="s">
        <v>152</v>
      </c>
      <c r="B868" s="69" t="s">
        <v>153</v>
      </c>
      <c r="C868" s="371" t="s">
        <v>1037</v>
      </c>
      <c r="D868" s="69" t="s">
        <v>1155</v>
      </c>
      <c r="E868" s="371" t="s">
        <v>1038</v>
      </c>
      <c r="F868" s="386" t="s">
        <v>17</v>
      </c>
      <c r="G868" s="381" t="s">
        <v>999</v>
      </c>
      <c r="H868" s="381" t="s">
        <v>999</v>
      </c>
    </row>
    <row r="869" spans="1:8" ht="15">
      <c r="A869" s="371" t="s">
        <v>98</v>
      </c>
      <c r="B869" s="69" t="s">
        <v>99</v>
      </c>
      <c r="C869" s="371" t="s">
        <v>1037</v>
      </c>
      <c r="D869" s="69" t="s">
        <v>1156</v>
      </c>
      <c r="E869" s="371" t="s">
        <v>1038</v>
      </c>
      <c r="F869" s="386" t="s">
        <v>17</v>
      </c>
      <c r="G869" s="381" t="s">
        <v>999</v>
      </c>
      <c r="H869" s="381" t="s">
        <v>999</v>
      </c>
    </row>
    <row r="870" spans="1:8" ht="15">
      <c r="A870" s="371" t="s">
        <v>100</v>
      </c>
      <c r="B870" s="69" t="s">
        <v>101</v>
      </c>
      <c r="C870" s="371" t="s">
        <v>1037</v>
      </c>
      <c r="D870" s="69" t="s">
        <v>1157</v>
      </c>
      <c r="E870" s="371" t="s">
        <v>1038</v>
      </c>
      <c r="F870" s="386" t="s">
        <v>17</v>
      </c>
      <c r="G870" s="381" t="s">
        <v>999</v>
      </c>
      <c r="H870" s="381" t="s">
        <v>999</v>
      </c>
    </row>
    <row r="871" spans="1:8" ht="15">
      <c r="A871" s="371" t="s">
        <v>174</v>
      </c>
      <c r="B871" s="69" t="s">
        <v>175</v>
      </c>
      <c r="C871" s="371" t="s">
        <v>1037</v>
      </c>
      <c r="D871" s="69" t="s">
        <v>1158</v>
      </c>
      <c r="E871" s="371" t="s">
        <v>1038</v>
      </c>
      <c r="F871" s="386" t="s">
        <v>17</v>
      </c>
      <c r="G871" s="381" t="s">
        <v>999</v>
      </c>
      <c r="H871" s="381" t="s">
        <v>999</v>
      </c>
    </row>
    <row r="872" spans="1:8" ht="15">
      <c r="A872" s="371" t="s">
        <v>104</v>
      </c>
      <c r="B872" s="69" t="s">
        <v>105</v>
      </c>
      <c r="C872" s="371" t="s">
        <v>1037</v>
      </c>
      <c r="D872" s="69" t="s">
        <v>1159</v>
      </c>
      <c r="E872" s="371" t="s">
        <v>1038</v>
      </c>
      <c r="F872" s="386" t="s">
        <v>17</v>
      </c>
      <c r="G872" s="381" t="s">
        <v>999</v>
      </c>
      <c r="H872" s="381" t="s">
        <v>999</v>
      </c>
    </row>
    <row r="873" spans="1:8" ht="15">
      <c r="A873" s="371" t="s">
        <v>96</v>
      </c>
      <c r="B873" s="69" t="s">
        <v>97</v>
      </c>
      <c r="C873" s="371" t="s">
        <v>1037</v>
      </c>
      <c r="D873" s="69" t="s">
        <v>1160</v>
      </c>
      <c r="E873" s="371" t="s">
        <v>1038</v>
      </c>
      <c r="F873" s="386" t="s">
        <v>17</v>
      </c>
      <c r="G873" s="381" t="s">
        <v>999</v>
      </c>
      <c r="H873" s="381" t="s">
        <v>999</v>
      </c>
    </row>
    <row r="874" spans="1:8" ht="15">
      <c r="A874" s="371" t="s">
        <v>715</v>
      </c>
      <c r="B874" s="69" t="s">
        <v>716</v>
      </c>
      <c r="C874" s="371" t="s">
        <v>1037</v>
      </c>
      <c r="D874" s="69" t="s">
        <v>1161</v>
      </c>
      <c r="E874" s="371" t="s">
        <v>1038</v>
      </c>
      <c r="F874" s="386" t="s">
        <v>17</v>
      </c>
      <c r="G874" s="381" t="s">
        <v>999</v>
      </c>
      <c r="H874" s="381" t="s">
        <v>999</v>
      </c>
    </row>
    <row r="875" spans="1:8" ht="15">
      <c r="A875" s="371" t="s">
        <v>106</v>
      </c>
      <c r="B875" s="69" t="s">
        <v>107</v>
      </c>
      <c r="C875" s="371" t="s">
        <v>1037</v>
      </c>
      <c r="D875" s="69" t="s">
        <v>1162</v>
      </c>
      <c r="E875" s="371" t="s">
        <v>1038</v>
      </c>
      <c r="F875" s="386" t="s">
        <v>17</v>
      </c>
      <c r="G875" s="381" t="s">
        <v>999</v>
      </c>
      <c r="H875" s="381" t="s">
        <v>999</v>
      </c>
    </row>
    <row r="876" spans="1:8" ht="15">
      <c r="A876" s="371" t="s">
        <v>110</v>
      </c>
      <c r="B876" s="69" t="s">
        <v>111</v>
      </c>
      <c r="C876" s="371" t="s">
        <v>1037</v>
      </c>
      <c r="D876" s="69" t="s">
        <v>1163</v>
      </c>
      <c r="E876" s="371" t="s">
        <v>1038</v>
      </c>
      <c r="F876" s="386" t="s">
        <v>17</v>
      </c>
      <c r="G876" s="381" t="s">
        <v>999</v>
      </c>
      <c r="H876" s="381" t="s">
        <v>999</v>
      </c>
    </row>
    <row r="877" spans="1:8" ht="15">
      <c r="A877" s="371" t="s">
        <v>26</v>
      </c>
      <c r="B877" s="69" t="s">
        <v>27</v>
      </c>
      <c r="C877" s="371" t="s">
        <v>1037</v>
      </c>
      <c r="D877" s="69" t="s">
        <v>1164</v>
      </c>
      <c r="E877" s="371" t="s">
        <v>1038</v>
      </c>
      <c r="F877" s="386" t="s">
        <v>17</v>
      </c>
      <c r="G877" s="381" t="s">
        <v>999</v>
      </c>
      <c r="H877" s="381" t="s">
        <v>999</v>
      </c>
    </row>
    <row r="878" spans="1:8" ht="15">
      <c r="A878" s="371" t="s">
        <v>960</v>
      </c>
      <c r="B878" s="69" t="s">
        <v>961</v>
      </c>
      <c r="C878" s="371" t="s">
        <v>1006</v>
      </c>
      <c r="D878" s="69" t="s">
        <v>1165</v>
      </c>
      <c r="E878" s="371" t="s">
        <v>1008</v>
      </c>
      <c r="F878" s="386" t="s">
        <v>17</v>
      </c>
      <c r="G878" s="385" t="s">
        <v>18</v>
      </c>
      <c r="H878" s="381" t="s">
        <v>18</v>
      </c>
    </row>
    <row r="879" spans="1:8" ht="15">
      <c r="A879" s="371" t="s">
        <v>112</v>
      </c>
      <c r="B879" s="69" t="s">
        <v>113</v>
      </c>
      <c r="C879" s="371" t="s">
        <v>1037</v>
      </c>
      <c r="D879" s="69" t="s">
        <v>1166</v>
      </c>
      <c r="E879" s="371" t="s">
        <v>1038</v>
      </c>
      <c r="F879" s="386" t="s">
        <v>17</v>
      </c>
      <c r="G879" s="381" t="s">
        <v>999</v>
      </c>
      <c r="H879" s="381" t="s">
        <v>999</v>
      </c>
    </row>
    <row r="880" spans="1:8" ht="15">
      <c r="A880" s="371" t="s">
        <v>98</v>
      </c>
      <c r="B880" s="69" t="s">
        <v>99</v>
      </c>
      <c r="C880" s="371" t="s">
        <v>1006</v>
      </c>
      <c r="D880" s="69" t="s">
        <v>1167</v>
      </c>
      <c r="E880" s="371" t="s">
        <v>1008</v>
      </c>
      <c r="F880" s="386" t="s">
        <v>17</v>
      </c>
      <c r="G880" s="385" t="s">
        <v>18</v>
      </c>
      <c r="H880" s="381" t="s">
        <v>18</v>
      </c>
    </row>
    <row r="881" spans="1:8" ht="15">
      <c r="A881" s="389" t="s">
        <v>112</v>
      </c>
      <c r="B881" s="69" t="s">
        <v>113</v>
      </c>
      <c r="C881" s="371" t="s">
        <v>74</v>
      </c>
      <c r="D881" s="69" t="str">
        <f t="shared" ref="D881" si="1">A881&amp;C881</f>
        <v>440415906</v>
      </c>
      <c r="E881" s="371" t="s">
        <v>75</v>
      </c>
      <c r="F881" s="386" t="s">
        <v>17</v>
      </c>
      <c r="G881" s="385" t="s">
        <v>18</v>
      </c>
      <c r="H881" s="381" t="s">
        <v>18</v>
      </c>
    </row>
    <row r="882" spans="1:8" ht="15">
      <c r="A882" s="371" t="s">
        <v>13</v>
      </c>
      <c r="B882" s="69" t="s">
        <v>14</v>
      </c>
      <c r="C882" s="371" t="s">
        <v>1007</v>
      </c>
      <c r="D882" s="69" t="s">
        <v>1168</v>
      </c>
      <c r="E882" s="371" t="s">
        <v>1009</v>
      </c>
      <c r="F882" s="386" t="s">
        <v>17</v>
      </c>
      <c r="G882" s="385" t="s">
        <v>18</v>
      </c>
      <c r="H882" s="381" t="s">
        <v>18</v>
      </c>
    </row>
    <row r="883" spans="1:8" ht="15">
      <c r="A883" s="371" t="s">
        <v>26</v>
      </c>
      <c r="B883" s="69" t="s">
        <v>27</v>
      </c>
      <c r="C883" s="371" t="s">
        <v>1006</v>
      </c>
      <c r="D883" s="69" t="s">
        <v>1169</v>
      </c>
      <c r="E883" s="371" t="s">
        <v>1008</v>
      </c>
      <c r="F883" s="386" t="s">
        <v>17</v>
      </c>
      <c r="G883" s="385" t="s">
        <v>18</v>
      </c>
      <c r="H883" s="381" t="s">
        <v>18</v>
      </c>
    </row>
    <row r="884" spans="1:8" ht="15">
      <c r="A884" s="371" t="s">
        <v>100</v>
      </c>
      <c r="B884" s="69" t="s">
        <v>101</v>
      </c>
      <c r="C884" s="371" t="s">
        <v>39</v>
      </c>
      <c r="D884" s="69" t="s">
        <v>1170</v>
      </c>
      <c r="E884" s="371" t="s">
        <v>40</v>
      </c>
      <c r="F884" s="386" t="s">
        <v>17</v>
      </c>
      <c r="G884" s="385" t="s">
        <v>18</v>
      </c>
      <c r="H884" s="381" t="s">
        <v>18</v>
      </c>
    </row>
    <row r="885" spans="1:8" ht="15">
      <c r="A885" s="371" t="s">
        <v>715</v>
      </c>
      <c r="B885" s="69" t="s">
        <v>716</v>
      </c>
      <c r="C885" s="371" t="s">
        <v>1006</v>
      </c>
      <c r="D885" s="69" t="s">
        <v>1171</v>
      </c>
      <c r="E885" s="371" t="s">
        <v>1008</v>
      </c>
      <c r="F885" s="386" t="s">
        <v>17</v>
      </c>
      <c r="G885" s="385" t="s">
        <v>18</v>
      </c>
      <c r="H885" s="381" t="s">
        <v>18</v>
      </c>
    </row>
    <row r="886" spans="1:8" ht="15">
      <c r="A886" s="371" t="s">
        <v>106</v>
      </c>
      <c r="B886" s="69" t="s">
        <v>107</v>
      </c>
      <c r="C886" s="371" t="s">
        <v>1006</v>
      </c>
      <c r="D886" s="69" t="s">
        <v>1172</v>
      </c>
      <c r="E886" s="371" t="s">
        <v>1008</v>
      </c>
      <c r="F886" s="386" t="s">
        <v>17</v>
      </c>
      <c r="G886" s="385" t="s">
        <v>18</v>
      </c>
      <c r="H886" s="381" t="s">
        <v>18</v>
      </c>
    </row>
    <row r="887" spans="1:8" ht="15">
      <c r="A887" s="371" t="s">
        <v>904</v>
      </c>
      <c r="B887" s="69" t="s">
        <v>95</v>
      </c>
      <c r="C887" s="371" t="s">
        <v>855</v>
      </c>
      <c r="D887" s="69" t="s">
        <v>1173</v>
      </c>
      <c r="E887" s="371" t="s">
        <v>856</v>
      </c>
      <c r="F887" s="386" t="s">
        <v>17</v>
      </c>
      <c r="G887" s="385" t="s">
        <v>18</v>
      </c>
      <c r="H887" s="381" t="s">
        <v>18</v>
      </c>
    </row>
    <row r="888" spans="1:8" ht="15">
      <c r="A888" s="371" t="s">
        <v>904</v>
      </c>
      <c r="B888" s="69" t="s">
        <v>95</v>
      </c>
      <c r="C888" s="371" t="s">
        <v>778</v>
      </c>
      <c r="D888" s="69" t="s">
        <v>1174</v>
      </c>
      <c r="E888" s="371" t="s">
        <v>780</v>
      </c>
      <c r="F888" s="386" t="s">
        <v>17</v>
      </c>
      <c r="G888" s="385" t="s">
        <v>18</v>
      </c>
      <c r="H888" s="381" t="s">
        <v>18</v>
      </c>
    </row>
    <row r="889" spans="1:8" ht="15">
      <c r="A889" s="371" t="s">
        <v>104</v>
      </c>
      <c r="B889" s="69" t="s">
        <v>105</v>
      </c>
      <c r="C889" s="371" t="s">
        <v>855</v>
      </c>
      <c r="D889" s="69" t="s">
        <v>1175</v>
      </c>
      <c r="E889" s="371" t="s">
        <v>856</v>
      </c>
      <c r="F889" s="386" t="s">
        <v>17</v>
      </c>
      <c r="G889" s="385" t="s">
        <v>18</v>
      </c>
      <c r="H889" s="381" t="s">
        <v>18</v>
      </c>
    </row>
    <row r="890" spans="1:8" ht="15">
      <c r="A890" s="371" t="s">
        <v>904</v>
      </c>
      <c r="B890" s="69" t="s">
        <v>95</v>
      </c>
      <c r="C890" s="371" t="s">
        <v>1176</v>
      </c>
      <c r="D890" s="69" t="s">
        <v>1178</v>
      </c>
      <c r="E890" s="371" t="s">
        <v>1177</v>
      </c>
      <c r="F890" s="386" t="s">
        <v>17</v>
      </c>
      <c r="G890" s="385" t="s">
        <v>999</v>
      </c>
      <c r="H890" s="381" t="s">
        <v>999</v>
      </c>
    </row>
    <row r="891" spans="1:8" ht="15">
      <c r="A891" s="371" t="s">
        <v>26</v>
      </c>
      <c r="B891" s="69" t="s">
        <v>27</v>
      </c>
      <c r="C891" s="371" t="s">
        <v>1176</v>
      </c>
      <c r="D891" s="69" t="s">
        <v>1179</v>
      </c>
      <c r="E891" s="371" t="s">
        <v>1177</v>
      </c>
      <c r="F891" s="386" t="s">
        <v>17</v>
      </c>
      <c r="G891" s="385" t="s">
        <v>999</v>
      </c>
      <c r="H891" s="381" t="s">
        <v>999</v>
      </c>
    </row>
    <row r="892" spans="1:8" ht="15">
      <c r="A892" s="371" t="s">
        <v>960</v>
      </c>
      <c r="B892" s="69" t="s">
        <v>961</v>
      </c>
      <c r="C892" s="371" t="s">
        <v>1176</v>
      </c>
      <c r="D892" s="69" t="s">
        <v>1180</v>
      </c>
      <c r="E892" s="371" t="s">
        <v>1177</v>
      </c>
      <c r="F892" s="386" t="s">
        <v>17</v>
      </c>
      <c r="G892" s="385" t="s">
        <v>999</v>
      </c>
      <c r="H892" s="381" t="s">
        <v>999</v>
      </c>
    </row>
    <row r="893" spans="1:8" ht="15">
      <c r="A893" s="371" t="s">
        <v>110</v>
      </c>
      <c r="B893" s="69" t="s">
        <v>111</v>
      </c>
      <c r="C893" s="371" t="s">
        <v>1176</v>
      </c>
      <c r="D893" s="69" t="s">
        <v>1181</v>
      </c>
      <c r="E893" s="371" t="s">
        <v>1177</v>
      </c>
      <c r="F893" s="386" t="s">
        <v>17</v>
      </c>
      <c r="G893" s="385" t="s">
        <v>999</v>
      </c>
      <c r="H893" s="381" t="s">
        <v>999</v>
      </c>
    </row>
    <row r="894" spans="1:8" ht="15">
      <c r="A894" s="371" t="s">
        <v>86</v>
      </c>
      <c r="B894" s="69" t="s">
        <v>87</v>
      </c>
      <c r="C894" s="371" t="s">
        <v>1176</v>
      </c>
      <c r="D894" s="69" t="s">
        <v>1183</v>
      </c>
      <c r="E894" s="371" t="s">
        <v>1182</v>
      </c>
      <c r="F894" s="386" t="s">
        <v>17</v>
      </c>
      <c r="G894" s="385" t="s">
        <v>999</v>
      </c>
      <c r="H894" s="381" t="s">
        <v>999</v>
      </c>
    </row>
    <row r="895" spans="1:8" ht="15">
      <c r="A895" s="371" t="s">
        <v>86</v>
      </c>
      <c r="B895" s="69" t="s">
        <v>87</v>
      </c>
      <c r="C895" s="371" t="s">
        <v>1184</v>
      </c>
      <c r="D895" s="69" t="s">
        <v>1186</v>
      </c>
      <c r="E895" s="371" t="s">
        <v>1185</v>
      </c>
      <c r="F895" s="386" t="s">
        <v>169</v>
      </c>
      <c r="G895" s="385" t="s">
        <v>173</v>
      </c>
      <c r="H895" s="381"/>
    </row>
    <row r="896" spans="1:8" ht="15">
      <c r="A896" s="371" t="s">
        <v>13</v>
      </c>
      <c r="B896" s="69" t="s">
        <v>14</v>
      </c>
      <c r="C896" s="371" t="s">
        <v>823</v>
      </c>
      <c r="D896" s="69" t="s">
        <v>1187</v>
      </c>
      <c r="E896" s="371" t="s">
        <v>824</v>
      </c>
      <c r="F896" s="386" t="s">
        <v>17</v>
      </c>
      <c r="G896" s="385" t="s">
        <v>999</v>
      </c>
      <c r="H896" s="385" t="s">
        <v>999</v>
      </c>
    </row>
    <row r="897" spans="1:8" ht="15">
      <c r="A897" s="371" t="s">
        <v>108</v>
      </c>
      <c r="B897" s="69" t="s">
        <v>109</v>
      </c>
      <c r="C897" s="371" t="s">
        <v>1176</v>
      </c>
      <c r="D897" s="69" t="s">
        <v>1190</v>
      </c>
      <c r="E897" s="371" t="s">
        <v>1182</v>
      </c>
      <c r="F897" s="386" t="s">
        <v>17</v>
      </c>
      <c r="G897" s="385" t="s">
        <v>999</v>
      </c>
      <c r="H897" s="385"/>
    </row>
    <row r="898" spans="1:8" ht="15">
      <c r="A898" s="371" t="s">
        <v>112</v>
      </c>
      <c r="B898" s="69" t="s">
        <v>113</v>
      </c>
      <c r="C898" s="371" t="s">
        <v>1176</v>
      </c>
      <c r="D898" s="69" t="s">
        <v>1191</v>
      </c>
      <c r="E898" s="371" t="s">
        <v>1182</v>
      </c>
      <c r="F898" s="386" t="s">
        <v>17</v>
      </c>
      <c r="G898" s="385" t="s">
        <v>999</v>
      </c>
      <c r="H898" s="385"/>
    </row>
    <row r="899" spans="1:8" ht="15">
      <c r="A899" s="371" t="s">
        <v>86</v>
      </c>
      <c r="B899" s="69" t="s">
        <v>87</v>
      </c>
      <c r="C899" s="371" t="s">
        <v>1188</v>
      </c>
      <c r="D899" s="69" t="s">
        <v>1192</v>
      </c>
      <c r="E899" s="371" t="s">
        <v>1189</v>
      </c>
      <c r="F899" s="386" t="s">
        <v>30</v>
      </c>
      <c r="G899" s="358" t="s">
        <v>172</v>
      </c>
      <c r="H899" s="385"/>
    </row>
    <row r="900" spans="1:8" ht="15">
      <c r="A900" s="371" t="s">
        <v>960</v>
      </c>
      <c r="B900" s="69" t="s">
        <v>961</v>
      </c>
      <c r="C900" s="371" t="s">
        <v>1188</v>
      </c>
      <c r="D900" s="69" t="s">
        <v>1193</v>
      </c>
      <c r="E900" s="371" t="s">
        <v>1189</v>
      </c>
      <c r="F900" s="386" t="s">
        <v>30</v>
      </c>
      <c r="G900" s="358" t="s">
        <v>172</v>
      </c>
      <c r="H900" s="385"/>
    </row>
    <row r="901" spans="1:8" ht="15">
      <c r="A901" s="371" t="s">
        <v>86</v>
      </c>
      <c r="B901" s="69" t="s">
        <v>87</v>
      </c>
      <c r="C901" s="371" t="s">
        <v>1194</v>
      </c>
      <c r="D901" s="69" t="s">
        <v>1196</v>
      </c>
      <c r="E901" s="371" t="s">
        <v>1195</v>
      </c>
      <c r="F901" s="386" t="s">
        <v>30</v>
      </c>
      <c r="G901" s="358" t="s">
        <v>172</v>
      </c>
      <c r="H901" s="385"/>
    </row>
    <row r="902" spans="1:8" ht="15">
      <c r="A902" s="371" t="s">
        <v>960</v>
      </c>
      <c r="B902" s="69" t="s">
        <v>961</v>
      </c>
      <c r="C902" s="371" t="s">
        <v>1194</v>
      </c>
      <c r="D902" s="69" t="s">
        <v>1197</v>
      </c>
      <c r="E902" s="371" t="s">
        <v>1195</v>
      </c>
      <c r="F902" s="386" t="s">
        <v>30</v>
      </c>
      <c r="G902" s="358" t="s">
        <v>172</v>
      </c>
      <c r="H902" s="385"/>
    </row>
    <row r="903" spans="1:8" ht="15">
      <c r="A903" s="371" t="s">
        <v>108</v>
      </c>
      <c r="B903" s="69" t="s">
        <v>109</v>
      </c>
      <c r="C903" s="371" t="s">
        <v>1188</v>
      </c>
      <c r="D903" s="69" t="s">
        <v>1198</v>
      </c>
      <c r="E903" s="371" t="s">
        <v>1189</v>
      </c>
      <c r="F903" s="386" t="s">
        <v>30</v>
      </c>
      <c r="G903" s="358" t="s">
        <v>172</v>
      </c>
      <c r="H903" s="385"/>
    </row>
    <row r="904" spans="1:8" ht="15">
      <c r="A904" s="371" t="s">
        <v>108</v>
      </c>
      <c r="B904" s="69" t="s">
        <v>109</v>
      </c>
      <c r="C904" s="371" t="s">
        <v>1194</v>
      </c>
      <c r="D904" s="69" t="s">
        <v>1199</v>
      </c>
      <c r="E904" s="371" t="s">
        <v>1195</v>
      </c>
      <c r="F904" s="386" t="s">
        <v>30</v>
      </c>
      <c r="G904" s="358" t="s">
        <v>172</v>
      </c>
      <c r="H904" s="385"/>
    </row>
    <row r="905" spans="1:8" ht="15">
      <c r="A905" s="371" t="s">
        <v>26</v>
      </c>
      <c r="B905" s="69" t="s">
        <v>27</v>
      </c>
      <c r="C905" s="371" t="s">
        <v>1188</v>
      </c>
      <c r="D905" s="69" t="s">
        <v>1200</v>
      </c>
      <c r="E905" s="371" t="s">
        <v>1189</v>
      </c>
      <c r="F905" s="386" t="s">
        <v>30</v>
      </c>
      <c r="G905" s="358" t="s">
        <v>172</v>
      </c>
      <c r="H905" s="385"/>
    </row>
    <row r="906" spans="1:8" ht="15">
      <c r="A906" s="371" t="s">
        <v>26</v>
      </c>
      <c r="B906" s="69" t="s">
        <v>27</v>
      </c>
      <c r="C906" s="371" t="s">
        <v>1194</v>
      </c>
      <c r="D906" s="69" t="s">
        <v>1201</v>
      </c>
      <c r="E906" s="371" t="s">
        <v>1195</v>
      </c>
      <c r="F906" s="386" t="s">
        <v>30</v>
      </c>
      <c r="G906" s="358" t="s">
        <v>172</v>
      </c>
      <c r="H906" s="385"/>
    </row>
    <row r="907" spans="1:8" ht="15">
      <c r="A907" s="371" t="s">
        <v>98</v>
      </c>
      <c r="B907" s="69" t="s">
        <v>99</v>
      </c>
      <c r="C907" s="371" t="s">
        <v>1188</v>
      </c>
      <c r="D907" s="69" t="s">
        <v>1202</v>
      </c>
      <c r="E907" s="371" t="s">
        <v>1189</v>
      </c>
      <c r="F907" s="386" t="s">
        <v>30</v>
      </c>
      <c r="G907" s="358" t="s">
        <v>172</v>
      </c>
      <c r="H907" s="385"/>
    </row>
    <row r="908" spans="1:8" ht="15">
      <c r="A908" s="371" t="s">
        <v>98</v>
      </c>
      <c r="B908" s="69" t="s">
        <v>99</v>
      </c>
      <c r="C908" s="371" t="s">
        <v>1194</v>
      </c>
      <c r="D908" s="69" t="s">
        <v>1203</v>
      </c>
      <c r="E908" s="371" t="s">
        <v>1195</v>
      </c>
      <c r="F908" s="386" t="s">
        <v>30</v>
      </c>
      <c r="G908" s="358" t="s">
        <v>172</v>
      </c>
      <c r="H908" s="385"/>
    </row>
    <row r="909" spans="1:8" ht="15">
      <c r="A909" s="371" t="s">
        <v>715</v>
      </c>
      <c r="B909" s="69" t="s">
        <v>716</v>
      </c>
      <c r="C909" s="371" t="s">
        <v>1188</v>
      </c>
      <c r="D909" s="69" t="s">
        <v>1204</v>
      </c>
      <c r="E909" s="371" t="s">
        <v>1189</v>
      </c>
      <c r="F909" s="386" t="s">
        <v>30</v>
      </c>
      <c r="G909" s="358" t="s">
        <v>172</v>
      </c>
      <c r="H909" s="385"/>
    </row>
    <row r="910" spans="1:8" ht="15">
      <c r="A910" s="371" t="s">
        <v>715</v>
      </c>
      <c r="B910" s="69" t="s">
        <v>716</v>
      </c>
      <c r="C910" s="371" t="s">
        <v>1194</v>
      </c>
      <c r="D910" s="69" t="s">
        <v>1205</v>
      </c>
      <c r="E910" s="371" t="s">
        <v>1195</v>
      </c>
      <c r="F910" s="386" t="s">
        <v>30</v>
      </c>
      <c r="G910" s="358" t="s">
        <v>172</v>
      </c>
      <c r="H910" s="385"/>
    </row>
    <row r="911" spans="1:8" ht="15">
      <c r="A911" s="371" t="s">
        <v>715</v>
      </c>
      <c r="B911" s="69" t="s">
        <v>716</v>
      </c>
      <c r="C911" s="371" t="s">
        <v>170</v>
      </c>
      <c r="D911" s="69" t="s">
        <v>1206</v>
      </c>
      <c r="E911" s="371" t="s">
        <v>171</v>
      </c>
      <c r="F911" s="386" t="s">
        <v>17</v>
      </c>
      <c r="G911" s="381" t="s">
        <v>18</v>
      </c>
      <c r="H911" s="385"/>
    </row>
    <row r="912" spans="1:8" ht="15">
      <c r="A912" s="371" t="s">
        <v>106</v>
      </c>
      <c r="B912" s="69" t="s">
        <v>107</v>
      </c>
      <c r="C912" s="371" t="s">
        <v>1188</v>
      </c>
      <c r="D912" s="69" t="s">
        <v>1207</v>
      </c>
      <c r="E912" s="371" t="s">
        <v>1189</v>
      </c>
      <c r="F912" s="386" t="s">
        <v>30</v>
      </c>
      <c r="G912" s="358" t="s">
        <v>172</v>
      </c>
      <c r="H912" s="385"/>
    </row>
    <row r="913" spans="1:16384" ht="15">
      <c r="A913" s="371" t="s">
        <v>106</v>
      </c>
      <c r="B913" s="69" t="s">
        <v>107</v>
      </c>
      <c r="C913" s="371" t="s">
        <v>1194</v>
      </c>
      <c r="D913" s="69" t="s">
        <v>1208</v>
      </c>
      <c r="E913" s="371" t="s">
        <v>1195</v>
      </c>
      <c r="F913" s="386" t="s">
        <v>30</v>
      </c>
      <c r="G913" s="358" t="s">
        <v>172</v>
      </c>
      <c r="H913" s="385"/>
    </row>
    <row r="914" spans="1:16384" ht="15">
      <c r="A914" s="371" t="s">
        <v>112</v>
      </c>
      <c r="B914" s="69" t="s">
        <v>113</v>
      </c>
      <c r="C914" s="371" t="s">
        <v>1188</v>
      </c>
      <c r="D914" s="69" t="s">
        <v>1209</v>
      </c>
      <c r="E914" s="371" t="s">
        <v>1189</v>
      </c>
      <c r="F914" s="386" t="s">
        <v>30</v>
      </c>
      <c r="G914" s="358" t="s">
        <v>172</v>
      </c>
      <c r="H914" s="385"/>
    </row>
    <row r="915" spans="1:16384" ht="15">
      <c r="A915" s="371" t="s">
        <v>112</v>
      </c>
      <c r="B915" s="69" t="s">
        <v>113</v>
      </c>
      <c r="C915" s="371" t="s">
        <v>1194</v>
      </c>
      <c r="D915" s="69" t="s">
        <v>1210</v>
      </c>
      <c r="E915" s="371" t="s">
        <v>1195</v>
      </c>
      <c r="F915" s="386" t="s">
        <v>30</v>
      </c>
      <c r="G915" s="358" t="s">
        <v>172</v>
      </c>
      <c r="H915" s="385"/>
    </row>
    <row r="916" spans="1:16384" ht="15">
      <c r="A916" s="371" t="s">
        <v>715</v>
      </c>
      <c r="B916" s="69" t="s">
        <v>716</v>
      </c>
      <c r="C916" s="371" t="s">
        <v>1176</v>
      </c>
      <c r="D916" s="69" t="s">
        <v>1211</v>
      </c>
      <c r="E916" s="371" t="s">
        <v>1182</v>
      </c>
      <c r="F916" s="70" t="s">
        <v>17</v>
      </c>
      <c r="G916" s="385" t="s">
        <v>999</v>
      </c>
      <c r="H916" s="385"/>
    </row>
    <row r="917" spans="1:16384" ht="15">
      <c r="A917" s="371" t="s">
        <v>960</v>
      </c>
      <c r="B917" s="69" t="s">
        <v>961</v>
      </c>
      <c r="C917" s="371" t="s">
        <v>69</v>
      </c>
      <c r="D917" s="69" t="s">
        <v>1212</v>
      </c>
      <c r="E917" s="371" t="s">
        <v>70</v>
      </c>
      <c r="F917" s="386" t="s">
        <v>17</v>
      </c>
      <c r="G917" s="385" t="s">
        <v>18</v>
      </c>
      <c r="H917" s="381" t="s">
        <v>18</v>
      </c>
    </row>
    <row r="918" spans="1:16384" ht="15">
      <c r="A918" s="371" t="s">
        <v>104</v>
      </c>
      <c r="B918" s="69" t="s">
        <v>105</v>
      </c>
      <c r="C918" s="371" t="s">
        <v>1176</v>
      </c>
      <c r="D918" s="69" t="s">
        <v>1213</v>
      </c>
      <c r="E918" s="371" t="s">
        <v>1182</v>
      </c>
      <c r="F918" s="386" t="s">
        <v>17</v>
      </c>
      <c r="G918" s="385" t="s">
        <v>999</v>
      </c>
      <c r="H918" s="381"/>
    </row>
    <row r="919" spans="1:16384" ht="15">
      <c r="A919" s="371" t="s">
        <v>98</v>
      </c>
      <c r="B919" s="69" t="s">
        <v>99</v>
      </c>
      <c r="C919" s="371" t="s">
        <v>1176</v>
      </c>
      <c r="D919" s="69" t="s">
        <v>1214</v>
      </c>
      <c r="E919" s="371" t="s">
        <v>1182</v>
      </c>
      <c r="F919" s="386" t="s">
        <v>17</v>
      </c>
      <c r="G919" s="385" t="s">
        <v>999</v>
      </c>
      <c r="H919" s="381"/>
    </row>
    <row r="920" spans="1:16384" ht="15">
      <c r="A920" s="371" t="s">
        <v>112</v>
      </c>
      <c r="B920" s="69" t="s">
        <v>113</v>
      </c>
      <c r="C920" s="371" t="s">
        <v>1006</v>
      </c>
      <c r="D920" s="69" t="s">
        <v>1215</v>
      </c>
      <c r="E920" s="371" t="s">
        <v>1008</v>
      </c>
      <c r="F920" s="386" t="s">
        <v>17</v>
      </c>
      <c r="G920" s="385" t="s">
        <v>18</v>
      </c>
      <c r="H920" s="381" t="s">
        <v>18</v>
      </c>
    </row>
    <row r="921" spans="1:16384" ht="15">
      <c r="A921" s="371" t="s">
        <v>904</v>
      </c>
      <c r="B921" s="69" t="s">
        <v>95</v>
      </c>
      <c r="C921" s="371" t="s">
        <v>1184</v>
      </c>
      <c r="D921" s="69" t="s">
        <v>1216</v>
      </c>
      <c r="E921" s="371" t="s">
        <v>1185</v>
      </c>
      <c r="F921" s="386" t="s">
        <v>169</v>
      </c>
      <c r="G921" s="385" t="s">
        <v>173</v>
      </c>
      <c r="H921" s="381"/>
    </row>
    <row r="922" spans="1:16384" ht="15">
      <c r="A922" s="371" t="s">
        <v>100</v>
      </c>
      <c r="B922" s="69" t="s">
        <v>101</v>
      </c>
      <c r="C922" s="371" t="s">
        <v>1188</v>
      </c>
      <c r="D922" s="69" t="s">
        <v>1217</v>
      </c>
      <c r="E922" s="371" t="s">
        <v>1189</v>
      </c>
      <c r="F922" s="386" t="s">
        <v>30</v>
      </c>
      <c r="G922" s="358" t="s">
        <v>172</v>
      </c>
      <c r="H922" s="381"/>
    </row>
    <row r="923" spans="1:16384" ht="15">
      <c r="A923" s="371" t="s">
        <v>960</v>
      </c>
      <c r="B923" s="69" t="s">
        <v>961</v>
      </c>
      <c r="C923" s="371" t="s">
        <v>778</v>
      </c>
      <c r="D923" s="69" t="s">
        <v>1218</v>
      </c>
      <c r="E923" s="371" t="s">
        <v>780</v>
      </c>
      <c r="F923" s="386" t="s">
        <v>17</v>
      </c>
      <c r="G923" s="385" t="s">
        <v>18</v>
      </c>
      <c r="H923" s="381" t="s">
        <v>18</v>
      </c>
    </row>
    <row r="924" spans="1:16384" ht="15">
      <c r="A924" s="371" t="s">
        <v>108</v>
      </c>
      <c r="B924" s="69" t="s">
        <v>109</v>
      </c>
      <c r="C924" s="371" t="s">
        <v>778</v>
      </c>
      <c r="D924" s="69" t="s">
        <v>1219</v>
      </c>
      <c r="E924" s="371" t="s">
        <v>780</v>
      </c>
      <c r="F924" s="386" t="s">
        <v>17</v>
      </c>
      <c r="G924" s="385" t="s">
        <v>18</v>
      </c>
      <c r="H924" s="381" t="s">
        <v>18</v>
      </c>
    </row>
    <row r="925" spans="1:16384" ht="15">
      <c r="A925" s="371" t="s">
        <v>152</v>
      </c>
      <c r="B925" s="69" t="s">
        <v>153</v>
      </c>
      <c r="C925" s="371" t="s">
        <v>1006</v>
      </c>
      <c r="D925" s="69" t="s">
        <v>1220</v>
      </c>
      <c r="E925" s="371" t="s">
        <v>1008</v>
      </c>
      <c r="F925" s="386" t="s">
        <v>17</v>
      </c>
      <c r="G925" s="385" t="s">
        <v>18</v>
      </c>
      <c r="H925" s="381" t="s">
        <v>18</v>
      </c>
    </row>
    <row r="926" spans="1:16384" ht="15">
      <c r="A926" s="371" t="s">
        <v>904</v>
      </c>
      <c r="B926" s="69" t="s">
        <v>95</v>
      </c>
      <c r="C926" s="371" t="s">
        <v>1006</v>
      </c>
      <c r="D926" s="69" t="s">
        <v>1221</v>
      </c>
      <c r="E926" s="371" t="s">
        <v>1008</v>
      </c>
      <c r="F926" s="386" t="s">
        <v>17</v>
      </c>
      <c r="G926" s="385" t="s">
        <v>18</v>
      </c>
      <c r="H926" s="381" t="s">
        <v>18</v>
      </c>
    </row>
    <row r="927" spans="1:16384" ht="15">
      <c r="A927" s="371" t="s">
        <v>108</v>
      </c>
      <c r="B927" s="69" t="s">
        <v>109</v>
      </c>
      <c r="C927" s="371" t="s">
        <v>1184</v>
      </c>
      <c r="D927" s="69" t="s">
        <v>1226</v>
      </c>
      <c r="E927" s="371" t="s">
        <v>1008</v>
      </c>
      <c r="F927" s="386" t="s">
        <v>169</v>
      </c>
      <c r="G927" s="385" t="s">
        <v>173</v>
      </c>
      <c r="H927" s="381" t="s">
        <v>18</v>
      </c>
    </row>
    <row r="928" spans="1:16384" ht="12.75">
      <c r="A928" s="509" t="s">
        <v>13</v>
      </c>
      <c r="B928" s="509" t="s">
        <v>14</v>
      </c>
      <c r="C928" s="509" t="s">
        <v>1228</v>
      </c>
      <c r="D928" s="69" t="s">
        <v>1229</v>
      </c>
      <c r="E928" s="509" t="s">
        <v>1230</v>
      </c>
      <c r="F928" s="380" t="s">
        <v>17</v>
      </c>
      <c r="G928" s="381" t="s">
        <v>18</v>
      </c>
      <c r="H928" s="509" t="s">
        <v>18</v>
      </c>
      <c r="I928" s="509"/>
      <c r="J928" s="509"/>
      <c r="K928" s="69"/>
      <c r="L928" s="509"/>
      <c r="M928" s="380"/>
      <c r="N928" s="381"/>
      <c r="O928" s="509"/>
      <c r="P928" s="509"/>
      <c r="Q928" s="509"/>
      <c r="R928" s="69"/>
      <c r="S928" s="509"/>
      <c r="T928" s="380"/>
      <c r="U928" s="381"/>
      <c r="V928" s="509"/>
      <c r="W928" s="509"/>
      <c r="X928" s="509"/>
      <c r="Y928" s="69"/>
      <c r="Z928" s="509"/>
      <c r="AA928" s="380"/>
      <c r="AB928" s="381"/>
      <c r="AC928" s="509"/>
      <c r="AD928" s="509"/>
      <c r="AE928" s="509"/>
      <c r="AF928" s="69"/>
      <c r="AG928" s="509"/>
      <c r="AH928" s="380"/>
      <c r="AI928" s="381"/>
      <c r="AJ928" s="509"/>
      <c r="AK928" s="509"/>
      <c r="AL928" s="509"/>
      <c r="AM928" s="69"/>
      <c r="AN928" s="509"/>
      <c r="AO928" s="380"/>
      <c r="AP928" s="381"/>
      <c r="AQ928" s="509"/>
      <c r="AR928" s="509"/>
      <c r="AS928" s="509"/>
      <c r="AT928" s="69"/>
      <c r="AU928" s="509"/>
      <c r="AV928" s="380"/>
      <c r="AW928" s="381"/>
      <c r="AX928" s="509"/>
      <c r="AY928" s="509"/>
      <c r="AZ928" s="509"/>
      <c r="BA928" s="69"/>
      <c r="BB928" s="509"/>
      <c r="BC928" s="380"/>
      <c r="BD928" s="381"/>
      <c r="BE928" s="509"/>
      <c r="BF928" s="509"/>
      <c r="BG928" s="509"/>
      <c r="BH928" s="69"/>
      <c r="BI928" s="509"/>
      <c r="BJ928" s="380"/>
      <c r="BK928" s="381"/>
      <c r="BL928" s="509"/>
      <c r="BM928" s="509"/>
      <c r="BN928" s="509"/>
      <c r="BO928" s="69"/>
      <c r="BP928" s="509"/>
      <c r="BQ928" s="380"/>
      <c r="BR928" s="381"/>
      <c r="BS928" s="509"/>
      <c r="BT928" s="509"/>
      <c r="BU928" s="509"/>
      <c r="BV928" s="69"/>
      <c r="BW928" s="509"/>
      <c r="BX928" s="380"/>
      <c r="BY928" s="381"/>
      <c r="BZ928" s="509"/>
      <c r="CA928" s="509"/>
      <c r="CB928" s="509"/>
      <c r="CC928" s="69"/>
      <c r="CD928" s="509"/>
      <c r="CE928" s="380"/>
      <c r="CF928" s="381"/>
      <c r="CG928" s="509"/>
      <c r="CH928" s="509"/>
      <c r="CI928" s="509"/>
      <c r="CJ928" s="69"/>
      <c r="CK928" s="509"/>
      <c r="CL928" s="380"/>
      <c r="CM928" s="381"/>
      <c r="CN928" s="509"/>
      <c r="CO928" s="509"/>
      <c r="CP928" s="509"/>
      <c r="CQ928" s="69"/>
      <c r="CR928" s="509"/>
      <c r="CS928" s="380"/>
      <c r="CT928" s="381"/>
      <c r="CU928" s="509"/>
      <c r="CV928" s="509"/>
      <c r="CW928" s="509"/>
      <c r="CX928" s="69"/>
      <c r="CY928" s="509"/>
      <c r="CZ928" s="380"/>
      <c r="DA928" s="381"/>
      <c r="DB928" s="509"/>
      <c r="DC928" s="509"/>
      <c r="DD928" s="509"/>
      <c r="DE928" s="69"/>
      <c r="DF928" s="509"/>
      <c r="DG928" s="380"/>
      <c r="DH928" s="381"/>
      <c r="DI928" s="509"/>
      <c r="DJ928" s="509"/>
      <c r="DK928" s="509"/>
      <c r="DL928" s="69"/>
      <c r="DM928" s="509"/>
      <c r="DN928" s="380"/>
      <c r="DO928" s="381"/>
      <c r="DP928" s="509"/>
      <c r="DQ928" s="509"/>
      <c r="DR928" s="509"/>
      <c r="DS928" s="69"/>
      <c r="DT928" s="509"/>
      <c r="DU928" s="380"/>
      <c r="DV928" s="381"/>
      <c r="DW928" s="509"/>
      <c r="DX928" s="509"/>
      <c r="DY928" s="509"/>
      <c r="DZ928" s="69"/>
      <c r="EA928" s="509"/>
      <c r="EB928" s="380"/>
      <c r="EC928" s="381"/>
      <c r="ED928" s="509"/>
      <c r="EE928" s="509"/>
      <c r="EF928" s="509"/>
      <c r="EG928" s="69"/>
      <c r="EH928" s="509"/>
      <c r="EI928" s="380"/>
      <c r="EJ928" s="381"/>
      <c r="EK928" s="509"/>
      <c r="EL928" s="509"/>
      <c r="EM928" s="509"/>
      <c r="EN928" s="69"/>
      <c r="EO928" s="509"/>
      <c r="EP928" s="380"/>
      <c r="EQ928" s="381"/>
      <c r="ER928" s="509"/>
      <c r="ES928" s="509"/>
      <c r="ET928" s="509"/>
      <c r="EU928" s="69"/>
      <c r="EV928" s="509"/>
      <c r="EW928" s="380"/>
      <c r="EX928" s="381"/>
      <c r="EY928" s="509"/>
      <c r="EZ928" s="509"/>
      <c r="FA928" s="509"/>
      <c r="FB928" s="69"/>
      <c r="FC928" s="509"/>
      <c r="FD928" s="380"/>
      <c r="FE928" s="381"/>
      <c r="FF928" s="509"/>
      <c r="FG928" s="509"/>
      <c r="FH928" s="509"/>
      <c r="FI928" s="69"/>
      <c r="FJ928" s="509"/>
      <c r="FK928" s="380"/>
      <c r="FL928" s="381"/>
      <c r="FM928" s="509"/>
      <c r="FN928" s="509"/>
      <c r="FO928" s="509"/>
      <c r="FP928" s="69"/>
      <c r="FQ928" s="509"/>
      <c r="FR928" s="380"/>
      <c r="FS928" s="381"/>
      <c r="FT928" s="509"/>
      <c r="FU928" s="509"/>
      <c r="FV928" s="509"/>
      <c r="FW928" s="69"/>
      <c r="FX928" s="509"/>
      <c r="FY928" s="380"/>
      <c r="FZ928" s="381"/>
      <c r="GA928" s="509"/>
      <c r="GB928" s="509"/>
      <c r="GC928" s="509"/>
      <c r="GD928" s="69"/>
      <c r="GE928" s="509"/>
      <c r="GF928" s="380"/>
      <c r="GG928" s="381"/>
      <c r="GH928" s="509"/>
      <c r="GI928" s="509"/>
      <c r="GJ928" s="509"/>
      <c r="GK928" s="69"/>
      <c r="GL928" s="509"/>
      <c r="GM928" s="380"/>
      <c r="GN928" s="381"/>
      <c r="GO928" s="509"/>
      <c r="GP928" s="509"/>
      <c r="GQ928" s="509"/>
      <c r="GR928" s="69"/>
      <c r="GS928" s="509"/>
      <c r="GT928" s="380"/>
      <c r="GU928" s="381"/>
      <c r="GV928" s="509"/>
      <c r="GW928" s="509"/>
      <c r="GX928" s="509"/>
      <c r="GY928" s="69"/>
      <c r="GZ928" s="509"/>
      <c r="HA928" s="380"/>
      <c r="HB928" s="381"/>
      <c r="HC928" s="509"/>
      <c r="HD928" s="509"/>
      <c r="HE928" s="509"/>
      <c r="HF928" s="69"/>
      <c r="HG928" s="509"/>
      <c r="HH928" s="380"/>
      <c r="HI928" s="381"/>
      <c r="HJ928" s="509"/>
      <c r="HK928" s="509"/>
      <c r="HL928" s="509"/>
      <c r="HM928" s="69"/>
      <c r="HN928" s="509"/>
      <c r="HO928" s="380"/>
      <c r="HP928" s="381"/>
      <c r="HQ928" s="509"/>
      <c r="HR928" s="509"/>
      <c r="HS928" s="509"/>
      <c r="HT928" s="69"/>
      <c r="HU928" s="509"/>
      <c r="HV928" s="380"/>
      <c r="HW928" s="381"/>
      <c r="HX928" s="509"/>
      <c r="HY928" s="509"/>
      <c r="HZ928" s="509"/>
      <c r="IA928" s="69"/>
      <c r="IB928" s="509"/>
      <c r="IC928" s="380"/>
      <c r="ID928" s="381"/>
      <c r="IE928" s="509"/>
      <c r="IF928" s="509"/>
      <c r="IG928" s="509"/>
      <c r="IH928" s="69"/>
      <c r="II928" s="509"/>
      <c r="IJ928" s="380"/>
      <c r="IK928" s="381"/>
      <c r="IL928" s="509"/>
      <c r="IM928" s="509"/>
      <c r="IN928" s="509"/>
      <c r="IO928" s="69"/>
      <c r="IP928" s="509"/>
      <c r="IQ928" s="380"/>
      <c r="IR928" s="381"/>
      <c r="IS928" s="509"/>
      <c r="IT928" s="509"/>
      <c r="IU928" s="509"/>
      <c r="IV928" s="69"/>
      <c r="IW928" s="509"/>
      <c r="IX928" s="380"/>
      <c r="IY928" s="381"/>
      <c r="IZ928" s="509"/>
      <c r="JA928" s="509"/>
      <c r="JB928" s="509"/>
      <c r="JC928" s="69"/>
      <c r="JD928" s="509"/>
      <c r="JE928" s="380"/>
      <c r="JF928" s="381"/>
      <c r="JG928" s="509"/>
      <c r="JH928" s="509"/>
      <c r="JI928" s="509"/>
      <c r="JJ928" s="69"/>
      <c r="JK928" s="509"/>
      <c r="JL928" s="380"/>
      <c r="JM928" s="381"/>
      <c r="JN928" s="509"/>
      <c r="JO928" s="509"/>
      <c r="JP928" s="509"/>
      <c r="JQ928" s="69"/>
      <c r="JR928" s="509"/>
      <c r="JS928" s="380"/>
      <c r="JT928" s="381"/>
      <c r="JU928" s="509"/>
      <c r="JV928" s="509"/>
      <c r="JW928" s="509"/>
      <c r="JX928" s="69"/>
      <c r="JY928" s="509"/>
      <c r="JZ928" s="380"/>
      <c r="KA928" s="381"/>
      <c r="KB928" s="509"/>
      <c r="KC928" s="509"/>
      <c r="KD928" s="509"/>
      <c r="KE928" s="69"/>
      <c r="KF928" s="509"/>
      <c r="KG928" s="380"/>
      <c r="KH928" s="381"/>
      <c r="KI928" s="509"/>
      <c r="KJ928" s="509"/>
      <c r="KK928" s="509"/>
      <c r="KL928" s="69"/>
      <c r="KM928" s="509"/>
      <c r="KN928" s="380"/>
      <c r="KO928" s="381"/>
      <c r="KP928" s="509"/>
      <c r="KQ928" s="509"/>
      <c r="KR928" s="509"/>
      <c r="KS928" s="69"/>
      <c r="KT928" s="509"/>
      <c r="KU928" s="380"/>
      <c r="KV928" s="381"/>
      <c r="KW928" s="509"/>
      <c r="KX928" s="509"/>
      <c r="KY928" s="509"/>
      <c r="KZ928" s="69"/>
      <c r="LA928" s="509"/>
      <c r="LB928" s="380"/>
      <c r="LC928" s="381"/>
      <c r="LD928" s="509"/>
      <c r="LE928" s="509"/>
      <c r="LF928" s="509"/>
      <c r="LG928" s="69"/>
      <c r="LH928" s="509"/>
      <c r="LI928" s="380"/>
      <c r="LJ928" s="381"/>
      <c r="LK928" s="509"/>
      <c r="LL928" s="509"/>
      <c r="LM928" s="509"/>
      <c r="LN928" s="69"/>
      <c r="LO928" s="509"/>
      <c r="LP928" s="380"/>
      <c r="LQ928" s="381"/>
      <c r="LR928" s="509"/>
      <c r="LS928" s="509"/>
      <c r="LT928" s="509"/>
      <c r="LU928" s="69"/>
      <c r="LV928" s="509"/>
      <c r="LW928" s="380"/>
      <c r="LX928" s="381"/>
      <c r="LY928" s="509"/>
      <c r="LZ928" s="509"/>
      <c r="MA928" s="509"/>
      <c r="MB928" s="69"/>
      <c r="MC928" s="509"/>
      <c r="MD928" s="380"/>
      <c r="ME928" s="381"/>
      <c r="MF928" s="509"/>
      <c r="MG928" s="509"/>
      <c r="MH928" s="509"/>
      <c r="MI928" s="69"/>
      <c r="MJ928" s="509"/>
      <c r="MK928" s="380"/>
      <c r="ML928" s="381"/>
      <c r="MM928" s="509"/>
      <c r="MN928" s="509"/>
      <c r="MO928" s="509"/>
      <c r="MP928" s="69"/>
      <c r="MQ928" s="509"/>
      <c r="MR928" s="380"/>
      <c r="MS928" s="381"/>
      <c r="MT928" s="509"/>
      <c r="MU928" s="509"/>
      <c r="MV928" s="509"/>
      <c r="MW928" s="69"/>
      <c r="MX928" s="509"/>
      <c r="MY928" s="380"/>
      <c r="MZ928" s="381"/>
      <c r="NA928" s="509"/>
      <c r="NB928" s="509"/>
      <c r="NC928" s="509"/>
      <c r="ND928" s="69"/>
      <c r="NE928" s="509"/>
      <c r="NF928" s="380"/>
      <c r="NG928" s="381"/>
      <c r="NH928" s="509"/>
      <c r="NI928" s="509"/>
      <c r="NJ928" s="509"/>
      <c r="NK928" s="69"/>
      <c r="NL928" s="509"/>
      <c r="NM928" s="380"/>
      <c r="NN928" s="381"/>
      <c r="NO928" s="509"/>
      <c r="NP928" s="509"/>
      <c r="NQ928" s="509"/>
      <c r="NR928" s="69"/>
      <c r="NS928" s="509"/>
      <c r="NT928" s="380"/>
      <c r="NU928" s="381"/>
      <c r="NV928" s="509"/>
      <c r="NW928" s="509"/>
      <c r="NX928" s="509"/>
      <c r="NY928" s="69"/>
      <c r="NZ928" s="509"/>
      <c r="OA928" s="380"/>
      <c r="OB928" s="381"/>
      <c r="OC928" s="509"/>
      <c r="OD928" s="509"/>
      <c r="OE928" s="509"/>
      <c r="OF928" s="69"/>
      <c r="OG928" s="509"/>
      <c r="OH928" s="380"/>
      <c r="OI928" s="381"/>
      <c r="OJ928" s="509"/>
      <c r="OK928" s="509"/>
      <c r="OL928" s="509"/>
      <c r="OM928" s="69"/>
      <c r="ON928" s="509"/>
      <c r="OO928" s="380"/>
      <c r="OP928" s="381"/>
      <c r="OQ928" s="509"/>
      <c r="OR928" s="509"/>
      <c r="OS928" s="509"/>
      <c r="OT928" s="69"/>
      <c r="OU928" s="509"/>
      <c r="OV928" s="380"/>
      <c r="OW928" s="381"/>
      <c r="OX928" s="509"/>
      <c r="OY928" s="509"/>
      <c r="OZ928" s="509"/>
      <c r="PA928" s="69"/>
      <c r="PB928" s="509"/>
      <c r="PC928" s="380"/>
      <c r="PD928" s="381"/>
      <c r="PE928" s="509"/>
      <c r="PF928" s="509"/>
      <c r="PG928" s="509"/>
      <c r="PH928" s="69"/>
      <c r="PI928" s="509"/>
      <c r="PJ928" s="380"/>
      <c r="PK928" s="381"/>
      <c r="PL928" s="509"/>
      <c r="PM928" s="509"/>
      <c r="PN928" s="509"/>
      <c r="PO928" s="69"/>
      <c r="PP928" s="509"/>
      <c r="PQ928" s="380"/>
      <c r="PR928" s="381"/>
      <c r="PS928" s="509"/>
      <c r="PT928" s="509"/>
      <c r="PU928" s="509"/>
      <c r="PV928" s="69"/>
      <c r="PW928" s="509"/>
      <c r="PX928" s="380"/>
      <c r="PY928" s="381"/>
      <c r="PZ928" s="509"/>
      <c r="QA928" s="509"/>
      <c r="QB928" s="509"/>
      <c r="QC928" s="69"/>
      <c r="QD928" s="509"/>
      <c r="QE928" s="380"/>
      <c r="QF928" s="381"/>
      <c r="QG928" s="509"/>
      <c r="QH928" s="509"/>
      <c r="QI928" s="509"/>
      <c r="QJ928" s="69"/>
      <c r="QK928" s="509"/>
      <c r="QL928" s="380"/>
      <c r="QM928" s="381"/>
      <c r="QN928" s="509"/>
      <c r="QO928" s="509"/>
      <c r="QP928" s="509"/>
      <c r="QQ928" s="69"/>
      <c r="QR928" s="509"/>
      <c r="QS928" s="380"/>
      <c r="QT928" s="381"/>
      <c r="QU928" s="509"/>
      <c r="QV928" s="509"/>
      <c r="QW928" s="509"/>
      <c r="QX928" s="69"/>
      <c r="QY928" s="509"/>
      <c r="QZ928" s="380"/>
      <c r="RA928" s="381"/>
      <c r="RB928" s="509"/>
      <c r="RC928" s="509"/>
      <c r="RD928" s="509"/>
      <c r="RE928" s="69"/>
      <c r="RF928" s="509"/>
      <c r="RG928" s="380"/>
      <c r="RH928" s="381"/>
      <c r="RI928" s="509"/>
      <c r="RJ928" s="509"/>
      <c r="RK928" s="509"/>
      <c r="RL928" s="69"/>
      <c r="RM928" s="509"/>
      <c r="RN928" s="380"/>
      <c r="RO928" s="381"/>
      <c r="RP928" s="509"/>
      <c r="RQ928" s="509"/>
      <c r="RR928" s="509"/>
      <c r="RS928" s="69"/>
      <c r="RT928" s="509"/>
      <c r="RU928" s="380"/>
      <c r="RV928" s="381"/>
      <c r="RW928" s="509"/>
      <c r="RX928" s="509"/>
      <c r="RY928" s="509"/>
      <c r="RZ928" s="69"/>
      <c r="SA928" s="509"/>
      <c r="SB928" s="380"/>
      <c r="SC928" s="381"/>
      <c r="SD928" s="509"/>
      <c r="SE928" s="509"/>
      <c r="SF928" s="509"/>
      <c r="SG928" s="69"/>
      <c r="SH928" s="509"/>
      <c r="SI928" s="380"/>
      <c r="SJ928" s="381"/>
      <c r="SK928" s="509"/>
      <c r="SL928" s="509"/>
      <c r="SM928" s="509"/>
      <c r="SN928" s="69"/>
      <c r="SO928" s="509"/>
      <c r="SP928" s="380"/>
      <c r="SQ928" s="381"/>
      <c r="SR928" s="509"/>
      <c r="SS928" s="509"/>
      <c r="ST928" s="509"/>
      <c r="SU928" s="69"/>
      <c r="SV928" s="509"/>
      <c r="SW928" s="380"/>
      <c r="SX928" s="381"/>
      <c r="SY928" s="509"/>
      <c r="SZ928" s="509"/>
      <c r="TA928" s="509"/>
      <c r="TB928" s="69"/>
      <c r="TC928" s="509"/>
      <c r="TD928" s="380"/>
      <c r="TE928" s="381"/>
      <c r="TF928" s="509"/>
      <c r="TG928" s="509"/>
      <c r="TH928" s="509"/>
      <c r="TI928" s="69"/>
      <c r="TJ928" s="509"/>
      <c r="TK928" s="380"/>
      <c r="TL928" s="381"/>
      <c r="TM928" s="509"/>
      <c r="TN928" s="509"/>
      <c r="TO928" s="509"/>
      <c r="TP928" s="69"/>
      <c r="TQ928" s="509"/>
      <c r="TR928" s="380"/>
      <c r="TS928" s="381"/>
      <c r="TT928" s="509"/>
      <c r="TU928" s="509"/>
      <c r="TV928" s="509"/>
      <c r="TW928" s="69"/>
      <c r="TX928" s="509"/>
      <c r="TY928" s="380"/>
      <c r="TZ928" s="381"/>
      <c r="UA928" s="509"/>
      <c r="UB928" s="509"/>
      <c r="UC928" s="509"/>
      <c r="UD928" s="69"/>
      <c r="UE928" s="509"/>
      <c r="UF928" s="380"/>
      <c r="UG928" s="381"/>
      <c r="UH928" s="509"/>
      <c r="UI928" s="509"/>
      <c r="UJ928" s="509"/>
      <c r="UK928" s="69"/>
      <c r="UL928" s="509"/>
      <c r="UM928" s="380"/>
      <c r="UN928" s="381"/>
      <c r="UO928" s="509"/>
      <c r="UP928" s="509"/>
      <c r="UQ928" s="509"/>
      <c r="UR928" s="69"/>
      <c r="US928" s="509"/>
      <c r="UT928" s="380"/>
      <c r="UU928" s="381"/>
      <c r="UV928" s="509"/>
      <c r="UW928" s="509"/>
      <c r="UX928" s="509"/>
      <c r="UY928" s="69"/>
      <c r="UZ928" s="509"/>
      <c r="VA928" s="380"/>
      <c r="VB928" s="381"/>
      <c r="VC928" s="509"/>
      <c r="VD928" s="509"/>
      <c r="VE928" s="509"/>
      <c r="VF928" s="69"/>
      <c r="VG928" s="509"/>
      <c r="VH928" s="380"/>
      <c r="VI928" s="381"/>
      <c r="VJ928" s="509"/>
      <c r="VK928" s="509"/>
      <c r="VL928" s="509"/>
      <c r="VM928" s="69"/>
      <c r="VN928" s="509"/>
      <c r="VO928" s="380"/>
      <c r="VP928" s="381"/>
      <c r="VQ928" s="509"/>
      <c r="VR928" s="509"/>
      <c r="VS928" s="509"/>
      <c r="VT928" s="69"/>
      <c r="VU928" s="509"/>
      <c r="VV928" s="380"/>
      <c r="VW928" s="381"/>
      <c r="VX928" s="509"/>
      <c r="VY928" s="509"/>
      <c r="VZ928" s="509"/>
      <c r="WA928" s="69"/>
      <c r="WB928" s="509"/>
      <c r="WC928" s="380"/>
      <c r="WD928" s="381"/>
      <c r="WE928" s="509"/>
      <c r="WF928" s="509"/>
      <c r="WG928" s="509"/>
      <c r="WH928" s="69"/>
      <c r="WI928" s="509"/>
      <c r="WJ928" s="380"/>
      <c r="WK928" s="381"/>
      <c r="WL928" s="509"/>
      <c r="WM928" s="509"/>
      <c r="WN928" s="509"/>
      <c r="WO928" s="69"/>
      <c r="WP928" s="509"/>
      <c r="WQ928" s="380"/>
      <c r="WR928" s="381"/>
      <c r="WS928" s="509"/>
      <c r="WT928" s="509"/>
      <c r="WU928" s="509"/>
      <c r="WV928" s="69"/>
      <c r="WW928" s="509"/>
      <c r="WX928" s="380"/>
      <c r="WY928" s="381"/>
      <c r="WZ928" s="509"/>
      <c r="XA928" s="509"/>
      <c r="XB928" s="509"/>
      <c r="XC928" s="69"/>
      <c r="XD928" s="509"/>
      <c r="XE928" s="380"/>
      <c r="XF928" s="381"/>
      <c r="XG928" s="509"/>
      <c r="XH928" s="509"/>
      <c r="XI928" s="509"/>
      <c r="XJ928" s="69"/>
      <c r="XK928" s="509"/>
      <c r="XL928" s="380"/>
      <c r="XM928" s="381"/>
      <c r="XN928" s="509"/>
      <c r="XO928" s="509"/>
      <c r="XP928" s="509"/>
      <c r="XQ928" s="69"/>
      <c r="XR928" s="509"/>
      <c r="XS928" s="380"/>
      <c r="XT928" s="381"/>
      <c r="XU928" s="509"/>
      <c r="XV928" s="509"/>
      <c r="XW928" s="509"/>
      <c r="XX928" s="69"/>
      <c r="XY928" s="509"/>
      <c r="XZ928" s="380"/>
      <c r="YA928" s="381"/>
      <c r="YB928" s="509"/>
      <c r="YC928" s="509"/>
      <c r="YD928" s="509"/>
      <c r="YE928" s="69"/>
      <c r="YF928" s="509"/>
      <c r="YG928" s="380"/>
      <c r="YH928" s="381"/>
      <c r="YI928" s="509"/>
      <c r="YJ928" s="509"/>
      <c r="YK928" s="509"/>
      <c r="YL928" s="69"/>
      <c r="YM928" s="509"/>
      <c r="YN928" s="380"/>
      <c r="YO928" s="381"/>
      <c r="YP928" s="509"/>
      <c r="YQ928" s="509"/>
      <c r="YR928" s="509"/>
      <c r="YS928" s="69"/>
      <c r="YT928" s="509"/>
      <c r="YU928" s="380"/>
      <c r="YV928" s="381"/>
      <c r="YW928" s="509"/>
      <c r="YX928" s="509"/>
      <c r="YY928" s="509"/>
      <c r="YZ928" s="69"/>
      <c r="ZA928" s="509"/>
      <c r="ZB928" s="380"/>
      <c r="ZC928" s="381"/>
      <c r="ZD928" s="509"/>
      <c r="ZE928" s="509"/>
      <c r="ZF928" s="509"/>
      <c r="ZG928" s="69"/>
      <c r="ZH928" s="509"/>
      <c r="ZI928" s="380"/>
      <c r="ZJ928" s="381"/>
      <c r="ZK928" s="509"/>
      <c r="ZL928" s="509"/>
      <c r="ZM928" s="509"/>
      <c r="ZN928" s="69"/>
      <c r="ZO928" s="509"/>
      <c r="ZP928" s="380"/>
      <c r="ZQ928" s="381"/>
      <c r="ZR928" s="509"/>
      <c r="ZS928" s="509"/>
      <c r="ZT928" s="509"/>
      <c r="ZU928" s="69"/>
      <c r="ZV928" s="509"/>
      <c r="ZW928" s="380"/>
      <c r="ZX928" s="381"/>
      <c r="ZY928" s="509"/>
      <c r="ZZ928" s="509"/>
      <c r="AAA928" s="509"/>
      <c r="AAB928" s="69"/>
      <c r="AAC928" s="509"/>
      <c r="AAD928" s="380"/>
      <c r="AAE928" s="381"/>
      <c r="AAF928" s="509"/>
      <c r="AAG928" s="509"/>
      <c r="AAH928" s="509"/>
      <c r="AAI928" s="69"/>
      <c r="AAJ928" s="509"/>
      <c r="AAK928" s="380"/>
      <c r="AAL928" s="381"/>
      <c r="AAM928" s="509"/>
      <c r="AAN928" s="509"/>
      <c r="AAO928" s="509"/>
      <c r="AAP928" s="69"/>
      <c r="AAQ928" s="509"/>
      <c r="AAR928" s="380"/>
      <c r="AAS928" s="381"/>
      <c r="AAT928" s="509"/>
      <c r="AAU928" s="509"/>
      <c r="AAV928" s="509"/>
      <c r="AAW928" s="69"/>
      <c r="AAX928" s="509"/>
      <c r="AAY928" s="380"/>
      <c r="AAZ928" s="381"/>
      <c r="ABA928" s="509"/>
      <c r="ABB928" s="509"/>
      <c r="ABC928" s="509"/>
      <c r="ABD928" s="69"/>
      <c r="ABE928" s="509"/>
      <c r="ABF928" s="380"/>
      <c r="ABG928" s="381"/>
      <c r="ABH928" s="509"/>
      <c r="ABI928" s="509"/>
      <c r="ABJ928" s="509"/>
      <c r="ABK928" s="69"/>
      <c r="ABL928" s="509"/>
      <c r="ABM928" s="380"/>
      <c r="ABN928" s="381"/>
      <c r="ABO928" s="509"/>
      <c r="ABP928" s="509"/>
      <c r="ABQ928" s="509"/>
      <c r="ABR928" s="69"/>
      <c r="ABS928" s="509"/>
      <c r="ABT928" s="380"/>
      <c r="ABU928" s="381"/>
      <c r="ABV928" s="509"/>
      <c r="ABW928" s="509"/>
      <c r="ABX928" s="509"/>
      <c r="ABY928" s="69"/>
      <c r="ABZ928" s="509"/>
      <c r="ACA928" s="380"/>
      <c r="ACB928" s="381"/>
      <c r="ACC928" s="509"/>
      <c r="ACD928" s="509"/>
      <c r="ACE928" s="509"/>
      <c r="ACF928" s="69"/>
      <c r="ACG928" s="509"/>
      <c r="ACH928" s="380"/>
      <c r="ACI928" s="381"/>
      <c r="ACJ928" s="509"/>
      <c r="ACK928" s="509"/>
      <c r="ACL928" s="509"/>
      <c r="ACM928" s="69"/>
      <c r="ACN928" s="509"/>
      <c r="ACO928" s="380"/>
      <c r="ACP928" s="381"/>
      <c r="ACQ928" s="509"/>
      <c r="ACR928" s="509"/>
      <c r="ACS928" s="509"/>
      <c r="ACT928" s="69"/>
      <c r="ACU928" s="509"/>
      <c r="ACV928" s="380"/>
      <c r="ACW928" s="381"/>
      <c r="ACX928" s="509"/>
      <c r="ACY928" s="509"/>
      <c r="ACZ928" s="509"/>
      <c r="ADA928" s="69"/>
      <c r="ADB928" s="509"/>
      <c r="ADC928" s="380"/>
      <c r="ADD928" s="381"/>
      <c r="ADE928" s="509"/>
      <c r="ADF928" s="509"/>
      <c r="ADG928" s="509"/>
      <c r="ADH928" s="69"/>
      <c r="ADI928" s="509"/>
      <c r="ADJ928" s="380"/>
      <c r="ADK928" s="381"/>
      <c r="ADL928" s="509"/>
      <c r="ADM928" s="509"/>
      <c r="ADN928" s="509"/>
      <c r="ADO928" s="69"/>
      <c r="ADP928" s="509"/>
      <c r="ADQ928" s="380"/>
      <c r="ADR928" s="381"/>
      <c r="ADS928" s="509"/>
      <c r="ADT928" s="509"/>
      <c r="ADU928" s="509"/>
      <c r="ADV928" s="69"/>
      <c r="ADW928" s="509"/>
      <c r="ADX928" s="380"/>
      <c r="ADY928" s="381"/>
      <c r="ADZ928" s="509"/>
      <c r="AEA928" s="509"/>
      <c r="AEB928" s="509"/>
      <c r="AEC928" s="69"/>
      <c r="AED928" s="509"/>
      <c r="AEE928" s="380"/>
      <c r="AEF928" s="381"/>
      <c r="AEG928" s="509"/>
      <c r="AEH928" s="509"/>
      <c r="AEI928" s="509"/>
      <c r="AEJ928" s="69"/>
      <c r="AEK928" s="509"/>
      <c r="AEL928" s="380"/>
      <c r="AEM928" s="381"/>
      <c r="AEN928" s="509"/>
      <c r="AEO928" s="509"/>
      <c r="AEP928" s="509"/>
      <c r="AEQ928" s="69"/>
      <c r="AER928" s="509"/>
      <c r="AES928" s="380"/>
      <c r="AET928" s="381"/>
      <c r="AEU928" s="509"/>
      <c r="AEV928" s="509"/>
      <c r="AEW928" s="509"/>
      <c r="AEX928" s="69"/>
      <c r="AEY928" s="509"/>
      <c r="AEZ928" s="380"/>
      <c r="AFA928" s="381"/>
      <c r="AFB928" s="509"/>
      <c r="AFC928" s="509"/>
      <c r="AFD928" s="509"/>
      <c r="AFE928" s="69"/>
      <c r="AFF928" s="509"/>
      <c r="AFG928" s="380"/>
      <c r="AFH928" s="381"/>
      <c r="AFI928" s="509"/>
      <c r="AFJ928" s="509"/>
      <c r="AFK928" s="509"/>
      <c r="AFL928" s="69"/>
      <c r="AFM928" s="509"/>
      <c r="AFN928" s="380"/>
      <c r="AFO928" s="381"/>
      <c r="AFP928" s="509"/>
      <c r="AFQ928" s="509"/>
      <c r="AFR928" s="509"/>
      <c r="AFS928" s="69"/>
      <c r="AFT928" s="509"/>
      <c r="AFU928" s="380"/>
      <c r="AFV928" s="381"/>
      <c r="AFW928" s="509"/>
      <c r="AFX928" s="509"/>
      <c r="AFY928" s="509"/>
      <c r="AFZ928" s="69"/>
      <c r="AGA928" s="509"/>
      <c r="AGB928" s="380"/>
      <c r="AGC928" s="381"/>
      <c r="AGD928" s="509"/>
      <c r="AGE928" s="509"/>
      <c r="AGF928" s="509"/>
      <c r="AGG928" s="69"/>
      <c r="AGH928" s="509"/>
      <c r="AGI928" s="380"/>
      <c r="AGJ928" s="381"/>
      <c r="AGK928" s="509"/>
      <c r="AGL928" s="509"/>
      <c r="AGM928" s="509"/>
      <c r="AGN928" s="69"/>
      <c r="AGO928" s="509"/>
      <c r="AGP928" s="380"/>
      <c r="AGQ928" s="381"/>
      <c r="AGR928" s="509"/>
      <c r="AGS928" s="509"/>
      <c r="AGT928" s="509"/>
      <c r="AGU928" s="69"/>
      <c r="AGV928" s="509"/>
      <c r="AGW928" s="380"/>
      <c r="AGX928" s="381"/>
      <c r="AGY928" s="509"/>
      <c r="AGZ928" s="509"/>
      <c r="AHA928" s="509"/>
      <c r="AHB928" s="69"/>
      <c r="AHC928" s="509"/>
      <c r="AHD928" s="380"/>
      <c r="AHE928" s="381"/>
      <c r="AHF928" s="509"/>
      <c r="AHG928" s="509"/>
      <c r="AHH928" s="509"/>
      <c r="AHI928" s="69"/>
      <c r="AHJ928" s="509"/>
      <c r="AHK928" s="380"/>
      <c r="AHL928" s="381"/>
      <c r="AHM928" s="509"/>
      <c r="AHN928" s="509"/>
      <c r="AHO928" s="509"/>
      <c r="AHP928" s="69"/>
      <c r="AHQ928" s="509"/>
      <c r="AHR928" s="380"/>
      <c r="AHS928" s="381"/>
      <c r="AHT928" s="509"/>
      <c r="AHU928" s="509"/>
      <c r="AHV928" s="509"/>
      <c r="AHW928" s="69"/>
      <c r="AHX928" s="509"/>
      <c r="AHY928" s="380"/>
      <c r="AHZ928" s="381"/>
      <c r="AIA928" s="509"/>
      <c r="AIB928" s="509"/>
      <c r="AIC928" s="509"/>
      <c r="AID928" s="69"/>
      <c r="AIE928" s="509"/>
      <c r="AIF928" s="380"/>
      <c r="AIG928" s="381"/>
      <c r="AIH928" s="509"/>
      <c r="AII928" s="509"/>
      <c r="AIJ928" s="509"/>
      <c r="AIK928" s="69"/>
      <c r="AIL928" s="509"/>
      <c r="AIM928" s="380"/>
      <c r="AIN928" s="381"/>
      <c r="AIO928" s="509"/>
      <c r="AIP928" s="509"/>
      <c r="AIQ928" s="509"/>
      <c r="AIR928" s="69"/>
      <c r="AIS928" s="509"/>
      <c r="AIT928" s="380"/>
      <c r="AIU928" s="381"/>
      <c r="AIV928" s="509"/>
      <c r="AIW928" s="509"/>
      <c r="AIX928" s="509"/>
      <c r="AIY928" s="69"/>
      <c r="AIZ928" s="509"/>
      <c r="AJA928" s="380"/>
      <c r="AJB928" s="381"/>
      <c r="AJC928" s="509"/>
      <c r="AJD928" s="509"/>
      <c r="AJE928" s="509"/>
      <c r="AJF928" s="69"/>
      <c r="AJG928" s="509"/>
      <c r="AJH928" s="380"/>
      <c r="AJI928" s="381"/>
      <c r="AJJ928" s="509"/>
      <c r="AJK928" s="509"/>
      <c r="AJL928" s="509"/>
      <c r="AJM928" s="69"/>
      <c r="AJN928" s="509"/>
      <c r="AJO928" s="380"/>
      <c r="AJP928" s="381"/>
      <c r="AJQ928" s="509"/>
      <c r="AJR928" s="509"/>
      <c r="AJS928" s="509"/>
      <c r="AJT928" s="69"/>
      <c r="AJU928" s="509"/>
      <c r="AJV928" s="380"/>
      <c r="AJW928" s="381"/>
      <c r="AJX928" s="509"/>
      <c r="AJY928" s="509"/>
      <c r="AJZ928" s="509"/>
      <c r="AKA928" s="69"/>
      <c r="AKB928" s="509"/>
      <c r="AKC928" s="380"/>
      <c r="AKD928" s="381"/>
      <c r="AKE928" s="509"/>
      <c r="AKF928" s="509"/>
      <c r="AKG928" s="509"/>
      <c r="AKH928" s="69"/>
      <c r="AKI928" s="509"/>
      <c r="AKJ928" s="380"/>
      <c r="AKK928" s="381"/>
      <c r="AKL928" s="509"/>
      <c r="AKM928" s="509"/>
      <c r="AKN928" s="509"/>
      <c r="AKO928" s="69"/>
      <c r="AKP928" s="509"/>
      <c r="AKQ928" s="380"/>
      <c r="AKR928" s="381"/>
      <c r="AKS928" s="509"/>
      <c r="AKT928" s="509"/>
      <c r="AKU928" s="509"/>
      <c r="AKV928" s="69"/>
      <c r="AKW928" s="509"/>
      <c r="AKX928" s="380"/>
      <c r="AKY928" s="381"/>
      <c r="AKZ928" s="509"/>
      <c r="ALA928" s="509"/>
      <c r="ALB928" s="509"/>
      <c r="ALC928" s="69"/>
      <c r="ALD928" s="509"/>
      <c r="ALE928" s="380"/>
      <c r="ALF928" s="381"/>
      <c r="ALG928" s="509"/>
      <c r="ALH928" s="509"/>
      <c r="ALI928" s="509"/>
      <c r="ALJ928" s="69"/>
      <c r="ALK928" s="509"/>
      <c r="ALL928" s="380"/>
      <c r="ALM928" s="381"/>
      <c r="ALN928" s="509"/>
      <c r="ALO928" s="509"/>
      <c r="ALP928" s="509"/>
      <c r="ALQ928" s="69"/>
      <c r="ALR928" s="509"/>
      <c r="ALS928" s="380"/>
      <c r="ALT928" s="381"/>
      <c r="ALU928" s="509"/>
      <c r="ALV928" s="509"/>
      <c r="ALW928" s="509"/>
      <c r="ALX928" s="69"/>
      <c r="ALY928" s="509"/>
      <c r="ALZ928" s="380"/>
      <c r="AMA928" s="381"/>
      <c r="AMB928" s="509"/>
      <c r="AMC928" s="509"/>
      <c r="AMD928" s="509"/>
      <c r="AME928" s="69"/>
      <c r="AMF928" s="509"/>
      <c r="AMG928" s="380"/>
      <c r="AMH928" s="381"/>
      <c r="AMI928" s="509"/>
      <c r="AMJ928" s="509"/>
      <c r="AMK928" s="509"/>
      <c r="AML928" s="69"/>
      <c r="AMM928" s="509"/>
      <c r="AMN928" s="380"/>
      <c r="AMO928" s="381"/>
      <c r="AMP928" s="509"/>
      <c r="AMQ928" s="509"/>
      <c r="AMR928" s="509"/>
      <c r="AMS928" s="69"/>
      <c r="AMT928" s="509"/>
      <c r="AMU928" s="380"/>
      <c r="AMV928" s="381"/>
      <c r="AMW928" s="509"/>
      <c r="AMX928" s="509"/>
      <c r="AMY928" s="509"/>
      <c r="AMZ928" s="69"/>
      <c r="ANA928" s="509"/>
      <c r="ANB928" s="380"/>
      <c r="ANC928" s="381"/>
      <c r="AND928" s="509"/>
      <c r="ANE928" s="509"/>
      <c r="ANF928" s="509"/>
      <c r="ANG928" s="69"/>
      <c r="ANH928" s="509"/>
      <c r="ANI928" s="380"/>
      <c r="ANJ928" s="381"/>
      <c r="ANK928" s="509"/>
      <c r="ANL928" s="509"/>
      <c r="ANM928" s="509"/>
      <c r="ANN928" s="69"/>
      <c r="ANO928" s="509"/>
      <c r="ANP928" s="380"/>
      <c r="ANQ928" s="381"/>
      <c r="ANR928" s="509"/>
      <c r="ANS928" s="509"/>
      <c r="ANT928" s="509"/>
      <c r="ANU928" s="69"/>
      <c r="ANV928" s="509"/>
      <c r="ANW928" s="380"/>
      <c r="ANX928" s="381"/>
      <c r="ANY928" s="509"/>
      <c r="ANZ928" s="509"/>
      <c r="AOA928" s="509"/>
      <c r="AOB928" s="69"/>
      <c r="AOC928" s="509"/>
      <c r="AOD928" s="380"/>
      <c r="AOE928" s="381"/>
      <c r="AOF928" s="509"/>
      <c r="AOG928" s="509"/>
      <c r="AOH928" s="509"/>
      <c r="AOI928" s="69"/>
      <c r="AOJ928" s="509"/>
      <c r="AOK928" s="380"/>
      <c r="AOL928" s="381"/>
      <c r="AOM928" s="509"/>
      <c r="AON928" s="509"/>
      <c r="AOO928" s="509"/>
      <c r="AOP928" s="69"/>
      <c r="AOQ928" s="509"/>
      <c r="AOR928" s="380"/>
      <c r="AOS928" s="381"/>
      <c r="AOT928" s="509"/>
      <c r="AOU928" s="509"/>
      <c r="AOV928" s="509"/>
      <c r="AOW928" s="69"/>
      <c r="AOX928" s="509"/>
      <c r="AOY928" s="380"/>
      <c r="AOZ928" s="381"/>
      <c r="APA928" s="509"/>
      <c r="APB928" s="509"/>
      <c r="APC928" s="509"/>
      <c r="APD928" s="69"/>
      <c r="APE928" s="509"/>
      <c r="APF928" s="380"/>
      <c r="APG928" s="381"/>
      <c r="APH928" s="509"/>
      <c r="API928" s="509"/>
      <c r="APJ928" s="509"/>
      <c r="APK928" s="69"/>
      <c r="APL928" s="509"/>
      <c r="APM928" s="380"/>
      <c r="APN928" s="381"/>
      <c r="APO928" s="509"/>
      <c r="APP928" s="509"/>
      <c r="APQ928" s="509"/>
      <c r="APR928" s="69"/>
      <c r="APS928" s="509"/>
      <c r="APT928" s="380"/>
      <c r="APU928" s="381"/>
      <c r="APV928" s="509"/>
      <c r="APW928" s="509"/>
      <c r="APX928" s="509"/>
      <c r="APY928" s="69"/>
      <c r="APZ928" s="509"/>
      <c r="AQA928" s="380"/>
      <c r="AQB928" s="381"/>
      <c r="AQC928" s="509"/>
      <c r="AQD928" s="509"/>
      <c r="AQE928" s="509"/>
      <c r="AQF928" s="69"/>
      <c r="AQG928" s="509"/>
      <c r="AQH928" s="380"/>
      <c r="AQI928" s="381"/>
      <c r="AQJ928" s="509"/>
      <c r="AQK928" s="509"/>
      <c r="AQL928" s="509"/>
      <c r="AQM928" s="69"/>
      <c r="AQN928" s="509"/>
      <c r="AQO928" s="380"/>
      <c r="AQP928" s="381"/>
      <c r="AQQ928" s="509"/>
      <c r="AQR928" s="509"/>
      <c r="AQS928" s="509"/>
      <c r="AQT928" s="69"/>
      <c r="AQU928" s="509"/>
      <c r="AQV928" s="380"/>
      <c r="AQW928" s="381"/>
      <c r="AQX928" s="509"/>
      <c r="AQY928" s="509"/>
      <c r="AQZ928" s="509"/>
      <c r="ARA928" s="69"/>
      <c r="ARB928" s="509"/>
      <c r="ARC928" s="380"/>
      <c r="ARD928" s="381"/>
      <c r="ARE928" s="509"/>
      <c r="ARF928" s="509"/>
      <c r="ARG928" s="509"/>
      <c r="ARH928" s="69"/>
      <c r="ARI928" s="509"/>
      <c r="ARJ928" s="380"/>
      <c r="ARK928" s="381"/>
      <c r="ARL928" s="509"/>
      <c r="ARM928" s="509"/>
      <c r="ARN928" s="509"/>
      <c r="ARO928" s="69"/>
      <c r="ARP928" s="509"/>
      <c r="ARQ928" s="380"/>
      <c r="ARR928" s="381"/>
      <c r="ARS928" s="509"/>
      <c r="ART928" s="509"/>
      <c r="ARU928" s="509"/>
      <c r="ARV928" s="69"/>
      <c r="ARW928" s="509"/>
      <c r="ARX928" s="380"/>
      <c r="ARY928" s="381"/>
      <c r="ARZ928" s="509"/>
      <c r="ASA928" s="509"/>
      <c r="ASB928" s="509"/>
      <c r="ASC928" s="69"/>
      <c r="ASD928" s="509"/>
      <c r="ASE928" s="380"/>
      <c r="ASF928" s="381"/>
      <c r="ASG928" s="509"/>
      <c r="ASH928" s="509"/>
      <c r="ASI928" s="509"/>
      <c r="ASJ928" s="69"/>
      <c r="ASK928" s="509"/>
      <c r="ASL928" s="380"/>
      <c r="ASM928" s="381"/>
      <c r="ASN928" s="509"/>
      <c r="ASO928" s="509"/>
      <c r="ASP928" s="509"/>
      <c r="ASQ928" s="69"/>
      <c r="ASR928" s="509"/>
      <c r="ASS928" s="380"/>
      <c r="AST928" s="381"/>
      <c r="ASU928" s="509"/>
      <c r="ASV928" s="509"/>
      <c r="ASW928" s="509"/>
      <c r="ASX928" s="69"/>
      <c r="ASY928" s="509"/>
      <c r="ASZ928" s="380"/>
      <c r="ATA928" s="381"/>
      <c r="ATB928" s="509"/>
      <c r="ATC928" s="509"/>
      <c r="ATD928" s="509"/>
      <c r="ATE928" s="69"/>
      <c r="ATF928" s="509"/>
      <c r="ATG928" s="380"/>
      <c r="ATH928" s="381"/>
      <c r="ATI928" s="509"/>
      <c r="ATJ928" s="509"/>
      <c r="ATK928" s="509"/>
      <c r="ATL928" s="69"/>
      <c r="ATM928" s="509"/>
      <c r="ATN928" s="380"/>
      <c r="ATO928" s="381"/>
      <c r="ATP928" s="509"/>
      <c r="ATQ928" s="509"/>
      <c r="ATR928" s="509"/>
      <c r="ATS928" s="69"/>
      <c r="ATT928" s="509"/>
      <c r="ATU928" s="380"/>
      <c r="ATV928" s="381"/>
      <c r="ATW928" s="509"/>
      <c r="ATX928" s="509"/>
      <c r="ATY928" s="509"/>
      <c r="ATZ928" s="69"/>
      <c r="AUA928" s="509"/>
      <c r="AUB928" s="380"/>
      <c r="AUC928" s="381"/>
      <c r="AUD928" s="509"/>
      <c r="AUE928" s="509"/>
      <c r="AUF928" s="509"/>
      <c r="AUG928" s="69"/>
      <c r="AUH928" s="509"/>
      <c r="AUI928" s="380"/>
      <c r="AUJ928" s="381"/>
      <c r="AUK928" s="509"/>
      <c r="AUL928" s="509"/>
      <c r="AUM928" s="509"/>
      <c r="AUN928" s="69"/>
      <c r="AUO928" s="509"/>
      <c r="AUP928" s="380"/>
      <c r="AUQ928" s="381"/>
      <c r="AUR928" s="509"/>
      <c r="AUS928" s="509"/>
      <c r="AUT928" s="509"/>
      <c r="AUU928" s="69"/>
      <c r="AUV928" s="509"/>
      <c r="AUW928" s="380"/>
      <c r="AUX928" s="381"/>
      <c r="AUY928" s="509"/>
      <c r="AUZ928" s="509"/>
      <c r="AVA928" s="509"/>
      <c r="AVB928" s="69"/>
      <c r="AVC928" s="509"/>
      <c r="AVD928" s="380"/>
      <c r="AVE928" s="381"/>
      <c r="AVF928" s="509"/>
      <c r="AVG928" s="509"/>
      <c r="AVH928" s="509"/>
      <c r="AVI928" s="69"/>
      <c r="AVJ928" s="509"/>
      <c r="AVK928" s="380"/>
      <c r="AVL928" s="381"/>
      <c r="AVM928" s="509"/>
      <c r="AVN928" s="509"/>
      <c r="AVO928" s="509"/>
      <c r="AVP928" s="69"/>
      <c r="AVQ928" s="509"/>
      <c r="AVR928" s="380"/>
      <c r="AVS928" s="381"/>
      <c r="AVT928" s="509"/>
      <c r="AVU928" s="509"/>
      <c r="AVV928" s="509"/>
      <c r="AVW928" s="69"/>
      <c r="AVX928" s="509"/>
      <c r="AVY928" s="380"/>
      <c r="AVZ928" s="381"/>
      <c r="AWA928" s="509"/>
      <c r="AWB928" s="509"/>
      <c r="AWC928" s="509"/>
      <c r="AWD928" s="69"/>
      <c r="AWE928" s="509"/>
      <c r="AWF928" s="380"/>
      <c r="AWG928" s="381"/>
      <c r="AWH928" s="509"/>
      <c r="AWI928" s="509"/>
      <c r="AWJ928" s="509"/>
      <c r="AWK928" s="69"/>
      <c r="AWL928" s="509"/>
      <c r="AWM928" s="380"/>
      <c r="AWN928" s="381"/>
      <c r="AWO928" s="509"/>
      <c r="AWP928" s="509"/>
      <c r="AWQ928" s="509"/>
      <c r="AWR928" s="69"/>
      <c r="AWS928" s="509"/>
      <c r="AWT928" s="380"/>
      <c r="AWU928" s="381"/>
      <c r="AWV928" s="509"/>
      <c r="AWW928" s="509"/>
      <c r="AWX928" s="509"/>
      <c r="AWY928" s="69"/>
      <c r="AWZ928" s="509"/>
      <c r="AXA928" s="380"/>
      <c r="AXB928" s="381"/>
      <c r="AXC928" s="509"/>
      <c r="AXD928" s="509"/>
      <c r="AXE928" s="509"/>
      <c r="AXF928" s="69"/>
      <c r="AXG928" s="509"/>
      <c r="AXH928" s="380"/>
      <c r="AXI928" s="381"/>
      <c r="AXJ928" s="509"/>
      <c r="AXK928" s="509"/>
      <c r="AXL928" s="509"/>
      <c r="AXM928" s="69"/>
      <c r="AXN928" s="509"/>
      <c r="AXO928" s="380"/>
      <c r="AXP928" s="381"/>
      <c r="AXQ928" s="509"/>
      <c r="AXR928" s="509"/>
      <c r="AXS928" s="509"/>
      <c r="AXT928" s="69"/>
      <c r="AXU928" s="509"/>
      <c r="AXV928" s="380"/>
      <c r="AXW928" s="381"/>
      <c r="AXX928" s="509"/>
      <c r="AXY928" s="509"/>
      <c r="AXZ928" s="509"/>
      <c r="AYA928" s="69"/>
      <c r="AYB928" s="509"/>
      <c r="AYC928" s="380"/>
      <c r="AYD928" s="381"/>
      <c r="AYE928" s="509"/>
      <c r="AYF928" s="509"/>
      <c r="AYG928" s="509"/>
      <c r="AYH928" s="69"/>
      <c r="AYI928" s="509"/>
      <c r="AYJ928" s="380"/>
      <c r="AYK928" s="381"/>
      <c r="AYL928" s="509"/>
      <c r="AYM928" s="509"/>
      <c r="AYN928" s="509"/>
      <c r="AYO928" s="69"/>
      <c r="AYP928" s="509"/>
      <c r="AYQ928" s="380"/>
      <c r="AYR928" s="381"/>
      <c r="AYS928" s="509"/>
      <c r="AYT928" s="509"/>
      <c r="AYU928" s="509"/>
      <c r="AYV928" s="69"/>
      <c r="AYW928" s="509"/>
      <c r="AYX928" s="380"/>
      <c r="AYY928" s="381"/>
      <c r="AYZ928" s="509"/>
      <c r="AZA928" s="509"/>
      <c r="AZB928" s="509"/>
      <c r="AZC928" s="69"/>
      <c r="AZD928" s="509"/>
      <c r="AZE928" s="380"/>
      <c r="AZF928" s="381"/>
      <c r="AZG928" s="509"/>
      <c r="AZH928" s="509"/>
      <c r="AZI928" s="509"/>
      <c r="AZJ928" s="69"/>
      <c r="AZK928" s="509"/>
      <c r="AZL928" s="380"/>
      <c r="AZM928" s="381"/>
      <c r="AZN928" s="509"/>
      <c r="AZO928" s="509"/>
      <c r="AZP928" s="509"/>
      <c r="AZQ928" s="69"/>
      <c r="AZR928" s="509"/>
      <c r="AZS928" s="380"/>
      <c r="AZT928" s="381"/>
      <c r="AZU928" s="509"/>
      <c r="AZV928" s="509"/>
      <c r="AZW928" s="509"/>
      <c r="AZX928" s="69"/>
      <c r="AZY928" s="509"/>
      <c r="AZZ928" s="380"/>
      <c r="BAA928" s="381"/>
      <c r="BAB928" s="509"/>
      <c r="BAC928" s="509"/>
      <c r="BAD928" s="509"/>
      <c r="BAE928" s="69"/>
      <c r="BAF928" s="509"/>
      <c r="BAG928" s="380"/>
      <c r="BAH928" s="381"/>
      <c r="BAI928" s="509"/>
      <c r="BAJ928" s="509"/>
      <c r="BAK928" s="509"/>
      <c r="BAL928" s="69"/>
      <c r="BAM928" s="509"/>
      <c r="BAN928" s="380"/>
      <c r="BAO928" s="381"/>
      <c r="BAP928" s="509"/>
      <c r="BAQ928" s="509"/>
      <c r="BAR928" s="509"/>
      <c r="BAS928" s="69"/>
      <c r="BAT928" s="509"/>
      <c r="BAU928" s="380"/>
      <c r="BAV928" s="381"/>
      <c r="BAW928" s="509"/>
      <c r="BAX928" s="509"/>
      <c r="BAY928" s="509"/>
      <c r="BAZ928" s="69"/>
      <c r="BBA928" s="509"/>
      <c r="BBB928" s="380"/>
      <c r="BBC928" s="381"/>
      <c r="BBD928" s="509"/>
      <c r="BBE928" s="509"/>
      <c r="BBF928" s="509"/>
      <c r="BBG928" s="69"/>
      <c r="BBH928" s="509"/>
      <c r="BBI928" s="380"/>
      <c r="BBJ928" s="381"/>
      <c r="BBK928" s="509"/>
      <c r="BBL928" s="509"/>
      <c r="BBM928" s="509"/>
      <c r="BBN928" s="69"/>
      <c r="BBO928" s="509"/>
      <c r="BBP928" s="380"/>
      <c r="BBQ928" s="381"/>
      <c r="BBR928" s="509"/>
      <c r="BBS928" s="509"/>
      <c r="BBT928" s="509"/>
      <c r="BBU928" s="69"/>
      <c r="BBV928" s="509"/>
      <c r="BBW928" s="380"/>
      <c r="BBX928" s="381"/>
      <c r="BBY928" s="509"/>
      <c r="BBZ928" s="509"/>
      <c r="BCA928" s="509"/>
      <c r="BCB928" s="69"/>
      <c r="BCC928" s="509"/>
      <c r="BCD928" s="380"/>
      <c r="BCE928" s="381"/>
      <c r="BCF928" s="509"/>
      <c r="BCG928" s="509"/>
      <c r="BCH928" s="509"/>
      <c r="BCI928" s="69"/>
      <c r="BCJ928" s="509"/>
      <c r="BCK928" s="380"/>
      <c r="BCL928" s="381"/>
      <c r="BCM928" s="509"/>
      <c r="BCN928" s="509"/>
      <c r="BCO928" s="509"/>
      <c r="BCP928" s="69"/>
      <c r="BCQ928" s="509"/>
      <c r="BCR928" s="380"/>
      <c r="BCS928" s="381"/>
      <c r="BCT928" s="509"/>
      <c r="BCU928" s="509"/>
      <c r="BCV928" s="509"/>
      <c r="BCW928" s="69"/>
      <c r="BCX928" s="509"/>
      <c r="BCY928" s="380"/>
      <c r="BCZ928" s="381"/>
      <c r="BDA928" s="509"/>
      <c r="BDB928" s="509"/>
      <c r="BDC928" s="509"/>
      <c r="BDD928" s="69"/>
      <c r="BDE928" s="509"/>
      <c r="BDF928" s="380"/>
      <c r="BDG928" s="381"/>
      <c r="BDH928" s="509"/>
      <c r="BDI928" s="509"/>
      <c r="BDJ928" s="509"/>
      <c r="BDK928" s="69"/>
      <c r="BDL928" s="509"/>
      <c r="BDM928" s="380"/>
      <c r="BDN928" s="381"/>
      <c r="BDO928" s="509"/>
      <c r="BDP928" s="509"/>
      <c r="BDQ928" s="509"/>
      <c r="BDR928" s="69"/>
      <c r="BDS928" s="509"/>
      <c r="BDT928" s="380"/>
      <c r="BDU928" s="381"/>
      <c r="BDV928" s="509"/>
      <c r="BDW928" s="509"/>
      <c r="BDX928" s="509"/>
      <c r="BDY928" s="69"/>
      <c r="BDZ928" s="509"/>
      <c r="BEA928" s="380"/>
      <c r="BEB928" s="381"/>
      <c r="BEC928" s="509"/>
      <c r="BED928" s="509"/>
      <c r="BEE928" s="509"/>
      <c r="BEF928" s="69"/>
      <c r="BEG928" s="509"/>
      <c r="BEH928" s="380"/>
      <c r="BEI928" s="381"/>
      <c r="BEJ928" s="509"/>
      <c r="BEK928" s="509"/>
      <c r="BEL928" s="509"/>
      <c r="BEM928" s="69"/>
      <c r="BEN928" s="509"/>
      <c r="BEO928" s="380"/>
      <c r="BEP928" s="381"/>
      <c r="BEQ928" s="509"/>
      <c r="BER928" s="509"/>
      <c r="BES928" s="509"/>
      <c r="BET928" s="69"/>
      <c r="BEU928" s="509"/>
      <c r="BEV928" s="380"/>
      <c r="BEW928" s="381"/>
      <c r="BEX928" s="509"/>
      <c r="BEY928" s="509"/>
      <c r="BEZ928" s="509"/>
      <c r="BFA928" s="69"/>
      <c r="BFB928" s="509"/>
      <c r="BFC928" s="380"/>
      <c r="BFD928" s="381"/>
      <c r="BFE928" s="509"/>
      <c r="BFF928" s="509"/>
      <c r="BFG928" s="509"/>
      <c r="BFH928" s="69"/>
      <c r="BFI928" s="509"/>
      <c r="BFJ928" s="380"/>
      <c r="BFK928" s="381"/>
      <c r="BFL928" s="509"/>
      <c r="BFM928" s="509"/>
      <c r="BFN928" s="509"/>
      <c r="BFO928" s="69"/>
      <c r="BFP928" s="509"/>
      <c r="BFQ928" s="380"/>
      <c r="BFR928" s="381"/>
      <c r="BFS928" s="509"/>
      <c r="BFT928" s="509"/>
      <c r="BFU928" s="509"/>
      <c r="BFV928" s="69"/>
      <c r="BFW928" s="509"/>
      <c r="BFX928" s="380"/>
      <c r="BFY928" s="381"/>
      <c r="BFZ928" s="509"/>
      <c r="BGA928" s="509"/>
      <c r="BGB928" s="509"/>
      <c r="BGC928" s="69"/>
      <c r="BGD928" s="509"/>
      <c r="BGE928" s="380"/>
      <c r="BGF928" s="381"/>
      <c r="BGG928" s="509"/>
      <c r="BGH928" s="509"/>
      <c r="BGI928" s="509"/>
      <c r="BGJ928" s="69"/>
      <c r="BGK928" s="509"/>
      <c r="BGL928" s="380"/>
      <c r="BGM928" s="381"/>
      <c r="BGN928" s="509"/>
      <c r="BGO928" s="509"/>
      <c r="BGP928" s="509"/>
      <c r="BGQ928" s="69"/>
      <c r="BGR928" s="509"/>
      <c r="BGS928" s="380"/>
      <c r="BGT928" s="381"/>
      <c r="BGU928" s="509"/>
      <c r="BGV928" s="509"/>
      <c r="BGW928" s="509"/>
      <c r="BGX928" s="69"/>
      <c r="BGY928" s="509"/>
      <c r="BGZ928" s="380"/>
      <c r="BHA928" s="381"/>
      <c r="BHB928" s="509"/>
      <c r="BHC928" s="509"/>
      <c r="BHD928" s="509"/>
      <c r="BHE928" s="69"/>
      <c r="BHF928" s="509"/>
      <c r="BHG928" s="380"/>
      <c r="BHH928" s="381"/>
      <c r="BHI928" s="509"/>
      <c r="BHJ928" s="509"/>
      <c r="BHK928" s="509"/>
      <c r="BHL928" s="69"/>
      <c r="BHM928" s="509"/>
      <c r="BHN928" s="380"/>
      <c r="BHO928" s="381"/>
      <c r="BHP928" s="509"/>
      <c r="BHQ928" s="509"/>
      <c r="BHR928" s="509"/>
      <c r="BHS928" s="69"/>
      <c r="BHT928" s="509"/>
      <c r="BHU928" s="380"/>
      <c r="BHV928" s="381"/>
      <c r="BHW928" s="509"/>
      <c r="BHX928" s="509"/>
      <c r="BHY928" s="509"/>
      <c r="BHZ928" s="69"/>
      <c r="BIA928" s="509"/>
      <c r="BIB928" s="380"/>
      <c r="BIC928" s="381"/>
      <c r="BID928" s="509"/>
      <c r="BIE928" s="509"/>
      <c r="BIF928" s="509"/>
      <c r="BIG928" s="69"/>
      <c r="BIH928" s="509"/>
      <c r="BII928" s="380"/>
      <c r="BIJ928" s="381"/>
      <c r="BIK928" s="509"/>
      <c r="BIL928" s="509"/>
      <c r="BIM928" s="509"/>
      <c r="BIN928" s="69"/>
      <c r="BIO928" s="509"/>
      <c r="BIP928" s="380"/>
      <c r="BIQ928" s="381"/>
      <c r="BIR928" s="509"/>
      <c r="BIS928" s="509"/>
      <c r="BIT928" s="509"/>
      <c r="BIU928" s="69"/>
      <c r="BIV928" s="509"/>
      <c r="BIW928" s="380"/>
      <c r="BIX928" s="381"/>
      <c r="BIY928" s="509"/>
      <c r="BIZ928" s="509"/>
      <c r="BJA928" s="509"/>
      <c r="BJB928" s="69"/>
      <c r="BJC928" s="509"/>
      <c r="BJD928" s="380"/>
      <c r="BJE928" s="381"/>
      <c r="BJF928" s="509"/>
      <c r="BJG928" s="509"/>
      <c r="BJH928" s="509"/>
      <c r="BJI928" s="69"/>
      <c r="BJJ928" s="509"/>
      <c r="BJK928" s="380"/>
      <c r="BJL928" s="381"/>
      <c r="BJM928" s="509"/>
      <c r="BJN928" s="509"/>
      <c r="BJO928" s="509"/>
      <c r="BJP928" s="69"/>
      <c r="BJQ928" s="509"/>
      <c r="BJR928" s="380"/>
      <c r="BJS928" s="381"/>
      <c r="BJT928" s="509"/>
      <c r="BJU928" s="509"/>
      <c r="BJV928" s="509"/>
      <c r="BJW928" s="69"/>
      <c r="BJX928" s="509"/>
      <c r="BJY928" s="380"/>
      <c r="BJZ928" s="381"/>
      <c r="BKA928" s="509"/>
      <c r="BKB928" s="509"/>
      <c r="BKC928" s="509"/>
      <c r="BKD928" s="69"/>
      <c r="BKE928" s="509"/>
      <c r="BKF928" s="380"/>
      <c r="BKG928" s="381"/>
      <c r="BKH928" s="509"/>
      <c r="BKI928" s="509"/>
      <c r="BKJ928" s="509"/>
      <c r="BKK928" s="69"/>
      <c r="BKL928" s="509"/>
      <c r="BKM928" s="380"/>
      <c r="BKN928" s="381"/>
      <c r="BKO928" s="509"/>
      <c r="BKP928" s="509"/>
      <c r="BKQ928" s="509"/>
      <c r="BKR928" s="69"/>
      <c r="BKS928" s="509"/>
      <c r="BKT928" s="380"/>
      <c r="BKU928" s="381"/>
      <c r="BKV928" s="509"/>
      <c r="BKW928" s="509"/>
      <c r="BKX928" s="509"/>
      <c r="BKY928" s="69"/>
      <c r="BKZ928" s="509"/>
      <c r="BLA928" s="380"/>
      <c r="BLB928" s="381"/>
      <c r="BLC928" s="509"/>
      <c r="BLD928" s="509"/>
      <c r="BLE928" s="509"/>
      <c r="BLF928" s="69"/>
      <c r="BLG928" s="509"/>
      <c r="BLH928" s="380"/>
      <c r="BLI928" s="381"/>
      <c r="BLJ928" s="509"/>
      <c r="BLK928" s="509"/>
      <c r="BLL928" s="509"/>
      <c r="BLM928" s="69"/>
      <c r="BLN928" s="509"/>
      <c r="BLO928" s="380"/>
      <c r="BLP928" s="381"/>
      <c r="BLQ928" s="509"/>
      <c r="BLR928" s="509"/>
      <c r="BLS928" s="509"/>
      <c r="BLT928" s="69"/>
      <c r="BLU928" s="509"/>
      <c r="BLV928" s="380"/>
      <c r="BLW928" s="381"/>
      <c r="BLX928" s="509"/>
      <c r="BLY928" s="509"/>
      <c r="BLZ928" s="509"/>
      <c r="BMA928" s="69"/>
      <c r="BMB928" s="509"/>
      <c r="BMC928" s="380"/>
      <c r="BMD928" s="381"/>
      <c r="BME928" s="509"/>
      <c r="BMF928" s="509"/>
      <c r="BMG928" s="509"/>
      <c r="BMH928" s="69"/>
      <c r="BMI928" s="509"/>
      <c r="BMJ928" s="380"/>
      <c r="BMK928" s="381"/>
      <c r="BML928" s="509"/>
      <c r="BMM928" s="509"/>
      <c r="BMN928" s="509"/>
      <c r="BMO928" s="69"/>
      <c r="BMP928" s="509"/>
      <c r="BMQ928" s="380"/>
      <c r="BMR928" s="381"/>
      <c r="BMS928" s="509"/>
      <c r="BMT928" s="509"/>
      <c r="BMU928" s="509"/>
      <c r="BMV928" s="69"/>
      <c r="BMW928" s="509"/>
      <c r="BMX928" s="380"/>
      <c r="BMY928" s="381"/>
      <c r="BMZ928" s="509"/>
      <c r="BNA928" s="509"/>
      <c r="BNB928" s="509"/>
      <c r="BNC928" s="69"/>
      <c r="BND928" s="509"/>
      <c r="BNE928" s="380"/>
      <c r="BNF928" s="381"/>
      <c r="BNG928" s="509"/>
      <c r="BNH928" s="509"/>
      <c r="BNI928" s="509"/>
      <c r="BNJ928" s="69"/>
      <c r="BNK928" s="509"/>
      <c r="BNL928" s="380"/>
      <c r="BNM928" s="381"/>
      <c r="BNN928" s="509"/>
      <c r="BNO928" s="509"/>
      <c r="BNP928" s="509"/>
      <c r="BNQ928" s="69"/>
      <c r="BNR928" s="509"/>
      <c r="BNS928" s="380"/>
      <c r="BNT928" s="381"/>
      <c r="BNU928" s="509"/>
      <c r="BNV928" s="509"/>
      <c r="BNW928" s="509"/>
      <c r="BNX928" s="69"/>
      <c r="BNY928" s="509"/>
      <c r="BNZ928" s="380"/>
      <c r="BOA928" s="381"/>
      <c r="BOB928" s="509"/>
      <c r="BOC928" s="509"/>
      <c r="BOD928" s="509"/>
      <c r="BOE928" s="69"/>
      <c r="BOF928" s="509"/>
      <c r="BOG928" s="380"/>
      <c r="BOH928" s="381"/>
      <c r="BOI928" s="509"/>
      <c r="BOJ928" s="509"/>
      <c r="BOK928" s="509"/>
      <c r="BOL928" s="69"/>
      <c r="BOM928" s="509"/>
      <c r="BON928" s="380"/>
      <c r="BOO928" s="381"/>
      <c r="BOP928" s="509"/>
      <c r="BOQ928" s="509"/>
      <c r="BOR928" s="509"/>
      <c r="BOS928" s="69"/>
      <c r="BOT928" s="509"/>
      <c r="BOU928" s="380"/>
      <c r="BOV928" s="381"/>
      <c r="BOW928" s="509"/>
      <c r="BOX928" s="509"/>
      <c r="BOY928" s="509"/>
      <c r="BOZ928" s="69"/>
      <c r="BPA928" s="509"/>
      <c r="BPB928" s="380"/>
      <c r="BPC928" s="381"/>
      <c r="BPD928" s="509"/>
      <c r="BPE928" s="509"/>
      <c r="BPF928" s="509"/>
      <c r="BPG928" s="69"/>
      <c r="BPH928" s="509"/>
      <c r="BPI928" s="380"/>
      <c r="BPJ928" s="381"/>
      <c r="BPK928" s="509"/>
      <c r="BPL928" s="509"/>
      <c r="BPM928" s="509"/>
      <c r="BPN928" s="69"/>
      <c r="BPO928" s="509"/>
      <c r="BPP928" s="380"/>
      <c r="BPQ928" s="381"/>
      <c r="BPR928" s="509"/>
      <c r="BPS928" s="509"/>
      <c r="BPT928" s="509"/>
      <c r="BPU928" s="69"/>
      <c r="BPV928" s="509"/>
      <c r="BPW928" s="380"/>
      <c r="BPX928" s="381"/>
      <c r="BPY928" s="509"/>
      <c r="BPZ928" s="509"/>
      <c r="BQA928" s="509"/>
      <c r="BQB928" s="69"/>
      <c r="BQC928" s="509"/>
      <c r="BQD928" s="380"/>
      <c r="BQE928" s="381"/>
      <c r="BQF928" s="509"/>
      <c r="BQG928" s="509"/>
      <c r="BQH928" s="509"/>
      <c r="BQI928" s="69"/>
      <c r="BQJ928" s="509"/>
      <c r="BQK928" s="380"/>
      <c r="BQL928" s="381"/>
      <c r="BQM928" s="509"/>
      <c r="BQN928" s="509"/>
      <c r="BQO928" s="509"/>
      <c r="BQP928" s="69"/>
      <c r="BQQ928" s="509"/>
      <c r="BQR928" s="380"/>
      <c r="BQS928" s="381"/>
      <c r="BQT928" s="509"/>
      <c r="BQU928" s="509"/>
      <c r="BQV928" s="509"/>
      <c r="BQW928" s="69"/>
      <c r="BQX928" s="509"/>
      <c r="BQY928" s="380"/>
      <c r="BQZ928" s="381"/>
      <c r="BRA928" s="509"/>
      <c r="BRB928" s="509"/>
      <c r="BRC928" s="509"/>
      <c r="BRD928" s="69"/>
      <c r="BRE928" s="509"/>
      <c r="BRF928" s="380"/>
      <c r="BRG928" s="381"/>
      <c r="BRH928" s="509"/>
      <c r="BRI928" s="509"/>
      <c r="BRJ928" s="509"/>
      <c r="BRK928" s="69"/>
      <c r="BRL928" s="509"/>
      <c r="BRM928" s="380"/>
      <c r="BRN928" s="381"/>
      <c r="BRO928" s="509"/>
      <c r="BRP928" s="509"/>
      <c r="BRQ928" s="509"/>
      <c r="BRR928" s="69"/>
      <c r="BRS928" s="509"/>
      <c r="BRT928" s="380"/>
      <c r="BRU928" s="381"/>
      <c r="BRV928" s="509"/>
      <c r="BRW928" s="509"/>
      <c r="BRX928" s="509"/>
      <c r="BRY928" s="69"/>
      <c r="BRZ928" s="509"/>
      <c r="BSA928" s="380"/>
      <c r="BSB928" s="381"/>
      <c r="BSC928" s="509"/>
      <c r="BSD928" s="509"/>
      <c r="BSE928" s="509"/>
      <c r="BSF928" s="69"/>
      <c r="BSG928" s="509"/>
      <c r="BSH928" s="380"/>
      <c r="BSI928" s="381"/>
      <c r="BSJ928" s="509"/>
      <c r="BSK928" s="509"/>
      <c r="BSL928" s="509"/>
      <c r="BSM928" s="69"/>
      <c r="BSN928" s="509"/>
      <c r="BSO928" s="380"/>
      <c r="BSP928" s="381"/>
      <c r="BSQ928" s="509"/>
      <c r="BSR928" s="509"/>
      <c r="BSS928" s="509"/>
      <c r="BST928" s="69"/>
      <c r="BSU928" s="509"/>
      <c r="BSV928" s="380"/>
      <c r="BSW928" s="381"/>
      <c r="BSX928" s="509"/>
      <c r="BSY928" s="509"/>
      <c r="BSZ928" s="509"/>
      <c r="BTA928" s="69"/>
      <c r="BTB928" s="509"/>
      <c r="BTC928" s="380"/>
      <c r="BTD928" s="381"/>
      <c r="BTE928" s="509"/>
      <c r="BTF928" s="509"/>
      <c r="BTG928" s="509"/>
      <c r="BTH928" s="69"/>
      <c r="BTI928" s="509"/>
      <c r="BTJ928" s="380"/>
      <c r="BTK928" s="381"/>
      <c r="BTL928" s="509"/>
      <c r="BTM928" s="509"/>
      <c r="BTN928" s="509"/>
      <c r="BTO928" s="69"/>
      <c r="BTP928" s="509"/>
      <c r="BTQ928" s="380"/>
      <c r="BTR928" s="381"/>
      <c r="BTS928" s="509"/>
      <c r="BTT928" s="509"/>
      <c r="BTU928" s="509"/>
      <c r="BTV928" s="69"/>
      <c r="BTW928" s="509"/>
      <c r="BTX928" s="380"/>
      <c r="BTY928" s="381"/>
      <c r="BTZ928" s="509"/>
      <c r="BUA928" s="509"/>
      <c r="BUB928" s="509"/>
      <c r="BUC928" s="69"/>
      <c r="BUD928" s="509"/>
      <c r="BUE928" s="380"/>
      <c r="BUF928" s="381"/>
      <c r="BUG928" s="509"/>
      <c r="BUH928" s="509"/>
      <c r="BUI928" s="509"/>
      <c r="BUJ928" s="69"/>
      <c r="BUK928" s="509"/>
      <c r="BUL928" s="380"/>
      <c r="BUM928" s="381"/>
      <c r="BUN928" s="509"/>
      <c r="BUO928" s="509"/>
      <c r="BUP928" s="509"/>
      <c r="BUQ928" s="69"/>
      <c r="BUR928" s="509"/>
      <c r="BUS928" s="380"/>
      <c r="BUT928" s="381"/>
      <c r="BUU928" s="509"/>
      <c r="BUV928" s="509"/>
      <c r="BUW928" s="509"/>
      <c r="BUX928" s="69"/>
      <c r="BUY928" s="509"/>
      <c r="BUZ928" s="380"/>
      <c r="BVA928" s="381"/>
      <c r="BVB928" s="509"/>
      <c r="BVC928" s="509"/>
      <c r="BVD928" s="509"/>
      <c r="BVE928" s="69"/>
      <c r="BVF928" s="509"/>
      <c r="BVG928" s="380"/>
      <c r="BVH928" s="381"/>
      <c r="BVI928" s="509"/>
      <c r="BVJ928" s="509"/>
      <c r="BVK928" s="509"/>
      <c r="BVL928" s="69"/>
      <c r="BVM928" s="509"/>
      <c r="BVN928" s="380"/>
      <c r="BVO928" s="381"/>
      <c r="BVP928" s="509"/>
      <c r="BVQ928" s="509"/>
      <c r="BVR928" s="509"/>
      <c r="BVS928" s="69"/>
      <c r="BVT928" s="509"/>
      <c r="BVU928" s="380"/>
      <c r="BVV928" s="381"/>
      <c r="BVW928" s="509"/>
      <c r="BVX928" s="509"/>
      <c r="BVY928" s="509"/>
      <c r="BVZ928" s="69"/>
      <c r="BWA928" s="509"/>
      <c r="BWB928" s="380"/>
      <c r="BWC928" s="381"/>
      <c r="BWD928" s="509"/>
      <c r="BWE928" s="509"/>
      <c r="BWF928" s="509"/>
      <c r="BWG928" s="69"/>
      <c r="BWH928" s="509"/>
      <c r="BWI928" s="380"/>
      <c r="BWJ928" s="381"/>
      <c r="BWK928" s="509"/>
      <c r="BWL928" s="509"/>
      <c r="BWM928" s="509"/>
      <c r="BWN928" s="69"/>
      <c r="BWO928" s="509"/>
      <c r="BWP928" s="380"/>
      <c r="BWQ928" s="381"/>
      <c r="BWR928" s="509"/>
      <c r="BWS928" s="509"/>
      <c r="BWT928" s="509"/>
      <c r="BWU928" s="69"/>
      <c r="BWV928" s="509"/>
      <c r="BWW928" s="380"/>
      <c r="BWX928" s="381"/>
      <c r="BWY928" s="509"/>
      <c r="BWZ928" s="509"/>
      <c r="BXA928" s="509"/>
      <c r="BXB928" s="69"/>
      <c r="BXC928" s="509"/>
      <c r="BXD928" s="380"/>
      <c r="BXE928" s="381"/>
      <c r="BXF928" s="509"/>
      <c r="BXG928" s="509"/>
      <c r="BXH928" s="509"/>
      <c r="BXI928" s="69"/>
      <c r="BXJ928" s="509"/>
      <c r="BXK928" s="380"/>
      <c r="BXL928" s="381"/>
      <c r="BXM928" s="509"/>
      <c r="BXN928" s="509"/>
      <c r="BXO928" s="509"/>
      <c r="BXP928" s="69"/>
      <c r="BXQ928" s="509"/>
      <c r="BXR928" s="380"/>
      <c r="BXS928" s="381"/>
      <c r="BXT928" s="509"/>
      <c r="BXU928" s="509"/>
      <c r="BXV928" s="509"/>
      <c r="BXW928" s="69"/>
      <c r="BXX928" s="509"/>
      <c r="BXY928" s="380"/>
      <c r="BXZ928" s="381"/>
      <c r="BYA928" s="509"/>
      <c r="BYB928" s="509"/>
      <c r="BYC928" s="509"/>
      <c r="BYD928" s="69"/>
      <c r="BYE928" s="509"/>
      <c r="BYF928" s="380"/>
      <c r="BYG928" s="381"/>
      <c r="BYH928" s="509"/>
      <c r="BYI928" s="509"/>
      <c r="BYJ928" s="509"/>
      <c r="BYK928" s="69"/>
      <c r="BYL928" s="509"/>
      <c r="BYM928" s="380"/>
      <c r="BYN928" s="381"/>
      <c r="BYO928" s="509"/>
      <c r="BYP928" s="509"/>
      <c r="BYQ928" s="509"/>
      <c r="BYR928" s="69"/>
      <c r="BYS928" s="509"/>
      <c r="BYT928" s="380"/>
      <c r="BYU928" s="381"/>
      <c r="BYV928" s="509"/>
      <c r="BYW928" s="509"/>
      <c r="BYX928" s="509"/>
      <c r="BYY928" s="69"/>
      <c r="BYZ928" s="509"/>
      <c r="BZA928" s="380"/>
      <c r="BZB928" s="381"/>
      <c r="BZC928" s="509"/>
      <c r="BZD928" s="509"/>
      <c r="BZE928" s="509"/>
      <c r="BZF928" s="69"/>
      <c r="BZG928" s="509"/>
      <c r="BZH928" s="380"/>
      <c r="BZI928" s="381"/>
      <c r="BZJ928" s="509"/>
      <c r="BZK928" s="509"/>
      <c r="BZL928" s="509"/>
      <c r="BZM928" s="69"/>
      <c r="BZN928" s="509"/>
      <c r="BZO928" s="380"/>
      <c r="BZP928" s="381"/>
      <c r="BZQ928" s="509"/>
      <c r="BZR928" s="509"/>
      <c r="BZS928" s="509"/>
      <c r="BZT928" s="69"/>
      <c r="BZU928" s="509"/>
      <c r="BZV928" s="380"/>
      <c r="BZW928" s="381"/>
      <c r="BZX928" s="509"/>
      <c r="BZY928" s="509"/>
      <c r="BZZ928" s="509"/>
      <c r="CAA928" s="69"/>
      <c r="CAB928" s="509"/>
      <c r="CAC928" s="380"/>
      <c r="CAD928" s="381"/>
      <c r="CAE928" s="509"/>
      <c r="CAF928" s="509"/>
      <c r="CAG928" s="509"/>
      <c r="CAH928" s="69"/>
      <c r="CAI928" s="509"/>
      <c r="CAJ928" s="380"/>
      <c r="CAK928" s="381"/>
      <c r="CAL928" s="509"/>
      <c r="CAM928" s="509"/>
      <c r="CAN928" s="509"/>
      <c r="CAO928" s="69"/>
      <c r="CAP928" s="509"/>
      <c r="CAQ928" s="380"/>
      <c r="CAR928" s="381"/>
      <c r="CAS928" s="509"/>
      <c r="CAT928" s="509"/>
      <c r="CAU928" s="509"/>
      <c r="CAV928" s="69"/>
      <c r="CAW928" s="509"/>
      <c r="CAX928" s="380"/>
      <c r="CAY928" s="381"/>
      <c r="CAZ928" s="509"/>
      <c r="CBA928" s="509"/>
      <c r="CBB928" s="509"/>
      <c r="CBC928" s="69"/>
      <c r="CBD928" s="509"/>
      <c r="CBE928" s="380"/>
      <c r="CBF928" s="381"/>
      <c r="CBG928" s="509"/>
      <c r="CBH928" s="509"/>
      <c r="CBI928" s="509"/>
      <c r="CBJ928" s="69"/>
      <c r="CBK928" s="509"/>
      <c r="CBL928" s="380"/>
      <c r="CBM928" s="381"/>
      <c r="CBN928" s="509"/>
      <c r="CBO928" s="509"/>
      <c r="CBP928" s="509"/>
      <c r="CBQ928" s="69"/>
      <c r="CBR928" s="509"/>
      <c r="CBS928" s="380"/>
      <c r="CBT928" s="381"/>
      <c r="CBU928" s="509"/>
      <c r="CBV928" s="509"/>
      <c r="CBW928" s="509"/>
      <c r="CBX928" s="69"/>
      <c r="CBY928" s="509"/>
      <c r="CBZ928" s="380"/>
      <c r="CCA928" s="381"/>
      <c r="CCB928" s="509"/>
      <c r="CCC928" s="509"/>
      <c r="CCD928" s="509"/>
      <c r="CCE928" s="69"/>
      <c r="CCF928" s="509"/>
      <c r="CCG928" s="380"/>
      <c r="CCH928" s="381"/>
      <c r="CCI928" s="509"/>
      <c r="CCJ928" s="509"/>
      <c r="CCK928" s="509"/>
      <c r="CCL928" s="69"/>
      <c r="CCM928" s="509"/>
      <c r="CCN928" s="380"/>
      <c r="CCO928" s="381"/>
      <c r="CCP928" s="509"/>
      <c r="CCQ928" s="509"/>
      <c r="CCR928" s="509"/>
      <c r="CCS928" s="69"/>
      <c r="CCT928" s="509"/>
      <c r="CCU928" s="380"/>
      <c r="CCV928" s="381"/>
      <c r="CCW928" s="509"/>
      <c r="CCX928" s="509"/>
      <c r="CCY928" s="509"/>
      <c r="CCZ928" s="69"/>
      <c r="CDA928" s="509"/>
      <c r="CDB928" s="380"/>
      <c r="CDC928" s="381"/>
      <c r="CDD928" s="509"/>
      <c r="CDE928" s="509"/>
      <c r="CDF928" s="509"/>
      <c r="CDG928" s="69"/>
      <c r="CDH928" s="509"/>
      <c r="CDI928" s="380"/>
      <c r="CDJ928" s="381"/>
      <c r="CDK928" s="509"/>
      <c r="CDL928" s="509"/>
      <c r="CDM928" s="509"/>
      <c r="CDN928" s="69"/>
      <c r="CDO928" s="509"/>
      <c r="CDP928" s="380"/>
      <c r="CDQ928" s="381"/>
      <c r="CDR928" s="509"/>
      <c r="CDS928" s="509"/>
      <c r="CDT928" s="509"/>
      <c r="CDU928" s="69"/>
      <c r="CDV928" s="509"/>
      <c r="CDW928" s="380"/>
      <c r="CDX928" s="381"/>
      <c r="CDY928" s="509"/>
      <c r="CDZ928" s="509"/>
      <c r="CEA928" s="509"/>
      <c r="CEB928" s="69"/>
      <c r="CEC928" s="509"/>
      <c r="CED928" s="380"/>
      <c r="CEE928" s="381"/>
      <c r="CEF928" s="509"/>
      <c r="CEG928" s="509"/>
      <c r="CEH928" s="509"/>
      <c r="CEI928" s="69"/>
      <c r="CEJ928" s="509"/>
      <c r="CEK928" s="380"/>
      <c r="CEL928" s="381"/>
      <c r="CEM928" s="509"/>
      <c r="CEN928" s="509"/>
      <c r="CEO928" s="509"/>
      <c r="CEP928" s="69"/>
      <c r="CEQ928" s="509"/>
      <c r="CER928" s="380"/>
      <c r="CES928" s="381"/>
      <c r="CET928" s="509"/>
      <c r="CEU928" s="509"/>
      <c r="CEV928" s="509"/>
      <c r="CEW928" s="69"/>
      <c r="CEX928" s="509"/>
      <c r="CEY928" s="380"/>
      <c r="CEZ928" s="381"/>
      <c r="CFA928" s="509"/>
      <c r="CFB928" s="509"/>
      <c r="CFC928" s="509"/>
      <c r="CFD928" s="69"/>
      <c r="CFE928" s="509"/>
      <c r="CFF928" s="380"/>
      <c r="CFG928" s="381"/>
      <c r="CFH928" s="509"/>
      <c r="CFI928" s="509"/>
      <c r="CFJ928" s="509"/>
      <c r="CFK928" s="69"/>
      <c r="CFL928" s="509"/>
      <c r="CFM928" s="380"/>
      <c r="CFN928" s="381"/>
      <c r="CFO928" s="509"/>
      <c r="CFP928" s="509"/>
      <c r="CFQ928" s="509"/>
      <c r="CFR928" s="69"/>
      <c r="CFS928" s="509"/>
      <c r="CFT928" s="380"/>
      <c r="CFU928" s="381"/>
      <c r="CFV928" s="509"/>
      <c r="CFW928" s="509"/>
      <c r="CFX928" s="509"/>
      <c r="CFY928" s="69"/>
      <c r="CFZ928" s="509"/>
      <c r="CGA928" s="380"/>
      <c r="CGB928" s="381"/>
      <c r="CGC928" s="509"/>
      <c r="CGD928" s="509"/>
      <c r="CGE928" s="509"/>
      <c r="CGF928" s="69"/>
      <c r="CGG928" s="509"/>
      <c r="CGH928" s="380"/>
      <c r="CGI928" s="381"/>
      <c r="CGJ928" s="509"/>
      <c r="CGK928" s="509"/>
      <c r="CGL928" s="509"/>
      <c r="CGM928" s="69"/>
      <c r="CGN928" s="509"/>
      <c r="CGO928" s="380"/>
      <c r="CGP928" s="381"/>
      <c r="CGQ928" s="509"/>
      <c r="CGR928" s="509"/>
      <c r="CGS928" s="509"/>
      <c r="CGT928" s="69"/>
      <c r="CGU928" s="509"/>
      <c r="CGV928" s="380"/>
      <c r="CGW928" s="381"/>
      <c r="CGX928" s="509"/>
      <c r="CGY928" s="509"/>
      <c r="CGZ928" s="509"/>
      <c r="CHA928" s="69"/>
      <c r="CHB928" s="509"/>
      <c r="CHC928" s="380"/>
      <c r="CHD928" s="381"/>
      <c r="CHE928" s="509"/>
      <c r="CHF928" s="509"/>
      <c r="CHG928" s="509"/>
      <c r="CHH928" s="69"/>
      <c r="CHI928" s="509"/>
      <c r="CHJ928" s="380"/>
      <c r="CHK928" s="381"/>
      <c r="CHL928" s="509"/>
      <c r="CHM928" s="509"/>
      <c r="CHN928" s="509"/>
      <c r="CHO928" s="69"/>
      <c r="CHP928" s="509"/>
      <c r="CHQ928" s="380"/>
      <c r="CHR928" s="381"/>
      <c r="CHS928" s="509"/>
      <c r="CHT928" s="509"/>
      <c r="CHU928" s="509"/>
      <c r="CHV928" s="69"/>
      <c r="CHW928" s="509"/>
      <c r="CHX928" s="380"/>
      <c r="CHY928" s="381"/>
      <c r="CHZ928" s="509"/>
      <c r="CIA928" s="509"/>
      <c r="CIB928" s="509"/>
      <c r="CIC928" s="69"/>
      <c r="CID928" s="509"/>
      <c r="CIE928" s="380"/>
      <c r="CIF928" s="381"/>
      <c r="CIG928" s="509"/>
      <c r="CIH928" s="509"/>
      <c r="CII928" s="509"/>
      <c r="CIJ928" s="69"/>
      <c r="CIK928" s="509"/>
      <c r="CIL928" s="380"/>
      <c r="CIM928" s="381"/>
      <c r="CIN928" s="509"/>
      <c r="CIO928" s="509"/>
      <c r="CIP928" s="509"/>
      <c r="CIQ928" s="69"/>
      <c r="CIR928" s="509"/>
      <c r="CIS928" s="380"/>
      <c r="CIT928" s="381"/>
      <c r="CIU928" s="509"/>
      <c r="CIV928" s="509"/>
      <c r="CIW928" s="509"/>
      <c r="CIX928" s="69"/>
      <c r="CIY928" s="509"/>
      <c r="CIZ928" s="380"/>
      <c r="CJA928" s="381"/>
      <c r="CJB928" s="509"/>
      <c r="CJC928" s="509"/>
      <c r="CJD928" s="509"/>
      <c r="CJE928" s="69"/>
      <c r="CJF928" s="509"/>
      <c r="CJG928" s="380"/>
      <c r="CJH928" s="381"/>
      <c r="CJI928" s="509"/>
      <c r="CJJ928" s="509"/>
      <c r="CJK928" s="509"/>
      <c r="CJL928" s="69"/>
      <c r="CJM928" s="509"/>
      <c r="CJN928" s="380"/>
      <c r="CJO928" s="381"/>
      <c r="CJP928" s="509"/>
      <c r="CJQ928" s="509"/>
      <c r="CJR928" s="509"/>
      <c r="CJS928" s="69"/>
      <c r="CJT928" s="509"/>
      <c r="CJU928" s="380"/>
      <c r="CJV928" s="381"/>
      <c r="CJW928" s="509"/>
      <c r="CJX928" s="509"/>
      <c r="CJY928" s="509"/>
      <c r="CJZ928" s="69"/>
      <c r="CKA928" s="509"/>
      <c r="CKB928" s="380"/>
      <c r="CKC928" s="381"/>
      <c r="CKD928" s="509"/>
      <c r="CKE928" s="509"/>
      <c r="CKF928" s="509"/>
      <c r="CKG928" s="69"/>
      <c r="CKH928" s="509"/>
      <c r="CKI928" s="380"/>
      <c r="CKJ928" s="381"/>
      <c r="CKK928" s="509"/>
      <c r="CKL928" s="509"/>
      <c r="CKM928" s="509"/>
      <c r="CKN928" s="69"/>
      <c r="CKO928" s="509"/>
      <c r="CKP928" s="380"/>
      <c r="CKQ928" s="381"/>
      <c r="CKR928" s="509"/>
      <c r="CKS928" s="509"/>
      <c r="CKT928" s="509"/>
      <c r="CKU928" s="69"/>
      <c r="CKV928" s="509"/>
      <c r="CKW928" s="380"/>
      <c r="CKX928" s="381"/>
      <c r="CKY928" s="509"/>
      <c r="CKZ928" s="509"/>
      <c r="CLA928" s="509"/>
      <c r="CLB928" s="69"/>
      <c r="CLC928" s="509"/>
      <c r="CLD928" s="380"/>
      <c r="CLE928" s="381"/>
      <c r="CLF928" s="509"/>
      <c r="CLG928" s="509"/>
      <c r="CLH928" s="509"/>
      <c r="CLI928" s="69"/>
      <c r="CLJ928" s="509"/>
      <c r="CLK928" s="380"/>
      <c r="CLL928" s="381"/>
      <c r="CLM928" s="509"/>
      <c r="CLN928" s="509"/>
      <c r="CLO928" s="509"/>
      <c r="CLP928" s="69"/>
      <c r="CLQ928" s="509"/>
      <c r="CLR928" s="380"/>
      <c r="CLS928" s="381"/>
      <c r="CLT928" s="509"/>
      <c r="CLU928" s="509"/>
      <c r="CLV928" s="509"/>
      <c r="CLW928" s="69"/>
      <c r="CLX928" s="509"/>
      <c r="CLY928" s="380"/>
      <c r="CLZ928" s="381"/>
      <c r="CMA928" s="509"/>
      <c r="CMB928" s="509"/>
      <c r="CMC928" s="509"/>
      <c r="CMD928" s="69"/>
      <c r="CME928" s="509"/>
      <c r="CMF928" s="380"/>
      <c r="CMG928" s="381"/>
      <c r="CMH928" s="509"/>
      <c r="CMI928" s="509"/>
      <c r="CMJ928" s="509"/>
      <c r="CMK928" s="69"/>
      <c r="CML928" s="509"/>
      <c r="CMM928" s="380"/>
      <c r="CMN928" s="381"/>
      <c r="CMO928" s="509"/>
      <c r="CMP928" s="509"/>
      <c r="CMQ928" s="509"/>
      <c r="CMR928" s="69"/>
      <c r="CMS928" s="509"/>
      <c r="CMT928" s="380"/>
      <c r="CMU928" s="381"/>
      <c r="CMV928" s="509"/>
      <c r="CMW928" s="509"/>
      <c r="CMX928" s="509"/>
      <c r="CMY928" s="69"/>
      <c r="CMZ928" s="509"/>
      <c r="CNA928" s="380"/>
      <c r="CNB928" s="381"/>
      <c r="CNC928" s="509"/>
      <c r="CND928" s="509"/>
      <c r="CNE928" s="509"/>
      <c r="CNF928" s="69"/>
      <c r="CNG928" s="509"/>
      <c r="CNH928" s="380"/>
      <c r="CNI928" s="381"/>
      <c r="CNJ928" s="509"/>
      <c r="CNK928" s="509"/>
      <c r="CNL928" s="509"/>
      <c r="CNM928" s="69"/>
      <c r="CNN928" s="509"/>
      <c r="CNO928" s="380"/>
      <c r="CNP928" s="381"/>
      <c r="CNQ928" s="509"/>
      <c r="CNR928" s="509"/>
      <c r="CNS928" s="509"/>
      <c r="CNT928" s="69"/>
      <c r="CNU928" s="509"/>
      <c r="CNV928" s="380"/>
      <c r="CNW928" s="381"/>
      <c r="CNX928" s="509"/>
      <c r="CNY928" s="509"/>
      <c r="CNZ928" s="509"/>
      <c r="COA928" s="69"/>
      <c r="COB928" s="509"/>
      <c r="COC928" s="380"/>
      <c r="COD928" s="381"/>
      <c r="COE928" s="509"/>
      <c r="COF928" s="509"/>
      <c r="COG928" s="509"/>
      <c r="COH928" s="69"/>
      <c r="COI928" s="509"/>
      <c r="COJ928" s="380"/>
      <c r="COK928" s="381"/>
      <c r="COL928" s="509"/>
      <c r="COM928" s="509"/>
      <c r="CON928" s="509"/>
      <c r="COO928" s="69"/>
      <c r="COP928" s="509"/>
      <c r="COQ928" s="380"/>
      <c r="COR928" s="381"/>
      <c r="COS928" s="509"/>
      <c r="COT928" s="509"/>
      <c r="COU928" s="509"/>
      <c r="COV928" s="69"/>
      <c r="COW928" s="509"/>
      <c r="COX928" s="380"/>
      <c r="COY928" s="381"/>
      <c r="COZ928" s="509"/>
      <c r="CPA928" s="509"/>
      <c r="CPB928" s="509"/>
      <c r="CPC928" s="69"/>
      <c r="CPD928" s="509"/>
      <c r="CPE928" s="380"/>
      <c r="CPF928" s="381"/>
      <c r="CPG928" s="509"/>
      <c r="CPH928" s="509"/>
      <c r="CPI928" s="509"/>
      <c r="CPJ928" s="69"/>
      <c r="CPK928" s="509"/>
      <c r="CPL928" s="380"/>
      <c r="CPM928" s="381"/>
      <c r="CPN928" s="509"/>
      <c r="CPO928" s="509"/>
      <c r="CPP928" s="509"/>
      <c r="CPQ928" s="69"/>
      <c r="CPR928" s="509"/>
      <c r="CPS928" s="380"/>
      <c r="CPT928" s="381"/>
      <c r="CPU928" s="509"/>
      <c r="CPV928" s="509"/>
      <c r="CPW928" s="509"/>
      <c r="CPX928" s="69"/>
      <c r="CPY928" s="509"/>
      <c r="CPZ928" s="380"/>
      <c r="CQA928" s="381"/>
      <c r="CQB928" s="509"/>
      <c r="CQC928" s="509"/>
      <c r="CQD928" s="509"/>
      <c r="CQE928" s="69"/>
      <c r="CQF928" s="509"/>
      <c r="CQG928" s="380"/>
      <c r="CQH928" s="381"/>
      <c r="CQI928" s="509"/>
      <c r="CQJ928" s="509"/>
      <c r="CQK928" s="509"/>
      <c r="CQL928" s="69"/>
      <c r="CQM928" s="509"/>
      <c r="CQN928" s="380"/>
      <c r="CQO928" s="381"/>
      <c r="CQP928" s="509"/>
      <c r="CQQ928" s="509"/>
      <c r="CQR928" s="509"/>
      <c r="CQS928" s="69"/>
      <c r="CQT928" s="509"/>
      <c r="CQU928" s="380"/>
      <c r="CQV928" s="381"/>
      <c r="CQW928" s="509"/>
      <c r="CQX928" s="509"/>
      <c r="CQY928" s="509"/>
      <c r="CQZ928" s="69"/>
      <c r="CRA928" s="509"/>
      <c r="CRB928" s="380"/>
      <c r="CRC928" s="381"/>
      <c r="CRD928" s="509"/>
      <c r="CRE928" s="509"/>
      <c r="CRF928" s="509"/>
      <c r="CRG928" s="69"/>
      <c r="CRH928" s="509"/>
      <c r="CRI928" s="380"/>
      <c r="CRJ928" s="381"/>
      <c r="CRK928" s="509"/>
      <c r="CRL928" s="509"/>
      <c r="CRM928" s="509"/>
      <c r="CRN928" s="69"/>
      <c r="CRO928" s="509"/>
      <c r="CRP928" s="380"/>
      <c r="CRQ928" s="381"/>
      <c r="CRR928" s="509"/>
      <c r="CRS928" s="509"/>
      <c r="CRT928" s="509"/>
      <c r="CRU928" s="69"/>
      <c r="CRV928" s="509"/>
      <c r="CRW928" s="380"/>
      <c r="CRX928" s="381"/>
      <c r="CRY928" s="509"/>
      <c r="CRZ928" s="509"/>
      <c r="CSA928" s="509"/>
      <c r="CSB928" s="69"/>
      <c r="CSC928" s="509"/>
      <c r="CSD928" s="380"/>
      <c r="CSE928" s="381"/>
      <c r="CSF928" s="509"/>
      <c r="CSG928" s="509"/>
      <c r="CSH928" s="509"/>
      <c r="CSI928" s="69"/>
      <c r="CSJ928" s="509"/>
      <c r="CSK928" s="380"/>
      <c r="CSL928" s="381"/>
      <c r="CSM928" s="509"/>
      <c r="CSN928" s="509"/>
      <c r="CSO928" s="509"/>
      <c r="CSP928" s="69"/>
      <c r="CSQ928" s="509"/>
      <c r="CSR928" s="380"/>
      <c r="CSS928" s="381"/>
      <c r="CST928" s="509"/>
      <c r="CSU928" s="509"/>
      <c r="CSV928" s="509"/>
      <c r="CSW928" s="69"/>
      <c r="CSX928" s="509"/>
      <c r="CSY928" s="380"/>
      <c r="CSZ928" s="381"/>
      <c r="CTA928" s="509"/>
      <c r="CTB928" s="509"/>
      <c r="CTC928" s="509"/>
      <c r="CTD928" s="69"/>
      <c r="CTE928" s="509"/>
      <c r="CTF928" s="380"/>
      <c r="CTG928" s="381"/>
      <c r="CTH928" s="509"/>
      <c r="CTI928" s="509"/>
      <c r="CTJ928" s="509"/>
      <c r="CTK928" s="69"/>
      <c r="CTL928" s="509"/>
      <c r="CTM928" s="380"/>
      <c r="CTN928" s="381"/>
      <c r="CTO928" s="509"/>
      <c r="CTP928" s="509"/>
      <c r="CTQ928" s="509"/>
      <c r="CTR928" s="69"/>
      <c r="CTS928" s="509"/>
      <c r="CTT928" s="380"/>
      <c r="CTU928" s="381"/>
      <c r="CTV928" s="509"/>
      <c r="CTW928" s="509"/>
      <c r="CTX928" s="509"/>
      <c r="CTY928" s="69"/>
      <c r="CTZ928" s="509"/>
      <c r="CUA928" s="380"/>
      <c r="CUB928" s="381"/>
      <c r="CUC928" s="509"/>
      <c r="CUD928" s="509"/>
      <c r="CUE928" s="509"/>
      <c r="CUF928" s="69"/>
      <c r="CUG928" s="509"/>
      <c r="CUH928" s="380"/>
      <c r="CUI928" s="381"/>
      <c r="CUJ928" s="509"/>
      <c r="CUK928" s="509"/>
      <c r="CUL928" s="509"/>
      <c r="CUM928" s="69"/>
      <c r="CUN928" s="509"/>
      <c r="CUO928" s="380"/>
      <c r="CUP928" s="381"/>
      <c r="CUQ928" s="509"/>
      <c r="CUR928" s="509"/>
      <c r="CUS928" s="509"/>
      <c r="CUT928" s="69"/>
      <c r="CUU928" s="509"/>
      <c r="CUV928" s="380"/>
      <c r="CUW928" s="381"/>
      <c r="CUX928" s="509"/>
      <c r="CUY928" s="509"/>
      <c r="CUZ928" s="509"/>
      <c r="CVA928" s="69"/>
      <c r="CVB928" s="509"/>
      <c r="CVC928" s="380"/>
      <c r="CVD928" s="381"/>
      <c r="CVE928" s="509"/>
      <c r="CVF928" s="509"/>
      <c r="CVG928" s="509"/>
      <c r="CVH928" s="69"/>
      <c r="CVI928" s="509"/>
      <c r="CVJ928" s="380"/>
      <c r="CVK928" s="381"/>
      <c r="CVL928" s="509"/>
      <c r="CVM928" s="509"/>
      <c r="CVN928" s="509"/>
      <c r="CVO928" s="69"/>
      <c r="CVP928" s="509"/>
      <c r="CVQ928" s="380"/>
      <c r="CVR928" s="381"/>
      <c r="CVS928" s="509"/>
      <c r="CVT928" s="509"/>
      <c r="CVU928" s="509"/>
      <c r="CVV928" s="69"/>
      <c r="CVW928" s="509"/>
      <c r="CVX928" s="380"/>
      <c r="CVY928" s="381"/>
      <c r="CVZ928" s="509"/>
      <c r="CWA928" s="509"/>
      <c r="CWB928" s="509"/>
      <c r="CWC928" s="69"/>
      <c r="CWD928" s="509"/>
      <c r="CWE928" s="380"/>
      <c r="CWF928" s="381"/>
      <c r="CWG928" s="509"/>
      <c r="CWH928" s="509"/>
      <c r="CWI928" s="509"/>
      <c r="CWJ928" s="69"/>
      <c r="CWK928" s="509"/>
      <c r="CWL928" s="380"/>
      <c r="CWM928" s="381"/>
      <c r="CWN928" s="509"/>
      <c r="CWO928" s="509"/>
      <c r="CWP928" s="509"/>
      <c r="CWQ928" s="69"/>
      <c r="CWR928" s="509"/>
      <c r="CWS928" s="380"/>
      <c r="CWT928" s="381"/>
      <c r="CWU928" s="509"/>
      <c r="CWV928" s="509"/>
      <c r="CWW928" s="509"/>
      <c r="CWX928" s="69"/>
      <c r="CWY928" s="509"/>
      <c r="CWZ928" s="380"/>
      <c r="CXA928" s="381"/>
      <c r="CXB928" s="509"/>
      <c r="CXC928" s="509"/>
      <c r="CXD928" s="509"/>
      <c r="CXE928" s="69"/>
      <c r="CXF928" s="509"/>
      <c r="CXG928" s="380"/>
      <c r="CXH928" s="381"/>
      <c r="CXI928" s="509"/>
      <c r="CXJ928" s="509"/>
      <c r="CXK928" s="509"/>
      <c r="CXL928" s="69"/>
      <c r="CXM928" s="509"/>
      <c r="CXN928" s="380"/>
      <c r="CXO928" s="381"/>
      <c r="CXP928" s="509"/>
      <c r="CXQ928" s="509"/>
      <c r="CXR928" s="509"/>
      <c r="CXS928" s="69"/>
      <c r="CXT928" s="509"/>
      <c r="CXU928" s="380"/>
      <c r="CXV928" s="381"/>
      <c r="CXW928" s="509"/>
      <c r="CXX928" s="509"/>
      <c r="CXY928" s="509"/>
      <c r="CXZ928" s="69"/>
      <c r="CYA928" s="509"/>
      <c r="CYB928" s="380"/>
      <c r="CYC928" s="381"/>
      <c r="CYD928" s="509"/>
      <c r="CYE928" s="509"/>
      <c r="CYF928" s="509"/>
      <c r="CYG928" s="69"/>
      <c r="CYH928" s="509"/>
      <c r="CYI928" s="380"/>
      <c r="CYJ928" s="381"/>
      <c r="CYK928" s="509"/>
      <c r="CYL928" s="509"/>
      <c r="CYM928" s="509"/>
      <c r="CYN928" s="69"/>
      <c r="CYO928" s="509"/>
      <c r="CYP928" s="380"/>
      <c r="CYQ928" s="381"/>
      <c r="CYR928" s="509"/>
      <c r="CYS928" s="509"/>
      <c r="CYT928" s="509"/>
      <c r="CYU928" s="69"/>
      <c r="CYV928" s="509"/>
      <c r="CYW928" s="380"/>
      <c r="CYX928" s="381"/>
      <c r="CYY928" s="509"/>
      <c r="CYZ928" s="509"/>
      <c r="CZA928" s="509"/>
      <c r="CZB928" s="69"/>
      <c r="CZC928" s="509"/>
      <c r="CZD928" s="380"/>
      <c r="CZE928" s="381"/>
      <c r="CZF928" s="509"/>
      <c r="CZG928" s="509"/>
      <c r="CZH928" s="509"/>
      <c r="CZI928" s="69"/>
      <c r="CZJ928" s="509"/>
      <c r="CZK928" s="380"/>
      <c r="CZL928" s="381"/>
      <c r="CZM928" s="509"/>
      <c r="CZN928" s="509"/>
      <c r="CZO928" s="509"/>
      <c r="CZP928" s="69"/>
      <c r="CZQ928" s="509"/>
      <c r="CZR928" s="380"/>
      <c r="CZS928" s="381"/>
      <c r="CZT928" s="509"/>
      <c r="CZU928" s="509"/>
      <c r="CZV928" s="509"/>
      <c r="CZW928" s="69"/>
      <c r="CZX928" s="509"/>
      <c r="CZY928" s="380"/>
      <c r="CZZ928" s="381"/>
      <c r="DAA928" s="509"/>
      <c r="DAB928" s="509"/>
      <c r="DAC928" s="509"/>
      <c r="DAD928" s="69"/>
      <c r="DAE928" s="509"/>
      <c r="DAF928" s="380"/>
      <c r="DAG928" s="381"/>
      <c r="DAH928" s="509"/>
      <c r="DAI928" s="509"/>
      <c r="DAJ928" s="509"/>
      <c r="DAK928" s="69"/>
      <c r="DAL928" s="509"/>
      <c r="DAM928" s="380"/>
      <c r="DAN928" s="381"/>
      <c r="DAO928" s="509"/>
      <c r="DAP928" s="509"/>
      <c r="DAQ928" s="509"/>
      <c r="DAR928" s="69"/>
      <c r="DAS928" s="509"/>
      <c r="DAT928" s="380"/>
      <c r="DAU928" s="381"/>
      <c r="DAV928" s="509"/>
      <c r="DAW928" s="509"/>
      <c r="DAX928" s="509"/>
      <c r="DAY928" s="69"/>
      <c r="DAZ928" s="509"/>
      <c r="DBA928" s="380"/>
      <c r="DBB928" s="381"/>
      <c r="DBC928" s="509"/>
      <c r="DBD928" s="509"/>
      <c r="DBE928" s="509"/>
      <c r="DBF928" s="69"/>
      <c r="DBG928" s="509"/>
      <c r="DBH928" s="380"/>
      <c r="DBI928" s="381"/>
      <c r="DBJ928" s="509"/>
      <c r="DBK928" s="509"/>
      <c r="DBL928" s="509"/>
      <c r="DBM928" s="69"/>
      <c r="DBN928" s="509"/>
      <c r="DBO928" s="380"/>
      <c r="DBP928" s="381"/>
      <c r="DBQ928" s="509"/>
      <c r="DBR928" s="509"/>
      <c r="DBS928" s="509"/>
      <c r="DBT928" s="69"/>
      <c r="DBU928" s="509"/>
      <c r="DBV928" s="380"/>
      <c r="DBW928" s="381"/>
      <c r="DBX928" s="509"/>
      <c r="DBY928" s="509"/>
      <c r="DBZ928" s="509"/>
      <c r="DCA928" s="69"/>
      <c r="DCB928" s="509"/>
      <c r="DCC928" s="380"/>
      <c r="DCD928" s="381"/>
      <c r="DCE928" s="509"/>
      <c r="DCF928" s="509"/>
      <c r="DCG928" s="509"/>
      <c r="DCH928" s="69"/>
      <c r="DCI928" s="509"/>
      <c r="DCJ928" s="380"/>
      <c r="DCK928" s="381"/>
      <c r="DCL928" s="509"/>
      <c r="DCM928" s="509"/>
      <c r="DCN928" s="509"/>
      <c r="DCO928" s="69"/>
      <c r="DCP928" s="509"/>
      <c r="DCQ928" s="380"/>
      <c r="DCR928" s="381"/>
      <c r="DCS928" s="509"/>
      <c r="DCT928" s="509"/>
      <c r="DCU928" s="509"/>
      <c r="DCV928" s="69"/>
      <c r="DCW928" s="509"/>
      <c r="DCX928" s="380"/>
      <c r="DCY928" s="381"/>
      <c r="DCZ928" s="509"/>
      <c r="DDA928" s="509"/>
      <c r="DDB928" s="509"/>
      <c r="DDC928" s="69"/>
      <c r="DDD928" s="509"/>
      <c r="DDE928" s="380"/>
      <c r="DDF928" s="381"/>
      <c r="DDG928" s="509"/>
      <c r="DDH928" s="509"/>
      <c r="DDI928" s="509"/>
      <c r="DDJ928" s="69"/>
      <c r="DDK928" s="509"/>
      <c r="DDL928" s="380"/>
      <c r="DDM928" s="381"/>
      <c r="DDN928" s="509"/>
      <c r="DDO928" s="509"/>
      <c r="DDP928" s="509"/>
      <c r="DDQ928" s="69"/>
      <c r="DDR928" s="509"/>
      <c r="DDS928" s="380"/>
      <c r="DDT928" s="381"/>
      <c r="DDU928" s="509"/>
      <c r="DDV928" s="509"/>
      <c r="DDW928" s="509"/>
      <c r="DDX928" s="69"/>
      <c r="DDY928" s="509"/>
      <c r="DDZ928" s="380"/>
      <c r="DEA928" s="381"/>
      <c r="DEB928" s="509"/>
      <c r="DEC928" s="509"/>
      <c r="DED928" s="509"/>
      <c r="DEE928" s="69"/>
      <c r="DEF928" s="509"/>
      <c r="DEG928" s="380"/>
      <c r="DEH928" s="381"/>
      <c r="DEI928" s="509"/>
      <c r="DEJ928" s="509"/>
      <c r="DEK928" s="509"/>
      <c r="DEL928" s="69"/>
      <c r="DEM928" s="509"/>
      <c r="DEN928" s="380"/>
      <c r="DEO928" s="381"/>
      <c r="DEP928" s="509"/>
      <c r="DEQ928" s="509"/>
      <c r="DER928" s="509"/>
      <c r="DES928" s="69"/>
      <c r="DET928" s="509"/>
      <c r="DEU928" s="380"/>
      <c r="DEV928" s="381"/>
      <c r="DEW928" s="509"/>
      <c r="DEX928" s="509"/>
      <c r="DEY928" s="509"/>
      <c r="DEZ928" s="69"/>
      <c r="DFA928" s="509"/>
      <c r="DFB928" s="380"/>
      <c r="DFC928" s="381"/>
      <c r="DFD928" s="509"/>
      <c r="DFE928" s="509"/>
      <c r="DFF928" s="509"/>
      <c r="DFG928" s="69"/>
      <c r="DFH928" s="509"/>
      <c r="DFI928" s="380"/>
      <c r="DFJ928" s="381"/>
      <c r="DFK928" s="509"/>
      <c r="DFL928" s="509"/>
      <c r="DFM928" s="509"/>
      <c r="DFN928" s="69"/>
      <c r="DFO928" s="509"/>
      <c r="DFP928" s="380"/>
      <c r="DFQ928" s="381"/>
      <c r="DFR928" s="509"/>
      <c r="DFS928" s="509"/>
      <c r="DFT928" s="509"/>
      <c r="DFU928" s="69"/>
      <c r="DFV928" s="509"/>
      <c r="DFW928" s="380"/>
      <c r="DFX928" s="381"/>
      <c r="DFY928" s="509"/>
      <c r="DFZ928" s="509"/>
      <c r="DGA928" s="509"/>
      <c r="DGB928" s="69"/>
      <c r="DGC928" s="509"/>
      <c r="DGD928" s="380"/>
      <c r="DGE928" s="381"/>
      <c r="DGF928" s="509"/>
      <c r="DGG928" s="509"/>
      <c r="DGH928" s="509"/>
      <c r="DGI928" s="69"/>
      <c r="DGJ928" s="509"/>
      <c r="DGK928" s="380"/>
      <c r="DGL928" s="381"/>
      <c r="DGM928" s="509"/>
      <c r="DGN928" s="509"/>
      <c r="DGO928" s="509"/>
      <c r="DGP928" s="69"/>
      <c r="DGQ928" s="509"/>
      <c r="DGR928" s="380"/>
      <c r="DGS928" s="381"/>
      <c r="DGT928" s="509"/>
      <c r="DGU928" s="509"/>
      <c r="DGV928" s="509"/>
      <c r="DGW928" s="69"/>
      <c r="DGX928" s="509"/>
      <c r="DGY928" s="380"/>
      <c r="DGZ928" s="381"/>
      <c r="DHA928" s="509"/>
      <c r="DHB928" s="509"/>
      <c r="DHC928" s="509"/>
      <c r="DHD928" s="69"/>
      <c r="DHE928" s="509"/>
      <c r="DHF928" s="380"/>
      <c r="DHG928" s="381"/>
      <c r="DHH928" s="509"/>
      <c r="DHI928" s="509"/>
      <c r="DHJ928" s="509"/>
      <c r="DHK928" s="69"/>
      <c r="DHL928" s="509"/>
      <c r="DHM928" s="380"/>
      <c r="DHN928" s="381"/>
      <c r="DHO928" s="509"/>
      <c r="DHP928" s="509"/>
      <c r="DHQ928" s="509"/>
      <c r="DHR928" s="69"/>
      <c r="DHS928" s="509"/>
      <c r="DHT928" s="380"/>
      <c r="DHU928" s="381"/>
      <c r="DHV928" s="509"/>
      <c r="DHW928" s="509"/>
      <c r="DHX928" s="509"/>
      <c r="DHY928" s="69"/>
      <c r="DHZ928" s="509"/>
      <c r="DIA928" s="380"/>
      <c r="DIB928" s="381"/>
      <c r="DIC928" s="509"/>
      <c r="DID928" s="509"/>
      <c r="DIE928" s="509"/>
      <c r="DIF928" s="69"/>
      <c r="DIG928" s="509"/>
      <c r="DIH928" s="380"/>
      <c r="DII928" s="381"/>
      <c r="DIJ928" s="509"/>
      <c r="DIK928" s="509"/>
      <c r="DIL928" s="509"/>
      <c r="DIM928" s="69"/>
      <c r="DIN928" s="509"/>
      <c r="DIO928" s="380"/>
      <c r="DIP928" s="381"/>
      <c r="DIQ928" s="509"/>
      <c r="DIR928" s="509"/>
      <c r="DIS928" s="509"/>
      <c r="DIT928" s="69"/>
      <c r="DIU928" s="509"/>
      <c r="DIV928" s="380"/>
      <c r="DIW928" s="381"/>
      <c r="DIX928" s="509"/>
      <c r="DIY928" s="509"/>
      <c r="DIZ928" s="509"/>
      <c r="DJA928" s="69"/>
      <c r="DJB928" s="509"/>
      <c r="DJC928" s="380"/>
      <c r="DJD928" s="381"/>
      <c r="DJE928" s="509"/>
      <c r="DJF928" s="509"/>
      <c r="DJG928" s="509"/>
      <c r="DJH928" s="69"/>
      <c r="DJI928" s="509"/>
      <c r="DJJ928" s="380"/>
      <c r="DJK928" s="381"/>
      <c r="DJL928" s="509"/>
      <c r="DJM928" s="509"/>
      <c r="DJN928" s="509"/>
      <c r="DJO928" s="69"/>
      <c r="DJP928" s="509"/>
      <c r="DJQ928" s="380"/>
      <c r="DJR928" s="381"/>
      <c r="DJS928" s="509"/>
      <c r="DJT928" s="509"/>
      <c r="DJU928" s="509"/>
      <c r="DJV928" s="69"/>
      <c r="DJW928" s="509"/>
      <c r="DJX928" s="380"/>
      <c r="DJY928" s="381"/>
      <c r="DJZ928" s="509"/>
      <c r="DKA928" s="509"/>
      <c r="DKB928" s="509"/>
      <c r="DKC928" s="69"/>
      <c r="DKD928" s="509"/>
      <c r="DKE928" s="380"/>
      <c r="DKF928" s="381"/>
      <c r="DKG928" s="509"/>
      <c r="DKH928" s="509"/>
      <c r="DKI928" s="509"/>
      <c r="DKJ928" s="69"/>
      <c r="DKK928" s="509"/>
      <c r="DKL928" s="380"/>
      <c r="DKM928" s="381"/>
      <c r="DKN928" s="509"/>
      <c r="DKO928" s="509"/>
      <c r="DKP928" s="509"/>
      <c r="DKQ928" s="69"/>
      <c r="DKR928" s="509"/>
      <c r="DKS928" s="380"/>
      <c r="DKT928" s="381"/>
      <c r="DKU928" s="509"/>
      <c r="DKV928" s="509"/>
      <c r="DKW928" s="509"/>
      <c r="DKX928" s="69"/>
      <c r="DKY928" s="509"/>
      <c r="DKZ928" s="380"/>
      <c r="DLA928" s="381"/>
      <c r="DLB928" s="509"/>
      <c r="DLC928" s="509"/>
      <c r="DLD928" s="509"/>
      <c r="DLE928" s="69"/>
      <c r="DLF928" s="509"/>
      <c r="DLG928" s="380"/>
      <c r="DLH928" s="381"/>
      <c r="DLI928" s="509"/>
      <c r="DLJ928" s="509"/>
      <c r="DLK928" s="509"/>
      <c r="DLL928" s="69"/>
      <c r="DLM928" s="509"/>
      <c r="DLN928" s="380"/>
      <c r="DLO928" s="381"/>
      <c r="DLP928" s="509"/>
      <c r="DLQ928" s="509"/>
      <c r="DLR928" s="509"/>
      <c r="DLS928" s="69"/>
      <c r="DLT928" s="509"/>
      <c r="DLU928" s="380"/>
      <c r="DLV928" s="381"/>
      <c r="DLW928" s="509"/>
      <c r="DLX928" s="509"/>
      <c r="DLY928" s="509"/>
      <c r="DLZ928" s="69"/>
      <c r="DMA928" s="509"/>
      <c r="DMB928" s="380"/>
      <c r="DMC928" s="381"/>
      <c r="DMD928" s="509"/>
      <c r="DME928" s="509"/>
      <c r="DMF928" s="509"/>
      <c r="DMG928" s="69"/>
      <c r="DMH928" s="509"/>
      <c r="DMI928" s="380"/>
      <c r="DMJ928" s="381"/>
      <c r="DMK928" s="509"/>
      <c r="DML928" s="509"/>
      <c r="DMM928" s="509"/>
      <c r="DMN928" s="69"/>
      <c r="DMO928" s="509"/>
      <c r="DMP928" s="380"/>
      <c r="DMQ928" s="381"/>
      <c r="DMR928" s="509"/>
      <c r="DMS928" s="509"/>
      <c r="DMT928" s="509"/>
      <c r="DMU928" s="69"/>
      <c r="DMV928" s="509"/>
      <c r="DMW928" s="380"/>
      <c r="DMX928" s="381"/>
      <c r="DMY928" s="509"/>
      <c r="DMZ928" s="509"/>
      <c r="DNA928" s="509"/>
      <c r="DNB928" s="69"/>
      <c r="DNC928" s="509"/>
      <c r="DND928" s="380"/>
      <c r="DNE928" s="381"/>
      <c r="DNF928" s="509"/>
      <c r="DNG928" s="509"/>
      <c r="DNH928" s="509"/>
      <c r="DNI928" s="69"/>
      <c r="DNJ928" s="509"/>
      <c r="DNK928" s="380"/>
      <c r="DNL928" s="381"/>
      <c r="DNM928" s="509"/>
      <c r="DNN928" s="509"/>
      <c r="DNO928" s="509"/>
      <c r="DNP928" s="69"/>
      <c r="DNQ928" s="509"/>
      <c r="DNR928" s="380"/>
      <c r="DNS928" s="381"/>
      <c r="DNT928" s="509"/>
      <c r="DNU928" s="509"/>
      <c r="DNV928" s="509"/>
      <c r="DNW928" s="69"/>
      <c r="DNX928" s="509"/>
      <c r="DNY928" s="380"/>
      <c r="DNZ928" s="381"/>
      <c r="DOA928" s="509"/>
      <c r="DOB928" s="509"/>
      <c r="DOC928" s="509"/>
      <c r="DOD928" s="69"/>
      <c r="DOE928" s="509"/>
      <c r="DOF928" s="380"/>
      <c r="DOG928" s="381"/>
      <c r="DOH928" s="509"/>
      <c r="DOI928" s="509"/>
      <c r="DOJ928" s="509"/>
      <c r="DOK928" s="69"/>
      <c r="DOL928" s="509"/>
      <c r="DOM928" s="380"/>
      <c r="DON928" s="381"/>
      <c r="DOO928" s="509"/>
      <c r="DOP928" s="509"/>
      <c r="DOQ928" s="509"/>
      <c r="DOR928" s="69"/>
      <c r="DOS928" s="509"/>
      <c r="DOT928" s="380"/>
      <c r="DOU928" s="381"/>
      <c r="DOV928" s="509"/>
      <c r="DOW928" s="509"/>
      <c r="DOX928" s="509"/>
      <c r="DOY928" s="69"/>
      <c r="DOZ928" s="509"/>
      <c r="DPA928" s="380"/>
      <c r="DPB928" s="381"/>
      <c r="DPC928" s="509"/>
      <c r="DPD928" s="509"/>
      <c r="DPE928" s="509"/>
      <c r="DPF928" s="69"/>
      <c r="DPG928" s="509"/>
      <c r="DPH928" s="380"/>
      <c r="DPI928" s="381"/>
      <c r="DPJ928" s="509"/>
      <c r="DPK928" s="509"/>
      <c r="DPL928" s="509"/>
      <c r="DPM928" s="69"/>
      <c r="DPN928" s="509"/>
      <c r="DPO928" s="380"/>
      <c r="DPP928" s="381"/>
      <c r="DPQ928" s="509"/>
      <c r="DPR928" s="509"/>
      <c r="DPS928" s="509"/>
      <c r="DPT928" s="69"/>
      <c r="DPU928" s="509"/>
      <c r="DPV928" s="380"/>
      <c r="DPW928" s="381"/>
      <c r="DPX928" s="509"/>
      <c r="DPY928" s="509"/>
      <c r="DPZ928" s="509"/>
      <c r="DQA928" s="69"/>
      <c r="DQB928" s="509"/>
      <c r="DQC928" s="380"/>
      <c r="DQD928" s="381"/>
      <c r="DQE928" s="509"/>
      <c r="DQF928" s="509"/>
      <c r="DQG928" s="509"/>
      <c r="DQH928" s="69"/>
      <c r="DQI928" s="509"/>
      <c r="DQJ928" s="380"/>
      <c r="DQK928" s="381"/>
      <c r="DQL928" s="509"/>
      <c r="DQM928" s="509"/>
      <c r="DQN928" s="509"/>
      <c r="DQO928" s="69"/>
      <c r="DQP928" s="509"/>
      <c r="DQQ928" s="380"/>
      <c r="DQR928" s="381"/>
      <c r="DQS928" s="509"/>
      <c r="DQT928" s="509"/>
      <c r="DQU928" s="509"/>
      <c r="DQV928" s="69"/>
      <c r="DQW928" s="509"/>
      <c r="DQX928" s="380"/>
      <c r="DQY928" s="381"/>
      <c r="DQZ928" s="509"/>
      <c r="DRA928" s="509"/>
      <c r="DRB928" s="509"/>
      <c r="DRC928" s="69"/>
      <c r="DRD928" s="509"/>
      <c r="DRE928" s="380"/>
      <c r="DRF928" s="381"/>
      <c r="DRG928" s="509"/>
      <c r="DRH928" s="509"/>
      <c r="DRI928" s="509"/>
      <c r="DRJ928" s="69"/>
      <c r="DRK928" s="509"/>
      <c r="DRL928" s="380"/>
      <c r="DRM928" s="381"/>
      <c r="DRN928" s="509"/>
      <c r="DRO928" s="509"/>
      <c r="DRP928" s="509"/>
      <c r="DRQ928" s="69"/>
      <c r="DRR928" s="509"/>
      <c r="DRS928" s="380"/>
      <c r="DRT928" s="381"/>
      <c r="DRU928" s="509"/>
      <c r="DRV928" s="509"/>
      <c r="DRW928" s="509"/>
      <c r="DRX928" s="69"/>
      <c r="DRY928" s="509"/>
      <c r="DRZ928" s="380"/>
      <c r="DSA928" s="381"/>
      <c r="DSB928" s="509"/>
      <c r="DSC928" s="509"/>
      <c r="DSD928" s="509"/>
      <c r="DSE928" s="69"/>
      <c r="DSF928" s="509"/>
      <c r="DSG928" s="380"/>
      <c r="DSH928" s="381"/>
      <c r="DSI928" s="509"/>
      <c r="DSJ928" s="509"/>
      <c r="DSK928" s="509"/>
      <c r="DSL928" s="69"/>
      <c r="DSM928" s="509"/>
      <c r="DSN928" s="380"/>
      <c r="DSO928" s="381"/>
      <c r="DSP928" s="509"/>
      <c r="DSQ928" s="509"/>
      <c r="DSR928" s="509"/>
      <c r="DSS928" s="69"/>
      <c r="DST928" s="509"/>
      <c r="DSU928" s="380"/>
      <c r="DSV928" s="381"/>
      <c r="DSW928" s="509"/>
      <c r="DSX928" s="509"/>
      <c r="DSY928" s="509"/>
      <c r="DSZ928" s="69"/>
      <c r="DTA928" s="509"/>
      <c r="DTB928" s="380"/>
      <c r="DTC928" s="381"/>
      <c r="DTD928" s="509"/>
      <c r="DTE928" s="509"/>
      <c r="DTF928" s="509"/>
      <c r="DTG928" s="69"/>
      <c r="DTH928" s="509"/>
      <c r="DTI928" s="380"/>
      <c r="DTJ928" s="381"/>
      <c r="DTK928" s="509"/>
      <c r="DTL928" s="509"/>
      <c r="DTM928" s="509"/>
      <c r="DTN928" s="69"/>
      <c r="DTO928" s="509"/>
      <c r="DTP928" s="380"/>
      <c r="DTQ928" s="381"/>
      <c r="DTR928" s="509"/>
      <c r="DTS928" s="509"/>
      <c r="DTT928" s="509"/>
      <c r="DTU928" s="69"/>
      <c r="DTV928" s="509"/>
      <c r="DTW928" s="380"/>
      <c r="DTX928" s="381"/>
      <c r="DTY928" s="509"/>
      <c r="DTZ928" s="509"/>
      <c r="DUA928" s="509"/>
      <c r="DUB928" s="69"/>
      <c r="DUC928" s="509"/>
      <c r="DUD928" s="380"/>
      <c r="DUE928" s="381"/>
      <c r="DUF928" s="509"/>
      <c r="DUG928" s="509"/>
      <c r="DUH928" s="509"/>
      <c r="DUI928" s="69"/>
      <c r="DUJ928" s="509"/>
      <c r="DUK928" s="380"/>
      <c r="DUL928" s="381"/>
      <c r="DUM928" s="509"/>
      <c r="DUN928" s="509"/>
      <c r="DUO928" s="509"/>
      <c r="DUP928" s="69"/>
      <c r="DUQ928" s="509"/>
      <c r="DUR928" s="380"/>
      <c r="DUS928" s="381"/>
      <c r="DUT928" s="509"/>
      <c r="DUU928" s="509"/>
      <c r="DUV928" s="509"/>
      <c r="DUW928" s="69"/>
      <c r="DUX928" s="509"/>
      <c r="DUY928" s="380"/>
      <c r="DUZ928" s="381"/>
      <c r="DVA928" s="509"/>
      <c r="DVB928" s="509"/>
      <c r="DVC928" s="509"/>
      <c r="DVD928" s="69"/>
      <c r="DVE928" s="509"/>
      <c r="DVF928" s="380"/>
      <c r="DVG928" s="381"/>
      <c r="DVH928" s="509"/>
      <c r="DVI928" s="509"/>
      <c r="DVJ928" s="509"/>
      <c r="DVK928" s="69"/>
      <c r="DVL928" s="509"/>
      <c r="DVM928" s="380"/>
      <c r="DVN928" s="381"/>
      <c r="DVO928" s="509"/>
      <c r="DVP928" s="509"/>
      <c r="DVQ928" s="509"/>
      <c r="DVR928" s="69"/>
      <c r="DVS928" s="509"/>
      <c r="DVT928" s="380"/>
      <c r="DVU928" s="381"/>
      <c r="DVV928" s="509"/>
      <c r="DVW928" s="509"/>
      <c r="DVX928" s="509"/>
      <c r="DVY928" s="69"/>
      <c r="DVZ928" s="509"/>
      <c r="DWA928" s="380"/>
      <c r="DWB928" s="381"/>
      <c r="DWC928" s="509"/>
      <c r="DWD928" s="509"/>
      <c r="DWE928" s="509"/>
      <c r="DWF928" s="69"/>
      <c r="DWG928" s="509"/>
      <c r="DWH928" s="380"/>
      <c r="DWI928" s="381"/>
      <c r="DWJ928" s="509"/>
      <c r="DWK928" s="509"/>
      <c r="DWL928" s="509"/>
      <c r="DWM928" s="69"/>
      <c r="DWN928" s="509"/>
      <c r="DWO928" s="380"/>
      <c r="DWP928" s="381"/>
      <c r="DWQ928" s="509"/>
      <c r="DWR928" s="509"/>
      <c r="DWS928" s="509"/>
      <c r="DWT928" s="69"/>
      <c r="DWU928" s="509"/>
      <c r="DWV928" s="380"/>
      <c r="DWW928" s="381"/>
      <c r="DWX928" s="509"/>
      <c r="DWY928" s="509"/>
      <c r="DWZ928" s="509"/>
      <c r="DXA928" s="69"/>
      <c r="DXB928" s="509"/>
      <c r="DXC928" s="380"/>
      <c r="DXD928" s="381"/>
      <c r="DXE928" s="509"/>
      <c r="DXF928" s="509"/>
      <c r="DXG928" s="509"/>
      <c r="DXH928" s="69"/>
      <c r="DXI928" s="509"/>
      <c r="DXJ928" s="380"/>
      <c r="DXK928" s="381"/>
      <c r="DXL928" s="509"/>
      <c r="DXM928" s="509"/>
      <c r="DXN928" s="509"/>
      <c r="DXO928" s="69"/>
      <c r="DXP928" s="509"/>
      <c r="DXQ928" s="380"/>
      <c r="DXR928" s="381"/>
      <c r="DXS928" s="509"/>
      <c r="DXT928" s="509"/>
      <c r="DXU928" s="509"/>
      <c r="DXV928" s="69"/>
      <c r="DXW928" s="509"/>
      <c r="DXX928" s="380"/>
      <c r="DXY928" s="381"/>
      <c r="DXZ928" s="509"/>
      <c r="DYA928" s="509"/>
      <c r="DYB928" s="509"/>
      <c r="DYC928" s="69"/>
      <c r="DYD928" s="509"/>
      <c r="DYE928" s="380"/>
      <c r="DYF928" s="381"/>
      <c r="DYG928" s="509"/>
      <c r="DYH928" s="509"/>
      <c r="DYI928" s="509"/>
      <c r="DYJ928" s="69"/>
      <c r="DYK928" s="509"/>
      <c r="DYL928" s="380"/>
      <c r="DYM928" s="381"/>
      <c r="DYN928" s="509"/>
      <c r="DYO928" s="509"/>
      <c r="DYP928" s="509"/>
      <c r="DYQ928" s="69"/>
      <c r="DYR928" s="509"/>
      <c r="DYS928" s="380"/>
      <c r="DYT928" s="381"/>
      <c r="DYU928" s="509"/>
      <c r="DYV928" s="509"/>
      <c r="DYW928" s="509"/>
      <c r="DYX928" s="69"/>
      <c r="DYY928" s="509"/>
      <c r="DYZ928" s="380"/>
      <c r="DZA928" s="381"/>
      <c r="DZB928" s="509"/>
      <c r="DZC928" s="509"/>
      <c r="DZD928" s="509"/>
      <c r="DZE928" s="69"/>
      <c r="DZF928" s="509"/>
      <c r="DZG928" s="380"/>
      <c r="DZH928" s="381"/>
      <c r="DZI928" s="509"/>
      <c r="DZJ928" s="509"/>
      <c r="DZK928" s="509"/>
      <c r="DZL928" s="69"/>
      <c r="DZM928" s="509"/>
      <c r="DZN928" s="380"/>
      <c r="DZO928" s="381"/>
      <c r="DZP928" s="509"/>
      <c r="DZQ928" s="509"/>
      <c r="DZR928" s="509"/>
      <c r="DZS928" s="69"/>
      <c r="DZT928" s="509"/>
      <c r="DZU928" s="380"/>
      <c r="DZV928" s="381"/>
      <c r="DZW928" s="509"/>
      <c r="DZX928" s="509"/>
      <c r="DZY928" s="509"/>
      <c r="DZZ928" s="69"/>
      <c r="EAA928" s="509"/>
      <c r="EAB928" s="380"/>
      <c r="EAC928" s="381"/>
      <c r="EAD928" s="509"/>
      <c r="EAE928" s="509"/>
      <c r="EAF928" s="509"/>
      <c r="EAG928" s="69"/>
      <c r="EAH928" s="509"/>
      <c r="EAI928" s="380"/>
      <c r="EAJ928" s="381"/>
      <c r="EAK928" s="509"/>
      <c r="EAL928" s="509"/>
      <c r="EAM928" s="509"/>
      <c r="EAN928" s="69"/>
      <c r="EAO928" s="509"/>
      <c r="EAP928" s="380"/>
      <c r="EAQ928" s="381"/>
      <c r="EAR928" s="509"/>
      <c r="EAS928" s="509"/>
      <c r="EAT928" s="509"/>
      <c r="EAU928" s="69"/>
      <c r="EAV928" s="509"/>
      <c r="EAW928" s="380"/>
      <c r="EAX928" s="381"/>
      <c r="EAY928" s="509"/>
      <c r="EAZ928" s="509"/>
      <c r="EBA928" s="509"/>
      <c r="EBB928" s="69"/>
      <c r="EBC928" s="509"/>
      <c r="EBD928" s="380"/>
      <c r="EBE928" s="381"/>
      <c r="EBF928" s="509"/>
      <c r="EBG928" s="509"/>
      <c r="EBH928" s="509"/>
      <c r="EBI928" s="69"/>
      <c r="EBJ928" s="509"/>
      <c r="EBK928" s="380"/>
      <c r="EBL928" s="381"/>
      <c r="EBM928" s="509"/>
      <c r="EBN928" s="509"/>
      <c r="EBO928" s="509"/>
      <c r="EBP928" s="69"/>
      <c r="EBQ928" s="509"/>
      <c r="EBR928" s="380"/>
      <c r="EBS928" s="381"/>
      <c r="EBT928" s="509"/>
      <c r="EBU928" s="509"/>
      <c r="EBV928" s="509"/>
      <c r="EBW928" s="69"/>
      <c r="EBX928" s="509"/>
      <c r="EBY928" s="380"/>
      <c r="EBZ928" s="381"/>
      <c r="ECA928" s="509"/>
      <c r="ECB928" s="509"/>
      <c r="ECC928" s="509"/>
      <c r="ECD928" s="69"/>
      <c r="ECE928" s="509"/>
      <c r="ECF928" s="380"/>
      <c r="ECG928" s="381"/>
      <c r="ECH928" s="509"/>
      <c r="ECI928" s="509"/>
      <c r="ECJ928" s="509"/>
      <c r="ECK928" s="69"/>
      <c r="ECL928" s="509"/>
      <c r="ECM928" s="380"/>
      <c r="ECN928" s="381"/>
      <c r="ECO928" s="509"/>
      <c r="ECP928" s="509"/>
      <c r="ECQ928" s="509"/>
      <c r="ECR928" s="69"/>
      <c r="ECS928" s="509"/>
      <c r="ECT928" s="380"/>
      <c r="ECU928" s="381"/>
      <c r="ECV928" s="509"/>
      <c r="ECW928" s="509"/>
      <c r="ECX928" s="509"/>
      <c r="ECY928" s="69"/>
      <c r="ECZ928" s="509"/>
      <c r="EDA928" s="380"/>
      <c r="EDB928" s="381"/>
      <c r="EDC928" s="509"/>
      <c r="EDD928" s="509"/>
      <c r="EDE928" s="509"/>
      <c r="EDF928" s="69"/>
      <c r="EDG928" s="509"/>
      <c r="EDH928" s="380"/>
      <c r="EDI928" s="381"/>
      <c r="EDJ928" s="509"/>
      <c r="EDK928" s="509"/>
      <c r="EDL928" s="509"/>
      <c r="EDM928" s="69"/>
      <c r="EDN928" s="509"/>
      <c r="EDO928" s="380"/>
      <c r="EDP928" s="381"/>
      <c r="EDQ928" s="509"/>
      <c r="EDR928" s="509"/>
      <c r="EDS928" s="509"/>
      <c r="EDT928" s="69"/>
      <c r="EDU928" s="509"/>
      <c r="EDV928" s="380"/>
      <c r="EDW928" s="381"/>
      <c r="EDX928" s="509"/>
      <c r="EDY928" s="509"/>
      <c r="EDZ928" s="509"/>
      <c r="EEA928" s="69"/>
      <c r="EEB928" s="509"/>
      <c r="EEC928" s="380"/>
      <c r="EED928" s="381"/>
      <c r="EEE928" s="509"/>
      <c r="EEF928" s="509"/>
      <c r="EEG928" s="509"/>
      <c r="EEH928" s="69"/>
      <c r="EEI928" s="509"/>
      <c r="EEJ928" s="380"/>
      <c r="EEK928" s="381"/>
      <c r="EEL928" s="509"/>
      <c r="EEM928" s="509"/>
      <c r="EEN928" s="509"/>
      <c r="EEO928" s="69"/>
      <c r="EEP928" s="509"/>
      <c r="EEQ928" s="380"/>
      <c r="EER928" s="381"/>
      <c r="EES928" s="509"/>
      <c r="EET928" s="509"/>
      <c r="EEU928" s="509"/>
      <c r="EEV928" s="69"/>
      <c r="EEW928" s="509"/>
      <c r="EEX928" s="380"/>
      <c r="EEY928" s="381"/>
      <c r="EEZ928" s="509"/>
      <c r="EFA928" s="509"/>
      <c r="EFB928" s="509"/>
      <c r="EFC928" s="69"/>
      <c r="EFD928" s="509"/>
      <c r="EFE928" s="380"/>
      <c r="EFF928" s="381"/>
      <c r="EFG928" s="509"/>
      <c r="EFH928" s="509"/>
      <c r="EFI928" s="509"/>
      <c r="EFJ928" s="69"/>
      <c r="EFK928" s="509"/>
      <c r="EFL928" s="380"/>
      <c r="EFM928" s="381"/>
      <c r="EFN928" s="509"/>
      <c r="EFO928" s="509"/>
      <c r="EFP928" s="509"/>
      <c r="EFQ928" s="69"/>
      <c r="EFR928" s="509"/>
      <c r="EFS928" s="380"/>
      <c r="EFT928" s="381"/>
      <c r="EFU928" s="509"/>
      <c r="EFV928" s="509"/>
      <c r="EFW928" s="509"/>
      <c r="EFX928" s="69"/>
      <c r="EFY928" s="509"/>
      <c r="EFZ928" s="380"/>
      <c r="EGA928" s="381"/>
      <c r="EGB928" s="509"/>
      <c r="EGC928" s="509"/>
      <c r="EGD928" s="509"/>
      <c r="EGE928" s="69"/>
      <c r="EGF928" s="509"/>
      <c r="EGG928" s="380"/>
      <c r="EGH928" s="381"/>
      <c r="EGI928" s="509"/>
      <c r="EGJ928" s="509"/>
      <c r="EGK928" s="509"/>
      <c r="EGL928" s="69"/>
      <c r="EGM928" s="509"/>
      <c r="EGN928" s="380"/>
      <c r="EGO928" s="381"/>
      <c r="EGP928" s="509"/>
      <c r="EGQ928" s="509"/>
      <c r="EGR928" s="509"/>
      <c r="EGS928" s="69"/>
      <c r="EGT928" s="509"/>
      <c r="EGU928" s="380"/>
      <c r="EGV928" s="381"/>
      <c r="EGW928" s="509"/>
      <c r="EGX928" s="509"/>
      <c r="EGY928" s="509"/>
      <c r="EGZ928" s="69"/>
      <c r="EHA928" s="509"/>
      <c r="EHB928" s="380"/>
      <c r="EHC928" s="381"/>
      <c r="EHD928" s="509"/>
      <c r="EHE928" s="509"/>
      <c r="EHF928" s="509"/>
      <c r="EHG928" s="69"/>
      <c r="EHH928" s="509"/>
      <c r="EHI928" s="380"/>
      <c r="EHJ928" s="381"/>
      <c r="EHK928" s="509"/>
      <c r="EHL928" s="509"/>
      <c r="EHM928" s="509"/>
      <c r="EHN928" s="69"/>
      <c r="EHO928" s="509"/>
      <c r="EHP928" s="380"/>
      <c r="EHQ928" s="381"/>
      <c r="EHR928" s="509"/>
      <c r="EHS928" s="509"/>
      <c r="EHT928" s="509"/>
      <c r="EHU928" s="69"/>
      <c r="EHV928" s="509"/>
      <c r="EHW928" s="380"/>
      <c r="EHX928" s="381"/>
      <c r="EHY928" s="509"/>
      <c r="EHZ928" s="509"/>
      <c r="EIA928" s="509"/>
      <c r="EIB928" s="69"/>
      <c r="EIC928" s="509"/>
      <c r="EID928" s="380"/>
      <c r="EIE928" s="381"/>
      <c r="EIF928" s="509"/>
      <c r="EIG928" s="509"/>
      <c r="EIH928" s="509"/>
      <c r="EII928" s="69"/>
      <c r="EIJ928" s="509"/>
      <c r="EIK928" s="380"/>
      <c r="EIL928" s="381"/>
      <c r="EIM928" s="509"/>
      <c r="EIN928" s="509"/>
      <c r="EIO928" s="509"/>
      <c r="EIP928" s="69"/>
      <c r="EIQ928" s="509"/>
      <c r="EIR928" s="380"/>
      <c r="EIS928" s="381"/>
      <c r="EIT928" s="509"/>
      <c r="EIU928" s="509"/>
      <c r="EIV928" s="509"/>
      <c r="EIW928" s="69"/>
      <c r="EIX928" s="509"/>
      <c r="EIY928" s="380"/>
      <c r="EIZ928" s="381"/>
      <c r="EJA928" s="509"/>
      <c r="EJB928" s="509"/>
      <c r="EJC928" s="509"/>
      <c r="EJD928" s="69"/>
      <c r="EJE928" s="509"/>
      <c r="EJF928" s="380"/>
      <c r="EJG928" s="381"/>
      <c r="EJH928" s="509"/>
      <c r="EJI928" s="509"/>
      <c r="EJJ928" s="509"/>
      <c r="EJK928" s="69"/>
      <c r="EJL928" s="509"/>
      <c r="EJM928" s="380"/>
      <c r="EJN928" s="381"/>
      <c r="EJO928" s="509"/>
      <c r="EJP928" s="509"/>
      <c r="EJQ928" s="509"/>
      <c r="EJR928" s="69"/>
      <c r="EJS928" s="509"/>
      <c r="EJT928" s="380"/>
      <c r="EJU928" s="381"/>
      <c r="EJV928" s="509"/>
      <c r="EJW928" s="509"/>
      <c r="EJX928" s="509"/>
      <c r="EJY928" s="69"/>
      <c r="EJZ928" s="509"/>
      <c r="EKA928" s="380"/>
      <c r="EKB928" s="381"/>
      <c r="EKC928" s="509"/>
      <c r="EKD928" s="509"/>
      <c r="EKE928" s="509"/>
      <c r="EKF928" s="69"/>
      <c r="EKG928" s="509"/>
      <c r="EKH928" s="380"/>
      <c r="EKI928" s="381"/>
      <c r="EKJ928" s="509"/>
      <c r="EKK928" s="509"/>
      <c r="EKL928" s="509"/>
      <c r="EKM928" s="69"/>
      <c r="EKN928" s="509"/>
      <c r="EKO928" s="380"/>
      <c r="EKP928" s="381"/>
      <c r="EKQ928" s="509"/>
      <c r="EKR928" s="509"/>
      <c r="EKS928" s="509"/>
      <c r="EKT928" s="69"/>
      <c r="EKU928" s="509"/>
      <c r="EKV928" s="380"/>
      <c r="EKW928" s="381"/>
      <c r="EKX928" s="509"/>
      <c r="EKY928" s="509"/>
      <c r="EKZ928" s="509"/>
      <c r="ELA928" s="69"/>
      <c r="ELB928" s="509"/>
      <c r="ELC928" s="380"/>
      <c r="ELD928" s="381"/>
      <c r="ELE928" s="509"/>
      <c r="ELF928" s="509"/>
      <c r="ELG928" s="509"/>
      <c r="ELH928" s="69"/>
      <c r="ELI928" s="509"/>
      <c r="ELJ928" s="380"/>
      <c r="ELK928" s="381"/>
      <c r="ELL928" s="509"/>
      <c r="ELM928" s="509"/>
      <c r="ELN928" s="509"/>
      <c r="ELO928" s="69"/>
      <c r="ELP928" s="509"/>
      <c r="ELQ928" s="380"/>
      <c r="ELR928" s="381"/>
      <c r="ELS928" s="509"/>
      <c r="ELT928" s="509"/>
      <c r="ELU928" s="509"/>
      <c r="ELV928" s="69"/>
      <c r="ELW928" s="509"/>
      <c r="ELX928" s="380"/>
      <c r="ELY928" s="381"/>
      <c r="ELZ928" s="509"/>
      <c r="EMA928" s="509"/>
      <c r="EMB928" s="509"/>
      <c r="EMC928" s="69"/>
      <c r="EMD928" s="509"/>
      <c r="EME928" s="380"/>
      <c r="EMF928" s="381"/>
      <c r="EMG928" s="509"/>
      <c r="EMH928" s="509"/>
      <c r="EMI928" s="509"/>
      <c r="EMJ928" s="69"/>
      <c r="EMK928" s="509"/>
      <c r="EML928" s="380"/>
      <c r="EMM928" s="381"/>
      <c r="EMN928" s="509"/>
      <c r="EMO928" s="509"/>
      <c r="EMP928" s="509"/>
      <c r="EMQ928" s="69"/>
      <c r="EMR928" s="509"/>
      <c r="EMS928" s="380"/>
      <c r="EMT928" s="381"/>
      <c r="EMU928" s="509"/>
      <c r="EMV928" s="509"/>
      <c r="EMW928" s="509"/>
      <c r="EMX928" s="69"/>
      <c r="EMY928" s="509"/>
      <c r="EMZ928" s="380"/>
      <c r="ENA928" s="381"/>
      <c r="ENB928" s="509"/>
      <c r="ENC928" s="509"/>
      <c r="END928" s="509"/>
      <c r="ENE928" s="69"/>
      <c r="ENF928" s="509"/>
      <c r="ENG928" s="380"/>
      <c r="ENH928" s="381"/>
      <c r="ENI928" s="509"/>
      <c r="ENJ928" s="509"/>
      <c r="ENK928" s="509"/>
      <c r="ENL928" s="69"/>
      <c r="ENM928" s="509"/>
      <c r="ENN928" s="380"/>
      <c r="ENO928" s="381"/>
      <c r="ENP928" s="509"/>
      <c r="ENQ928" s="509"/>
      <c r="ENR928" s="509"/>
      <c r="ENS928" s="69"/>
      <c r="ENT928" s="509"/>
      <c r="ENU928" s="380"/>
      <c r="ENV928" s="381"/>
      <c r="ENW928" s="509"/>
      <c r="ENX928" s="509"/>
      <c r="ENY928" s="509"/>
      <c r="ENZ928" s="69"/>
      <c r="EOA928" s="509"/>
      <c r="EOB928" s="380"/>
      <c r="EOC928" s="381"/>
      <c r="EOD928" s="509"/>
      <c r="EOE928" s="509"/>
      <c r="EOF928" s="509"/>
      <c r="EOG928" s="69"/>
      <c r="EOH928" s="509"/>
      <c r="EOI928" s="380"/>
      <c r="EOJ928" s="381"/>
      <c r="EOK928" s="509"/>
      <c r="EOL928" s="509"/>
      <c r="EOM928" s="509"/>
      <c r="EON928" s="69"/>
      <c r="EOO928" s="509"/>
      <c r="EOP928" s="380"/>
      <c r="EOQ928" s="381"/>
      <c r="EOR928" s="509"/>
      <c r="EOS928" s="509"/>
      <c r="EOT928" s="509"/>
      <c r="EOU928" s="69"/>
      <c r="EOV928" s="509"/>
      <c r="EOW928" s="380"/>
      <c r="EOX928" s="381"/>
      <c r="EOY928" s="509"/>
      <c r="EOZ928" s="509"/>
      <c r="EPA928" s="509"/>
      <c r="EPB928" s="69"/>
      <c r="EPC928" s="509"/>
      <c r="EPD928" s="380"/>
      <c r="EPE928" s="381"/>
      <c r="EPF928" s="509"/>
      <c r="EPG928" s="509"/>
      <c r="EPH928" s="509"/>
      <c r="EPI928" s="69"/>
      <c r="EPJ928" s="509"/>
      <c r="EPK928" s="380"/>
      <c r="EPL928" s="381"/>
      <c r="EPM928" s="509"/>
      <c r="EPN928" s="509"/>
      <c r="EPO928" s="509"/>
      <c r="EPP928" s="69"/>
      <c r="EPQ928" s="509"/>
      <c r="EPR928" s="380"/>
      <c r="EPS928" s="381"/>
      <c r="EPT928" s="509"/>
      <c r="EPU928" s="509"/>
      <c r="EPV928" s="509"/>
      <c r="EPW928" s="69"/>
      <c r="EPX928" s="509"/>
      <c r="EPY928" s="380"/>
      <c r="EPZ928" s="381"/>
      <c r="EQA928" s="509"/>
      <c r="EQB928" s="509"/>
      <c r="EQC928" s="509"/>
      <c r="EQD928" s="69"/>
      <c r="EQE928" s="509"/>
      <c r="EQF928" s="380"/>
      <c r="EQG928" s="381"/>
      <c r="EQH928" s="509"/>
      <c r="EQI928" s="509"/>
      <c r="EQJ928" s="509"/>
      <c r="EQK928" s="69"/>
      <c r="EQL928" s="509"/>
      <c r="EQM928" s="380"/>
      <c r="EQN928" s="381"/>
      <c r="EQO928" s="509"/>
      <c r="EQP928" s="509"/>
      <c r="EQQ928" s="509"/>
      <c r="EQR928" s="69"/>
      <c r="EQS928" s="509"/>
      <c r="EQT928" s="380"/>
      <c r="EQU928" s="381"/>
      <c r="EQV928" s="509"/>
      <c r="EQW928" s="509"/>
      <c r="EQX928" s="509"/>
      <c r="EQY928" s="69"/>
      <c r="EQZ928" s="509"/>
      <c r="ERA928" s="380"/>
      <c r="ERB928" s="381"/>
      <c r="ERC928" s="509"/>
      <c r="ERD928" s="509"/>
      <c r="ERE928" s="509"/>
      <c r="ERF928" s="69"/>
      <c r="ERG928" s="509"/>
      <c r="ERH928" s="380"/>
      <c r="ERI928" s="381"/>
      <c r="ERJ928" s="509"/>
      <c r="ERK928" s="509"/>
      <c r="ERL928" s="509"/>
      <c r="ERM928" s="69"/>
      <c r="ERN928" s="509"/>
      <c r="ERO928" s="380"/>
      <c r="ERP928" s="381"/>
      <c r="ERQ928" s="509"/>
      <c r="ERR928" s="509"/>
      <c r="ERS928" s="509"/>
      <c r="ERT928" s="69"/>
      <c r="ERU928" s="509"/>
      <c r="ERV928" s="380"/>
      <c r="ERW928" s="381"/>
      <c r="ERX928" s="509"/>
      <c r="ERY928" s="509"/>
      <c r="ERZ928" s="509"/>
      <c r="ESA928" s="69"/>
      <c r="ESB928" s="509"/>
      <c r="ESC928" s="380"/>
      <c r="ESD928" s="381"/>
      <c r="ESE928" s="509"/>
      <c r="ESF928" s="509"/>
      <c r="ESG928" s="509"/>
      <c r="ESH928" s="69"/>
      <c r="ESI928" s="509"/>
      <c r="ESJ928" s="380"/>
      <c r="ESK928" s="381"/>
      <c r="ESL928" s="509"/>
      <c r="ESM928" s="509"/>
      <c r="ESN928" s="509"/>
      <c r="ESO928" s="69"/>
      <c r="ESP928" s="509"/>
      <c r="ESQ928" s="380"/>
      <c r="ESR928" s="381"/>
      <c r="ESS928" s="509"/>
      <c r="EST928" s="509"/>
      <c r="ESU928" s="509"/>
      <c r="ESV928" s="69"/>
      <c r="ESW928" s="509"/>
      <c r="ESX928" s="380"/>
      <c r="ESY928" s="381"/>
      <c r="ESZ928" s="509"/>
      <c r="ETA928" s="509"/>
      <c r="ETB928" s="509"/>
      <c r="ETC928" s="69"/>
      <c r="ETD928" s="509"/>
      <c r="ETE928" s="380"/>
      <c r="ETF928" s="381"/>
      <c r="ETG928" s="509"/>
      <c r="ETH928" s="509"/>
      <c r="ETI928" s="509"/>
      <c r="ETJ928" s="69"/>
      <c r="ETK928" s="509"/>
      <c r="ETL928" s="380"/>
      <c r="ETM928" s="381"/>
      <c r="ETN928" s="509"/>
      <c r="ETO928" s="509"/>
      <c r="ETP928" s="509"/>
      <c r="ETQ928" s="69"/>
      <c r="ETR928" s="509"/>
      <c r="ETS928" s="380"/>
      <c r="ETT928" s="381"/>
      <c r="ETU928" s="509"/>
      <c r="ETV928" s="509"/>
      <c r="ETW928" s="509"/>
      <c r="ETX928" s="69"/>
      <c r="ETY928" s="509"/>
      <c r="ETZ928" s="380"/>
      <c r="EUA928" s="381"/>
      <c r="EUB928" s="509"/>
      <c r="EUC928" s="509"/>
      <c r="EUD928" s="509"/>
      <c r="EUE928" s="69"/>
      <c r="EUF928" s="509"/>
      <c r="EUG928" s="380"/>
      <c r="EUH928" s="381"/>
      <c r="EUI928" s="509"/>
      <c r="EUJ928" s="509"/>
      <c r="EUK928" s="509"/>
      <c r="EUL928" s="69"/>
      <c r="EUM928" s="509"/>
      <c r="EUN928" s="380"/>
      <c r="EUO928" s="381"/>
      <c r="EUP928" s="509"/>
      <c r="EUQ928" s="509"/>
      <c r="EUR928" s="509"/>
      <c r="EUS928" s="69"/>
      <c r="EUT928" s="509"/>
      <c r="EUU928" s="380"/>
      <c r="EUV928" s="381"/>
      <c r="EUW928" s="509"/>
      <c r="EUX928" s="509"/>
      <c r="EUY928" s="509"/>
      <c r="EUZ928" s="69"/>
      <c r="EVA928" s="509"/>
      <c r="EVB928" s="380"/>
      <c r="EVC928" s="381"/>
      <c r="EVD928" s="509"/>
      <c r="EVE928" s="509"/>
      <c r="EVF928" s="509"/>
      <c r="EVG928" s="69"/>
      <c r="EVH928" s="509"/>
      <c r="EVI928" s="380"/>
      <c r="EVJ928" s="381"/>
      <c r="EVK928" s="509"/>
      <c r="EVL928" s="509"/>
      <c r="EVM928" s="509"/>
      <c r="EVN928" s="69"/>
      <c r="EVO928" s="509"/>
      <c r="EVP928" s="380"/>
      <c r="EVQ928" s="381"/>
      <c r="EVR928" s="509"/>
      <c r="EVS928" s="509"/>
      <c r="EVT928" s="509"/>
      <c r="EVU928" s="69"/>
      <c r="EVV928" s="509"/>
      <c r="EVW928" s="380"/>
      <c r="EVX928" s="381"/>
      <c r="EVY928" s="509"/>
      <c r="EVZ928" s="509"/>
      <c r="EWA928" s="509"/>
      <c r="EWB928" s="69"/>
      <c r="EWC928" s="509"/>
      <c r="EWD928" s="380"/>
      <c r="EWE928" s="381"/>
      <c r="EWF928" s="509"/>
      <c r="EWG928" s="509"/>
      <c r="EWH928" s="509"/>
      <c r="EWI928" s="69"/>
      <c r="EWJ928" s="509"/>
      <c r="EWK928" s="380"/>
      <c r="EWL928" s="381"/>
      <c r="EWM928" s="509"/>
      <c r="EWN928" s="509"/>
      <c r="EWO928" s="509"/>
      <c r="EWP928" s="69"/>
      <c r="EWQ928" s="509"/>
      <c r="EWR928" s="380"/>
      <c r="EWS928" s="381"/>
      <c r="EWT928" s="509"/>
      <c r="EWU928" s="509"/>
      <c r="EWV928" s="509"/>
      <c r="EWW928" s="69"/>
      <c r="EWX928" s="509"/>
      <c r="EWY928" s="380"/>
      <c r="EWZ928" s="381"/>
      <c r="EXA928" s="509"/>
      <c r="EXB928" s="509"/>
      <c r="EXC928" s="509"/>
      <c r="EXD928" s="69"/>
      <c r="EXE928" s="509"/>
      <c r="EXF928" s="380"/>
      <c r="EXG928" s="381"/>
      <c r="EXH928" s="509"/>
      <c r="EXI928" s="509"/>
      <c r="EXJ928" s="509"/>
      <c r="EXK928" s="69"/>
      <c r="EXL928" s="509"/>
      <c r="EXM928" s="380"/>
      <c r="EXN928" s="381"/>
      <c r="EXO928" s="509"/>
      <c r="EXP928" s="509"/>
      <c r="EXQ928" s="509"/>
      <c r="EXR928" s="69"/>
      <c r="EXS928" s="509"/>
      <c r="EXT928" s="380"/>
      <c r="EXU928" s="381"/>
      <c r="EXV928" s="509"/>
      <c r="EXW928" s="509"/>
      <c r="EXX928" s="509"/>
      <c r="EXY928" s="69"/>
      <c r="EXZ928" s="509"/>
      <c r="EYA928" s="380"/>
      <c r="EYB928" s="381"/>
      <c r="EYC928" s="509"/>
      <c r="EYD928" s="509"/>
      <c r="EYE928" s="509"/>
      <c r="EYF928" s="69"/>
      <c r="EYG928" s="509"/>
      <c r="EYH928" s="380"/>
      <c r="EYI928" s="381"/>
      <c r="EYJ928" s="509"/>
      <c r="EYK928" s="509"/>
      <c r="EYL928" s="509"/>
      <c r="EYM928" s="69"/>
      <c r="EYN928" s="509"/>
      <c r="EYO928" s="380"/>
      <c r="EYP928" s="381"/>
      <c r="EYQ928" s="509"/>
      <c r="EYR928" s="509"/>
      <c r="EYS928" s="509"/>
      <c r="EYT928" s="69"/>
      <c r="EYU928" s="509"/>
      <c r="EYV928" s="380"/>
      <c r="EYW928" s="381"/>
      <c r="EYX928" s="509"/>
      <c r="EYY928" s="509"/>
      <c r="EYZ928" s="509"/>
      <c r="EZA928" s="69"/>
      <c r="EZB928" s="509"/>
      <c r="EZC928" s="380"/>
      <c r="EZD928" s="381"/>
      <c r="EZE928" s="509"/>
      <c r="EZF928" s="509"/>
      <c r="EZG928" s="509"/>
      <c r="EZH928" s="69"/>
      <c r="EZI928" s="509"/>
      <c r="EZJ928" s="380"/>
      <c r="EZK928" s="381"/>
      <c r="EZL928" s="509"/>
      <c r="EZM928" s="509"/>
      <c r="EZN928" s="509"/>
      <c r="EZO928" s="69"/>
      <c r="EZP928" s="509"/>
      <c r="EZQ928" s="380"/>
      <c r="EZR928" s="381"/>
      <c r="EZS928" s="509"/>
      <c r="EZT928" s="509"/>
      <c r="EZU928" s="509"/>
      <c r="EZV928" s="69"/>
      <c r="EZW928" s="509"/>
      <c r="EZX928" s="380"/>
      <c r="EZY928" s="381"/>
      <c r="EZZ928" s="509"/>
      <c r="FAA928" s="509"/>
      <c r="FAB928" s="509"/>
      <c r="FAC928" s="69"/>
      <c r="FAD928" s="509"/>
      <c r="FAE928" s="380"/>
      <c r="FAF928" s="381"/>
      <c r="FAG928" s="509"/>
      <c r="FAH928" s="509"/>
      <c r="FAI928" s="509"/>
      <c r="FAJ928" s="69"/>
      <c r="FAK928" s="509"/>
      <c r="FAL928" s="380"/>
      <c r="FAM928" s="381"/>
      <c r="FAN928" s="509"/>
      <c r="FAO928" s="509"/>
      <c r="FAP928" s="509"/>
      <c r="FAQ928" s="69"/>
      <c r="FAR928" s="509"/>
      <c r="FAS928" s="380"/>
      <c r="FAT928" s="381"/>
      <c r="FAU928" s="509"/>
      <c r="FAV928" s="509"/>
      <c r="FAW928" s="509"/>
      <c r="FAX928" s="69"/>
      <c r="FAY928" s="509"/>
      <c r="FAZ928" s="380"/>
      <c r="FBA928" s="381"/>
      <c r="FBB928" s="509"/>
      <c r="FBC928" s="509"/>
      <c r="FBD928" s="509"/>
      <c r="FBE928" s="69"/>
      <c r="FBF928" s="509"/>
      <c r="FBG928" s="380"/>
      <c r="FBH928" s="381"/>
      <c r="FBI928" s="509"/>
      <c r="FBJ928" s="509"/>
      <c r="FBK928" s="509"/>
      <c r="FBL928" s="69"/>
      <c r="FBM928" s="509"/>
      <c r="FBN928" s="380"/>
      <c r="FBO928" s="381"/>
      <c r="FBP928" s="509"/>
      <c r="FBQ928" s="509"/>
      <c r="FBR928" s="509"/>
      <c r="FBS928" s="69"/>
      <c r="FBT928" s="509"/>
      <c r="FBU928" s="380"/>
      <c r="FBV928" s="381"/>
      <c r="FBW928" s="509"/>
      <c r="FBX928" s="509"/>
      <c r="FBY928" s="509"/>
      <c r="FBZ928" s="69"/>
      <c r="FCA928" s="509"/>
      <c r="FCB928" s="380"/>
      <c r="FCC928" s="381"/>
      <c r="FCD928" s="509"/>
      <c r="FCE928" s="509"/>
      <c r="FCF928" s="509"/>
      <c r="FCG928" s="69"/>
      <c r="FCH928" s="509"/>
      <c r="FCI928" s="380"/>
      <c r="FCJ928" s="381"/>
      <c r="FCK928" s="509"/>
      <c r="FCL928" s="509"/>
      <c r="FCM928" s="509"/>
      <c r="FCN928" s="69"/>
      <c r="FCO928" s="509"/>
      <c r="FCP928" s="380"/>
      <c r="FCQ928" s="381"/>
      <c r="FCR928" s="509"/>
      <c r="FCS928" s="509"/>
      <c r="FCT928" s="509"/>
      <c r="FCU928" s="69"/>
      <c r="FCV928" s="509"/>
      <c r="FCW928" s="380"/>
      <c r="FCX928" s="381"/>
      <c r="FCY928" s="509"/>
      <c r="FCZ928" s="509"/>
      <c r="FDA928" s="509"/>
      <c r="FDB928" s="69"/>
      <c r="FDC928" s="509"/>
      <c r="FDD928" s="380"/>
      <c r="FDE928" s="381"/>
      <c r="FDF928" s="509"/>
      <c r="FDG928" s="509"/>
      <c r="FDH928" s="509"/>
      <c r="FDI928" s="69"/>
      <c r="FDJ928" s="509"/>
      <c r="FDK928" s="380"/>
      <c r="FDL928" s="381"/>
      <c r="FDM928" s="509"/>
      <c r="FDN928" s="509"/>
      <c r="FDO928" s="509"/>
      <c r="FDP928" s="69"/>
      <c r="FDQ928" s="509"/>
      <c r="FDR928" s="380"/>
      <c r="FDS928" s="381"/>
      <c r="FDT928" s="509"/>
      <c r="FDU928" s="509"/>
      <c r="FDV928" s="509"/>
      <c r="FDW928" s="69"/>
      <c r="FDX928" s="509"/>
      <c r="FDY928" s="380"/>
      <c r="FDZ928" s="381"/>
      <c r="FEA928" s="509"/>
      <c r="FEB928" s="509"/>
      <c r="FEC928" s="509"/>
      <c r="FED928" s="69"/>
      <c r="FEE928" s="509"/>
      <c r="FEF928" s="380"/>
      <c r="FEG928" s="381"/>
      <c r="FEH928" s="509"/>
      <c r="FEI928" s="509"/>
      <c r="FEJ928" s="509"/>
      <c r="FEK928" s="69"/>
      <c r="FEL928" s="509"/>
      <c r="FEM928" s="380"/>
      <c r="FEN928" s="381"/>
      <c r="FEO928" s="509"/>
      <c r="FEP928" s="509"/>
      <c r="FEQ928" s="509"/>
      <c r="FER928" s="69"/>
      <c r="FES928" s="509"/>
      <c r="FET928" s="380"/>
      <c r="FEU928" s="381"/>
      <c r="FEV928" s="509"/>
      <c r="FEW928" s="509"/>
      <c r="FEX928" s="509"/>
      <c r="FEY928" s="69"/>
      <c r="FEZ928" s="509"/>
      <c r="FFA928" s="380"/>
      <c r="FFB928" s="381"/>
      <c r="FFC928" s="509"/>
      <c r="FFD928" s="509"/>
      <c r="FFE928" s="509"/>
      <c r="FFF928" s="69"/>
      <c r="FFG928" s="509"/>
      <c r="FFH928" s="380"/>
      <c r="FFI928" s="381"/>
      <c r="FFJ928" s="509"/>
      <c r="FFK928" s="509"/>
      <c r="FFL928" s="509"/>
      <c r="FFM928" s="69"/>
      <c r="FFN928" s="509"/>
      <c r="FFO928" s="380"/>
      <c r="FFP928" s="381"/>
      <c r="FFQ928" s="509"/>
      <c r="FFR928" s="509"/>
      <c r="FFS928" s="509"/>
      <c r="FFT928" s="69"/>
      <c r="FFU928" s="509"/>
      <c r="FFV928" s="380"/>
      <c r="FFW928" s="381"/>
      <c r="FFX928" s="509"/>
      <c r="FFY928" s="509"/>
      <c r="FFZ928" s="509"/>
      <c r="FGA928" s="69"/>
      <c r="FGB928" s="509"/>
      <c r="FGC928" s="380"/>
      <c r="FGD928" s="381"/>
      <c r="FGE928" s="509"/>
      <c r="FGF928" s="509"/>
      <c r="FGG928" s="509"/>
      <c r="FGH928" s="69"/>
      <c r="FGI928" s="509"/>
      <c r="FGJ928" s="380"/>
      <c r="FGK928" s="381"/>
      <c r="FGL928" s="509"/>
      <c r="FGM928" s="509"/>
      <c r="FGN928" s="509"/>
      <c r="FGO928" s="69"/>
      <c r="FGP928" s="509"/>
      <c r="FGQ928" s="380"/>
      <c r="FGR928" s="381"/>
      <c r="FGS928" s="509"/>
      <c r="FGT928" s="509"/>
      <c r="FGU928" s="509"/>
      <c r="FGV928" s="69"/>
      <c r="FGW928" s="509"/>
      <c r="FGX928" s="380"/>
      <c r="FGY928" s="381"/>
      <c r="FGZ928" s="509"/>
      <c r="FHA928" s="509"/>
      <c r="FHB928" s="509"/>
      <c r="FHC928" s="69"/>
      <c r="FHD928" s="509"/>
      <c r="FHE928" s="380"/>
      <c r="FHF928" s="381"/>
      <c r="FHG928" s="509"/>
      <c r="FHH928" s="509"/>
      <c r="FHI928" s="509"/>
      <c r="FHJ928" s="69"/>
      <c r="FHK928" s="509"/>
      <c r="FHL928" s="380"/>
      <c r="FHM928" s="381"/>
      <c r="FHN928" s="509"/>
      <c r="FHO928" s="509"/>
      <c r="FHP928" s="509"/>
      <c r="FHQ928" s="69"/>
      <c r="FHR928" s="509"/>
      <c r="FHS928" s="380"/>
      <c r="FHT928" s="381"/>
      <c r="FHU928" s="509"/>
      <c r="FHV928" s="509"/>
      <c r="FHW928" s="509"/>
      <c r="FHX928" s="69"/>
      <c r="FHY928" s="509"/>
      <c r="FHZ928" s="380"/>
      <c r="FIA928" s="381"/>
      <c r="FIB928" s="509"/>
      <c r="FIC928" s="509"/>
      <c r="FID928" s="509"/>
      <c r="FIE928" s="69"/>
      <c r="FIF928" s="509"/>
      <c r="FIG928" s="380"/>
      <c r="FIH928" s="381"/>
      <c r="FII928" s="509"/>
      <c r="FIJ928" s="509"/>
      <c r="FIK928" s="509"/>
      <c r="FIL928" s="69"/>
      <c r="FIM928" s="509"/>
      <c r="FIN928" s="380"/>
      <c r="FIO928" s="381"/>
      <c r="FIP928" s="509"/>
      <c r="FIQ928" s="509"/>
      <c r="FIR928" s="509"/>
      <c r="FIS928" s="69"/>
      <c r="FIT928" s="509"/>
      <c r="FIU928" s="380"/>
      <c r="FIV928" s="381"/>
      <c r="FIW928" s="509"/>
      <c r="FIX928" s="509"/>
      <c r="FIY928" s="509"/>
      <c r="FIZ928" s="69"/>
      <c r="FJA928" s="509"/>
      <c r="FJB928" s="380"/>
      <c r="FJC928" s="381"/>
      <c r="FJD928" s="509"/>
      <c r="FJE928" s="509"/>
      <c r="FJF928" s="509"/>
      <c r="FJG928" s="69"/>
      <c r="FJH928" s="509"/>
      <c r="FJI928" s="380"/>
      <c r="FJJ928" s="381"/>
      <c r="FJK928" s="509"/>
      <c r="FJL928" s="509"/>
      <c r="FJM928" s="509"/>
      <c r="FJN928" s="69"/>
      <c r="FJO928" s="509"/>
      <c r="FJP928" s="380"/>
      <c r="FJQ928" s="381"/>
      <c r="FJR928" s="509"/>
      <c r="FJS928" s="509"/>
      <c r="FJT928" s="509"/>
      <c r="FJU928" s="69"/>
      <c r="FJV928" s="509"/>
      <c r="FJW928" s="380"/>
      <c r="FJX928" s="381"/>
      <c r="FJY928" s="509"/>
      <c r="FJZ928" s="509"/>
      <c r="FKA928" s="509"/>
      <c r="FKB928" s="69"/>
      <c r="FKC928" s="509"/>
      <c r="FKD928" s="380"/>
      <c r="FKE928" s="381"/>
      <c r="FKF928" s="509"/>
      <c r="FKG928" s="509"/>
      <c r="FKH928" s="509"/>
      <c r="FKI928" s="69"/>
      <c r="FKJ928" s="509"/>
      <c r="FKK928" s="380"/>
      <c r="FKL928" s="381"/>
      <c r="FKM928" s="509"/>
      <c r="FKN928" s="509"/>
      <c r="FKO928" s="509"/>
      <c r="FKP928" s="69"/>
      <c r="FKQ928" s="509"/>
      <c r="FKR928" s="380"/>
      <c r="FKS928" s="381"/>
      <c r="FKT928" s="509"/>
      <c r="FKU928" s="509"/>
      <c r="FKV928" s="509"/>
      <c r="FKW928" s="69"/>
      <c r="FKX928" s="509"/>
      <c r="FKY928" s="380"/>
      <c r="FKZ928" s="381"/>
      <c r="FLA928" s="509"/>
      <c r="FLB928" s="509"/>
      <c r="FLC928" s="509"/>
      <c r="FLD928" s="69"/>
      <c r="FLE928" s="509"/>
      <c r="FLF928" s="380"/>
      <c r="FLG928" s="381"/>
      <c r="FLH928" s="509"/>
      <c r="FLI928" s="509"/>
      <c r="FLJ928" s="509"/>
      <c r="FLK928" s="69"/>
      <c r="FLL928" s="509"/>
      <c r="FLM928" s="380"/>
      <c r="FLN928" s="381"/>
      <c r="FLO928" s="509"/>
      <c r="FLP928" s="509"/>
      <c r="FLQ928" s="509"/>
      <c r="FLR928" s="69"/>
      <c r="FLS928" s="509"/>
      <c r="FLT928" s="380"/>
      <c r="FLU928" s="381"/>
      <c r="FLV928" s="509"/>
      <c r="FLW928" s="509"/>
      <c r="FLX928" s="509"/>
      <c r="FLY928" s="69"/>
      <c r="FLZ928" s="509"/>
      <c r="FMA928" s="380"/>
      <c r="FMB928" s="381"/>
      <c r="FMC928" s="509"/>
      <c r="FMD928" s="509"/>
      <c r="FME928" s="509"/>
      <c r="FMF928" s="69"/>
      <c r="FMG928" s="509"/>
      <c r="FMH928" s="380"/>
      <c r="FMI928" s="381"/>
      <c r="FMJ928" s="509"/>
      <c r="FMK928" s="509"/>
      <c r="FML928" s="509"/>
      <c r="FMM928" s="69"/>
      <c r="FMN928" s="509"/>
      <c r="FMO928" s="380"/>
      <c r="FMP928" s="381"/>
      <c r="FMQ928" s="509"/>
      <c r="FMR928" s="509"/>
      <c r="FMS928" s="509"/>
      <c r="FMT928" s="69"/>
      <c r="FMU928" s="509"/>
      <c r="FMV928" s="380"/>
      <c r="FMW928" s="381"/>
      <c r="FMX928" s="509"/>
      <c r="FMY928" s="509"/>
      <c r="FMZ928" s="509"/>
      <c r="FNA928" s="69"/>
      <c r="FNB928" s="509"/>
      <c r="FNC928" s="380"/>
      <c r="FND928" s="381"/>
      <c r="FNE928" s="509"/>
      <c r="FNF928" s="509"/>
      <c r="FNG928" s="509"/>
      <c r="FNH928" s="69"/>
      <c r="FNI928" s="509"/>
      <c r="FNJ928" s="380"/>
      <c r="FNK928" s="381"/>
      <c r="FNL928" s="509"/>
      <c r="FNM928" s="509"/>
      <c r="FNN928" s="509"/>
      <c r="FNO928" s="69"/>
      <c r="FNP928" s="509"/>
      <c r="FNQ928" s="380"/>
      <c r="FNR928" s="381"/>
      <c r="FNS928" s="509"/>
      <c r="FNT928" s="509"/>
      <c r="FNU928" s="509"/>
      <c r="FNV928" s="69"/>
      <c r="FNW928" s="509"/>
      <c r="FNX928" s="380"/>
      <c r="FNY928" s="381"/>
      <c r="FNZ928" s="509"/>
      <c r="FOA928" s="509"/>
      <c r="FOB928" s="509"/>
      <c r="FOC928" s="69"/>
      <c r="FOD928" s="509"/>
      <c r="FOE928" s="380"/>
      <c r="FOF928" s="381"/>
      <c r="FOG928" s="509"/>
      <c r="FOH928" s="509"/>
      <c r="FOI928" s="509"/>
      <c r="FOJ928" s="69"/>
      <c r="FOK928" s="509"/>
      <c r="FOL928" s="380"/>
      <c r="FOM928" s="381"/>
      <c r="FON928" s="509"/>
      <c r="FOO928" s="509"/>
      <c r="FOP928" s="509"/>
      <c r="FOQ928" s="69"/>
      <c r="FOR928" s="509"/>
      <c r="FOS928" s="380"/>
      <c r="FOT928" s="381"/>
      <c r="FOU928" s="509"/>
      <c r="FOV928" s="509"/>
      <c r="FOW928" s="509"/>
      <c r="FOX928" s="69"/>
      <c r="FOY928" s="509"/>
      <c r="FOZ928" s="380"/>
      <c r="FPA928" s="381"/>
      <c r="FPB928" s="509"/>
      <c r="FPC928" s="509"/>
      <c r="FPD928" s="509"/>
      <c r="FPE928" s="69"/>
      <c r="FPF928" s="509"/>
      <c r="FPG928" s="380"/>
      <c r="FPH928" s="381"/>
      <c r="FPI928" s="509"/>
      <c r="FPJ928" s="509"/>
      <c r="FPK928" s="509"/>
      <c r="FPL928" s="69"/>
      <c r="FPM928" s="509"/>
      <c r="FPN928" s="380"/>
      <c r="FPO928" s="381"/>
      <c r="FPP928" s="509"/>
      <c r="FPQ928" s="509"/>
      <c r="FPR928" s="509"/>
      <c r="FPS928" s="69"/>
      <c r="FPT928" s="509"/>
      <c r="FPU928" s="380"/>
      <c r="FPV928" s="381"/>
      <c r="FPW928" s="509"/>
      <c r="FPX928" s="509"/>
      <c r="FPY928" s="509"/>
      <c r="FPZ928" s="69"/>
      <c r="FQA928" s="509"/>
      <c r="FQB928" s="380"/>
      <c r="FQC928" s="381"/>
      <c r="FQD928" s="509"/>
      <c r="FQE928" s="509"/>
      <c r="FQF928" s="509"/>
      <c r="FQG928" s="69"/>
      <c r="FQH928" s="509"/>
      <c r="FQI928" s="380"/>
      <c r="FQJ928" s="381"/>
      <c r="FQK928" s="509"/>
      <c r="FQL928" s="509"/>
      <c r="FQM928" s="509"/>
      <c r="FQN928" s="69"/>
      <c r="FQO928" s="509"/>
      <c r="FQP928" s="380"/>
      <c r="FQQ928" s="381"/>
      <c r="FQR928" s="509"/>
      <c r="FQS928" s="509"/>
      <c r="FQT928" s="509"/>
      <c r="FQU928" s="69"/>
      <c r="FQV928" s="509"/>
      <c r="FQW928" s="380"/>
      <c r="FQX928" s="381"/>
      <c r="FQY928" s="509"/>
      <c r="FQZ928" s="509"/>
      <c r="FRA928" s="509"/>
      <c r="FRB928" s="69"/>
      <c r="FRC928" s="509"/>
      <c r="FRD928" s="380"/>
      <c r="FRE928" s="381"/>
      <c r="FRF928" s="509"/>
      <c r="FRG928" s="509"/>
      <c r="FRH928" s="509"/>
      <c r="FRI928" s="69"/>
      <c r="FRJ928" s="509"/>
      <c r="FRK928" s="380"/>
      <c r="FRL928" s="381"/>
      <c r="FRM928" s="509"/>
      <c r="FRN928" s="509"/>
      <c r="FRO928" s="509"/>
      <c r="FRP928" s="69"/>
      <c r="FRQ928" s="509"/>
      <c r="FRR928" s="380"/>
      <c r="FRS928" s="381"/>
      <c r="FRT928" s="509"/>
      <c r="FRU928" s="509"/>
      <c r="FRV928" s="509"/>
      <c r="FRW928" s="69"/>
      <c r="FRX928" s="509"/>
      <c r="FRY928" s="380"/>
      <c r="FRZ928" s="381"/>
      <c r="FSA928" s="509"/>
      <c r="FSB928" s="509"/>
      <c r="FSC928" s="509"/>
      <c r="FSD928" s="69"/>
      <c r="FSE928" s="509"/>
      <c r="FSF928" s="380"/>
      <c r="FSG928" s="381"/>
      <c r="FSH928" s="509"/>
      <c r="FSI928" s="509"/>
      <c r="FSJ928" s="509"/>
      <c r="FSK928" s="69"/>
      <c r="FSL928" s="509"/>
      <c r="FSM928" s="380"/>
      <c r="FSN928" s="381"/>
      <c r="FSO928" s="509"/>
      <c r="FSP928" s="509"/>
      <c r="FSQ928" s="509"/>
      <c r="FSR928" s="69"/>
      <c r="FSS928" s="509"/>
      <c r="FST928" s="380"/>
      <c r="FSU928" s="381"/>
      <c r="FSV928" s="509"/>
      <c r="FSW928" s="509"/>
      <c r="FSX928" s="509"/>
      <c r="FSY928" s="69"/>
      <c r="FSZ928" s="509"/>
      <c r="FTA928" s="380"/>
      <c r="FTB928" s="381"/>
      <c r="FTC928" s="509"/>
      <c r="FTD928" s="509"/>
      <c r="FTE928" s="509"/>
      <c r="FTF928" s="69"/>
      <c r="FTG928" s="509"/>
      <c r="FTH928" s="380"/>
      <c r="FTI928" s="381"/>
      <c r="FTJ928" s="509"/>
      <c r="FTK928" s="509"/>
      <c r="FTL928" s="509"/>
      <c r="FTM928" s="69"/>
      <c r="FTN928" s="509"/>
      <c r="FTO928" s="380"/>
      <c r="FTP928" s="381"/>
      <c r="FTQ928" s="509"/>
      <c r="FTR928" s="509"/>
      <c r="FTS928" s="509"/>
      <c r="FTT928" s="69"/>
      <c r="FTU928" s="509"/>
      <c r="FTV928" s="380"/>
      <c r="FTW928" s="381"/>
      <c r="FTX928" s="509"/>
      <c r="FTY928" s="509"/>
      <c r="FTZ928" s="509"/>
      <c r="FUA928" s="69"/>
      <c r="FUB928" s="509"/>
      <c r="FUC928" s="380"/>
      <c r="FUD928" s="381"/>
      <c r="FUE928" s="509"/>
      <c r="FUF928" s="509"/>
      <c r="FUG928" s="509"/>
      <c r="FUH928" s="69"/>
      <c r="FUI928" s="509"/>
      <c r="FUJ928" s="380"/>
      <c r="FUK928" s="381"/>
      <c r="FUL928" s="509"/>
      <c r="FUM928" s="509"/>
      <c r="FUN928" s="509"/>
      <c r="FUO928" s="69"/>
      <c r="FUP928" s="509"/>
      <c r="FUQ928" s="380"/>
      <c r="FUR928" s="381"/>
      <c r="FUS928" s="509"/>
      <c r="FUT928" s="509"/>
      <c r="FUU928" s="509"/>
      <c r="FUV928" s="69"/>
      <c r="FUW928" s="509"/>
      <c r="FUX928" s="380"/>
      <c r="FUY928" s="381"/>
      <c r="FUZ928" s="509"/>
      <c r="FVA928" s="509"/>
      <c r="FVB928" s="509"/>
      <c r="FVC928" s="69"/>
      <c r="FVD928" s="509"/>
      <c r="FVE928" s="380"/>
      <c r="FVF928" s="381"/>
      <c r="FVG928" s="509"/>
      <c r="FVH928" s="509"/>
      <c r="FVI928" s="509"/>
      <c r="FVJ928" s="69"/>
      <c r="FVK928" s="509"/>
      <c r="FVL928" s="380"/>
      <c r="FVM928" s="381"/>
      <c r="FVN928" s="509"/>
      <c r="FVO928" s="509"/>
      <c r="FVP928" s="509"/>
      <c r="FVQ928" s="69"/>
      <c r="FVR928" s="509"/>
      <c r="FVS928" s="380"/>
      <c r="FVT928" s="381"/>
      <c r="FVU928" s="509"/>
      <c r="FVV928" s="509"/>
      <c r="FVW928" s="509"/>
      <c r="FVX928" s="69"/>
      <c r="FVY928" s="509"/>
      <c r="FVZ928" s="380"/>
      <c r="FWA928" s="381"/>
      <c r="FWB928" s="509"/>
      <c r="FWC928" s="509"/>
      <c r="FWD928" s="509"/>
      <c r="FWE928" s="69"/>
      <c r="FWF928" s="509"/>
      <c r="FWG928" s="380"/>
      <c r="FWH928" s="381"/>
      <c r="FWI928" s="509"/>
      <c r="FWJ928" s="509"/>
      <c r="FWK928" s="509"/>
      <c r="FWL928" s="69"/>
      <c r="FWM928" s="509"/>
      <c r="FWN928" s="380"/>
      <c r="FWO928" s="381"/>
      <c r="FWP928" s="509"/>
      <c r="FWQ928" s="509"/>
      <c r="FWR928" s="509"/>
      <c r="FWS928" s="69"/>
      <c r="FWT928" s="509"/>
      <c r="FWU928" s="380"/>
      <c r="FWV928" s="381"/>
      <c r="FWW928" s="509"/>
      <c r="FWX928" s="509"/>
      <c r="FWY928" s="509"/>
      <c r="FWZ928" s="69"/>
      <c r="FXA928" s="509"/>
      <c r="FXB928" s="380"/>
      <c r="FXC928" s="381"/>
      <c r="FXD928" s="509"/>
      <c r="FXE928" s="509"/>
      <c r="FXF928" s="509"/>
      <c r="FXG928" s="69"/>
      <c r="FXH928" s="509"/>
      <c r="FXI928" s="380"/>
      <c r="FXJ928" s="381"/>
      <c r="FXK928" s="509"/>
      <c r="FXL928" s="509"/>
      <c r="FXM928" s="509"/>
      <c r="FXN928" s="69"/>
      <c r="FXO928" s="509"/>
      <c r="FXP928" s="380"/>
      <c r="FXQ928" s="381"/>
      <c r="FXR928" s="509"/>
      <c r="FXS928" s="509"/>
      <c r="FXT928" s="509"/>
      <c r="FXU928" s="69"/>
      <c r="FXV928" s="509"/>
      <c r="FXW928" s="380"/>
      <c r="FXX928" s="381"/>
      <c r="FXY928" s="509"/>
      <c r="FXZ928" s="509"/>
      <c r="FYA928" s="509"/>
      <c r="FYB928" s="69"/>
      <c r="FYC928" s="509"/>
      <c r="FYD928" s="380"/>
      <c r="FYE928" s="381"/>
      <c r="FYF928" s="509"/>
      <c r="FYG928" s="509"/>
      <c r="FYH928" s="509"/>
      <c r="FYI928" s="69"/>
      <c r="FYJ928" s="509"/>
      <c r="FYK928" s="380"/>
      <c r="FYL928" s="381"/>
      <c r="FYM928" s="509"/>
      <c r="FYN928" s="509"/>
      <c r="FYO928" s="509"/>
      <c r="FYP928" s="69"/>
      <c r="FYQ928" s="509"/>
      <c r="FYR928" s="380"/>
      <c r="FYS928" s="381"/>
      <c r="FYT928" s="509"/>
      <c r="FYU928" s="509"/>
      <c r="FYV928" s="509"/>
      <c r="FYW928" s="69"/>
      <c r="FYX928" s="509"/>
      <c r="FYY928" s="380"/>
      <c r="FYZ928" s="381"/>
      <c r="FZA928" s="509"/>
      <c r="FZB928" s="509"/>
      <c r="FZC928" s="509"/>
      <c r="FZD928" s="69"/>
      <c r="FZE928" s="509"/>
      <c r="FZF928" s="380"/>
      <c r="FZG928" s="381"/>
      <c r="FZH928" s="509"/>
      <c r="FZI928" s="509"/>
      <c r="FZJ928" s="509"/>
      <c r="FZK928" s="69"/>
      <c r="FZL928" s="509"/>
      <c r="FZM928" s="380"/>
      <c r="FZN928" s="381"/>
      <c r="FZO928" s="509"/>
      <c r="FZP928" s="509"/>
      <c r="FZQ928" s="509"/>
      <c r="FZR928" s="69"/>
      <c r="FZS928" s="509"/>
      <c r="FZT928" s="380"/>
      <c r="FZU928" s="381"/>
      <c r="FZV928" s="509"/>
      <c r="FZW928" s="509"/>
      <c r="FZX928" s="509"/>
      <c r="FZY928" s="69"/>
      <c r="FZZ928" s="509"/>
      <c r="GAA928" s="380"/>
      <c r="GAB928" s="381"/>
      <c r="GAC928" s="509"/>
      <c r="GAD928" s="509"/>
      <c r="GAE928" s="509"/>
      <c r="GAF928" s="69"/>
      <c r="GAG928" s="509"/>
      <c r="GAH928" s="380"/>
      <c r="GAI928" s="381"/>
      <c r="GAJ928" s="509"/>
      <c r="GAK928" s="509"/>
      <c r="GAL928" s="509"/>
      <c r="GAM928" s="69"/>
      <c r="GAN928" s="509"/>
      <c r="GAO928" s="380"/>
      <c r="GAP928" s="381"/>
      <c r="GAQ928" s="509"/>
      <c r="GAR928" s="509"/>
      <c r="GAS928" s="509"/>
      <c r="GAT928" s="69"/>
      <c r="GAU928" s="509"/>
      <c r="GAV928" s="380"/>
      <c r="GAW928" s="381"/>
      <c r="GAX928" s="509"/>
      <c r="GAY928" s="509"/>
      <c r="GAZ928" s="509"/>
      <c r="GBA928" s="69"/>
      <c r="GBB928" s="509"/>
      <c r="GBC928" s="380"/>
      <c r="GBD928" s="381"/>
      <c r="GBE928" s="509"/>
      <c r="GBF928" s="509"/>
      <c r="GBG928" s="509"/>
      <c r="GBH928" s="69"/>
      <c r="GBI928" s="509"/>
      <c r="GBJ928" s="380"/>
      <c r="GBK928" s="381"/>
      <c r="GBL928" s="509"/>
      <c r="GBM928" s="509"/>
      <c r="GBN928" s="509"/>
      <c r="GBO928" s="69"/>
      <c r="GBP928" s="509"/>
      <c r="GBQ928" s="380"/>
      <c r="GBR928" s="381"/>
      <c r="GBS928" s="509"/>
      <c r="GBT928" s="509"/>
      <c r="GBU928" s="509"/>
      <c r="GBV928" s="69"/>
      <c r="GBW928" s="509"/>
      <c r="GBX928" s="380"/>
      <c r="GBY928" s="381"/>
      <c r="GBZ928" s="509"/>
      <c r="GCA928" s="509"/>
      <c r="GCB928" s="509"/>
      <c r="GCC928" s="69"/>
      <c r="GCD928" s="509"/>
      <c r="GCE928" s="380"/>
      <c r="GCF928" s="381"/>
      <c r="GCG928" s="509"/>
      <c r="GCH928" s="509"/>
      <c r="GCI928" s="509"/>
      <c r="GCJ928" s="69"/>
      <c r="GCK928" s="509"/>
      <c r="GCL928" s="380"/>
      <c r="GCM928" s="381"/>
      <c r="GCN928" s="509"/>
      <c r="GCO928" s="509"/>
      <c r="GCP928" s="509"/>
      <c r="GCQ928" s="69"/>
      <c r="GCR928" s="509"/>
      <c r="GCS928" s="380"/>
      <c r="GCT928" s="381"/>
      <c r="GCU928" s="509"/>
      <c r="GCV928" s="509"/>
      <c r="GCW928" s="509"/>
      <c r="GCX928" s="69"/>
      <c r="GCY928" s="509"/>
      <c r="GCZ928" s="380"/>
      <c r="GDA928" s="381"/>
      <c r="GDB928" s="509"/>
      <c r="GDC928" s="509"/>
      <c r="GDD928" s="509"/>
      <c r="GDE928" s="69"/>
      <c r="GDF928" s="509"/>
      <c r="GDG928" s="380"/>
      <c r="GDH928" s="381"/>
      <c r="GDI928" s="509"/>
      <c r="GDJ928" s="509"/>
      <c r="GDK928" s="509"/>
      <c r="GDL928" s="69"/>
      <c r="GDM928" s="509"/>
      <c r="GDN928" s="380"/>
      <c r="GDO928" s="381"/>
      <c r="GDP928" s="509"/>
      <c r="GDQ928" s="509"/>
      <c r="GDR928" s="509"/>
      <c r="GDS928" s="69"/>
      <c r="GDT928" s="509"/>
      <c r="GDU928" s="380"/>
      <c r="GDV928" s="381"/>
      <c r="GDW928" s="509"/>
      <c r="GDX928" s="509"/>
      <c r="GDY928" s="509"/>
      <c r="GDZ928" s="69"/>
      <c r="GEA928" s="509"/>
      <c r="GEB928" s="380"/>
      <c r="GEC928" s="381"/>
      <c r="GED928" s="509"/>
      <c r="GEE928" s="509"/>
      <c r="GEF928" s="509"/>
      <c r="GEG928" s="69"/>
      <c r="GEH928" s="509"/>
      <c r="GEI928" s="380"/>
      <c r="GEJ928" s="381"/>
      <c r="GEK928" s="509"/>
      <c r="GEL928" s="509"/>
      <c r="GEM928" s="509"/>
      <c r="GEN928" s="69"/>
      <c r="GEO928" s="509"/>
      <c r="GEP928" s="380"/>
      <c r="GEQ928" s="381"/>
      <c r="GER928" s="509"/>
      <c r="GES928" s="509"/>
      <c r="GET928" s="509"/>
      <c r="GEU928" s="69"/>
      <c r="GEV928" s="509"/>
      <c r="GEW928" s="380"/>
      <c r="GEX928" s="381"/>
      <c r="GEY928" s="509"/>
      <c r="GEZ928" s="509"/>
      <c r="GFA928" s="509"/>
      <c r="GFB928" s="69"/>
      <c r="GFC928" s="509"/>
      <c r="GFD928" s="380"/>
      <c r="GFE928" s="381"/>
      <c r="GFF928" s="509"/>
      <c r="GFG928" s="509"/>
      <c r="GFH928" s="509"/>
      <c r="GFI928" s="69"/>
      <c r="GFJ928" s="509"/>
      <c r="GFK928" s="380"/>
      <c r="GFL928" s="381"/>
      <c r="GFM928" s="509"/>
      <c r="GFN928" s="509"/>
      <c r="GFO928" s="509"/>
      <c r="GFP928" s="69"/>
      <c r="GFQ928" s="509"/>
      <c r="GFR928" s="380"/>
      <c r="GFS928" s="381"/>
      <c r="GFT928" s="509"/>
      <c r="GFU928" s="509"/>
      <c r="GFV928" s="509"/>
      <c r="GFW928" s="69"/>
      <c r="GFX928" s="509"/>
      <c r="GFY928" s="380"/>
      <c r="GFZ928" s="381"/>
      <c r="GGA928" s="509"/>
      <c r="GGB928" s="509"/>
      <c r="GGC928" s="509"/>
      <c r="GGD928" s="69"/>
      <c r="GGE928" s="509"/>
      <c r="GGF928" s="380"/>
      <c r="GGG928" s="381"/>
      <c r="GGH928" s="509"/>
      <c r="GGI928" s="509"/>
      <c r="GGJ928" s="509"/>
      <c r="GGK928" s="69"/>
      <c r="GGL928" s="509"/>
      <c r="GGM928" s="380"/>
      <c r="GGN928" s="381"/>
      <c r="GGO928" s="509"/>
      <c r="GGP928" s="509"/>
      <c r="GGQ928" s="509"/>
      <c r="GGR928" s="69"/>
      <c r="GGS928" s="509"/>
      <c r="GGT928" s="380"/>
      <c r="GGU928" s="381"/>
      <c r="GGV928" s="509"/>
      <c r="GGW928" s="509"/>
      <c r="GGX928" s="509"/>
      <c r="GGY928" s="69"/>
      <c r="GGZ928" s="509"/>
      <c r="GHA928" s="380"/>
      <c r="GHB928" s="381"/>
      <c r="GHC928" s="509"/>
      <c r="GHD928" s="509"/>
      <c r="GHE928" s="509"/>
      <c r="GHF928" s="69"/>
      <c r="GHG928" s="509"/>
      <c r="GHH928" s="380"/>
      <c r="GHI928" s="381"/>
      <c r="GHJ928" s="509"/>
      <c r="GHK928" s="509"/>
      <c r="GHL928" s="509"/>
      <c r="GHM928" s="69"/>
      <c r="GHN928" s="509"/>
      <c r="GHO928" s="380"/>
      <c r="GHP928" s="381"/>
      <c r="GHQ928" s="509"/>
      <c r="GHR928" s="509"/>
      <c r="GHS928" s="509"/>
      <c r="GHT928" s="69"/>
      <c r="GHU928" s="509"/>
      <c r="GHV928" s="380"/>
      <c r="GHW928" s="381"/>
      <c r="GHX928" s="509"/>
      <c r="GHY928" s="509"/>
      <c r="GHZ928" s="509"/>
      <c r="GIA928" s="69"/>
      <c r="GIB928" s="509"/>
      <c r="GIC928" s="380"/>
      <c r="GID928" s="381"/>
      <c r="GIE928" s="509"/>
      <c r="GIF928" s="509"/>
      <c r="GIG928" s="509"/>
      <c r="GIH928" s="69"/>
      <c r="GII928" s="509"/>
      <c r="GIJ928" s="380"/>
      <c r="GIK928" s="381"/>
      <c r="GIL928" s="509"/>
      <c r="GIM928" s="509"/>
      <c r="GIN928" s="509"/>
      <c r="GIO928" s="69"/>
      <c r="GIP928" s="509"/>
      <c r="GIQ928" s="380"/>
      <c r="GIR928" s="381"/>
      <c r="GIS928" s="509"/>
      <c r="GIT928" s="509"/>
      <c r="GIU928" s="509"/>
      <c r="GIV928" s="69"/>
      <c r="GIW928" s="509"/>
      <c r="GIX928" s="380"/>
      <c r="GIY928" s="381"/>
      <c r="GIZ928" s="509"/>
      <c r="GJA928" s="509"/>
      <c r="GJB928" s="509"/>
      <c r="GJC928" s="69"/>
      <c r="GJD928" s="509"/>
      <c r="GJE928" s="380"/>
      <c r="GJF928" s="381"/>
      <c r="GJG928" s="509"/>
      <c r="GJH928" s="509"/>
      <c r="GJI928" s="509"/>
      <c r="GJJ928" s="69"/>
      <c r="GJK928" s="509"/>
      <c r="GJL928" s="380"/>
      <c r="GJM928" s="381"/>
      <c r="GJN928" s="509"/>
      <c r="GJO928" s="509"/>
      <c r="GJP928" s="509"/>
      <c r="GJQ928" s="69"/>
      <c r="GJR928" s="509"/>
      <c r="GJS928" s="380"/>
      <c r="GJT928" s="381"/>
      <c r="GJU928" s="509"/>
      <c r="GJV928" s="509"/>
      <c r="GJW928" s="509"/>
      <c r="GJX928" s="69"/>
      <c r="GJY928" s="509"/>
      <c r="GJZ928" s="380"/>
      <c r="GKA928" s="381"/>
      <c r="GKB928" s="509"/>
      <c r="GKC928" s="509"/>
      <c r="GKD928" s="509"/>
      <c r="GKE928" s="69"/>
      <c r="GKF928" s="509"/>
      <c r="GKG928" s="380"/>
      <c r="GKH928" s="381"/>
      <c r="GKI928" s="509"/>
      <c r="GKJ928" s="509"/>
      <c r="GKK928" s="509"/>
      <c r="GKL928" s="69"/>
      <c r="GKM928" s="509"/>
      <c r="GKN928" s="380"/>
      <c r="GKO928" s="381"/>
      <c r="GKP928" s="509"/>
      <c r="GKQ928" s="509"/>
      <c r="GKR928" s="509"/>
      <c r="GKS928" s="69"/>
      <c r="GKT928" s="509"/>
      <c r="GKU928" s="380"/>
      <c r="GKV928" s="381"/>
      <c r="GKW928" s="509"/>
      <c r="GKX928" s="509"/>
      <c r="GKY928" s="509"/>
      <c r="GKZ928" s="69"/>
      <c r="GLA928" s="509"/>
      <c r="GLB928" s="380"/>
      <c r="GLC928" s="381"/>
      <c r="GLD928" s="509"/>
      <c r="GLE928" s="509"/>
      <c r="GLF928" s="509"/>
      <c r="GLG928" s="69"/>
      <c r="GLH928" s="509"/>
      <c r="GLI928" s="380"/>
      <c r="GLJ928" s="381"/>
      <c r="GLK928" s="509"/>
      <c r="GLL928" s="509"/>
      <c r="GLM928" s="509"/>
      <c r="GLN928" s="69"/>
      <c r="GLO928" s="509"/>
      <c r="GLP928" s="380"/>
      <c r="GLQ928" s="381"/>
      <c r="GLR928" s="509"/>
      <c r="GLS928" s="509"/>
      <c r="GLT928" s="509"/>
      <c r="GLU928" s="69"/>
      <c r="GLV928" s="509"/>
      <c r="GLW928" s="380"/>
      <c r="GLX928" s="381"/>
      <c r="GLY928" s="509"/>
      <c r="GLZ928" s="509"/>
      <c r="GMA928" s="509"/>
      <c r="GMB928" s="69"/>
      <c r="GMC928" s="509"/>
      <c r="GMD928" s="380"/>
      <c r="GME928" s="381"/>
      <c r="GMF928" s="509"/>
      <c r="GMG928" s="509"/>
      <c r="GMH928" s="509"/>
      <c r="GMI928" s="69"/>
      <c r="GMJ928" s="509"/>
      <c r="GMK928" s="380"/>
      <c r="GML928" s="381"/>
      <c r="GMM928" s="509"/>
      <c r="GMN928" s="509"/>
      <c r="GMO928" s="509"/>
      <c r="GMP928" s="69"/>
      <c r="GMQ928" s="509"/>
      <c r="GMR928" s="380"/>
      <c r="GMS928" s="381"/>
      <c r="GMT928" s="509"/>
      <c r="GMU928" s="509"/>
      <c r="GMV928" s="509"/>
      <c r="GMW928" s="69"/>
      <c r="GMX928" s="509"/>
      <c r="GMY928" s="380"/>
      <c r="GMZ928" s="381"/>
      <c r="GNA928" s="509"/>
      <c r="GNB928" s="509"/>
      <c r="GNC928" s="509"/>
      <c r="GND928" s="69"/>
      <c r="GNE928" s="509"/>
      <c r="GNF928" s="380"/>
      <c r="GNG928" s="381"/>
      <c r="GNH928" s="509"/>
      <c r="GNI928" s="509"/>
      <c r="GNJ928" s="509"/>
      <c r="GNK928" s="69"/>
      <c r="GNL928" s="509"/>
      <c r="GNM928" s="380"/>
      <c r="GNN928" s="381"/>
      <c r="GNO928" s="509"/>
      <c r="GNP928" s="509"/>
      <c r="GNQ928" s="509"/>
      <c r="GNR928" s="69"/>
      <c r="GNS928" s="509"/>
      <c r="GNT928" s="380"/>
      <c r="GNU928" s="381"/>
      <c r="GNV928" s="509"/>
      <c r="GNW928" s="509"/>
      <c r="GNX928" s="509"/>
      <c r="GNY928" s="69"/>
      <c r="GNZ928" s="509"/>
      <c r="GOA928" s="380"/>
      <c r="GOB928" s="381"/>
      <c r="GOC928" s="509"/>
      <c r="GOD928" s="509"/>
      <c r="GOE928" s="509"/>
      <c r="GOF928" s="69"/>
      <c r="GOG928" s="509"/>
      <c r="GOH928" s="380"/>
      <c r="GOI928" s="381"/>
      <c r="GOJ928" s="509"/>
      <c r="GOK928" s="509"/>
      <c r="GOL928" s="509"/>
      <c r="GOM928" s="69"/>
      <c r="GON928" s="509"/>
      <c r="GOO928" s="380"/>
      <c r="GOP928" s="381"/>
      <c r="GOQ928" s="509"/>
      <c r="GOR928" s="509"/>
      <c r="GOS928" s="509"/>
      <c r="GOT928" s="69"/>
      <c r="GOU928" s="509"/>
      <c r="GOV928" s="380"/>
      <c r="GOW928" s="381"/>
      <c r="GOX928" s="509"/>
      <c r="GOY928" s="509"/>
      <c r="GOZ928" s="509"/>
      <c r="GPA928" s="69"/>
      <c r="GPB928" s="509"/>
      <c r="GPC928" s="380"/>
      <c r="GPD928" s="381"/>
      <c r="GPE928" s="509"/>
      <c r="GPF928" s="509"/>
      <c r="GPG928" s="509"/>
      <c r="GPH928" s="69"/>
      <c r="GPI928" s="509"/>
      <c r="GPJ928" s="380"/>
      <c r="GPK928" s="381"/>
      <c r="GPL928" s="509"/>
      <c r="GPM928" s="509"/>
      <c r="GPN928" s="509"/>
      <c r="GPO928" s="69"/>
      <c r="GPP928" s="509"/>
      <c r="GPQ928" s="380"/>
      <c r="GPR928" s="381"/>
      <c r="GPS928" s="509"/>
      <c r="GPT928" s="509"/>
      <c r="GPU928" s="509"/>
      <c r="GPV928" s="69"/>
      <c r="GPW928" s="509"/>
      <c r="GPX928" s="380"/>
      <c r="GPY928" s="381"/>
      <c r="GPZ928" s="509"/>
      <c r="GQA928" s="509"/>
      <c r="GQB928" s="509"/>
      <c r="GQC928" s="69"/>
      <c r="GQD928" s="509"/>
      <c r="GQE928" s="380"/>
      <c r="GQF928" s="381"/>
      <c r="GQG928" s="509"/>
      <c r="GQH928" s="509"/>
      <c r="GQI928" s="509"/>
      <c r="GQJ928" s="69"/>
      <c r="GQK928" s="509"/>
      <c r="GQL928" s="380"/>
      <c r="GQM928" s="381"/>
      <c r="GQN928" s="509"/>
      <c r="GQO928" s="509"/>
      <c r="GQP928" s="509"/>
      <c r="GQQ928" s="69"/>
      <c r="GQR928" s="509"/>
      <c r="GQS928" s="380"/>
      <c r="GQT928" s="381"/>
      <c r="GQU928" s="509"/>
      <c r="GQV928" s="509"/>
      <c r="GQW928" s="509"/>
      <c r="GQX928" s="69"/>
      <c r="GQY928" s="509"/>
      <c r="GQZ928" s="380"/>
      <c r="GRA928" s="381"/>
      <c r="GRB928" s="509"/>
      <c r="GRC928" s="509"/>
      <c r="GRD928" s="509"/>
      <c r="GRE928" s="69"/>
      <c r="GRF928" s="509"/>
      <c r="GRG928" s="380"/>
      <c r="GRH928" s="381"/>
      <c r="GRI928" s="509"/>
      <c r="GRJ928" s="509"/>
      <c r="GRK928" s="509"/>
      <c r="GRL928" s="69"/>
      <c r="GRM928" s="509"/>
      <c r="GRN928" s="380"/>
      <c r="GRO928" s="381"/>
      <c r="GRP928" s="509"/>
      <c r="GRQ928" s="509"/>
      <c r="GRR928" s="509"/>
      <c r="GRS928" s="69"/>
      <c r="GRT928" s="509"/>
      <c r="GRU928" s="380"/>
      <c r="GRV928" s="381"/>
      <c r="GRW928" s="509"/>
      <c r="GRX928" s="509"/>
      <c r="GRY928" s="509"/>
      <c r="GRZ928" s="69"/>
      <c r="GSA928" s="509"/>
      <c r="GSB928" s="380"/>
      <c r="GSC928" s="381"/>
      <c r="GSD928" s="509"/>
      <c r="GSE928" s="509"/>
      <c r="GSF928" s="509"/>
      <c r="GSG928" s="69"/>
      <c r="GSH928" s="509"/>
      <c r="GSI928" s="380"/>
      <c r="GSJ928" s="381"/>
      <c r="GSK928" s="509"/>
      <c r="GSL928" s="509"/>
      <c r="GSM928" s="509"/>
      <c r="GSN928" s="69"/>
      <c r="GSO928" s="509"/>
      <c r="GSP928" s="380"/>
      <c r="GSQ928" s="381"/>
      <c r="GSR928" s="509"/>
      <c r="GSS928" s="509"/>
      <c r="GST928" s="509"/>
      <c r="GSU928" s="69"/>
      <c r="GSV928" s="509"/>
      <c r="GSW928" s="380"/>
      <c r="GSX928" s="381"/>
      <c r="GSY928" s="509"/>
      <c r="GSZ928" s="509"/>
      <c r="GTA928" s="509"/>
      <c r="GTB928" s="69"/>
      <c r="GTC928" s="509"/>
      <c r="GTD928" s="380"/>
      <c r="GTE928" s="381"/>
      <c r="GTF928" s="509"/>
      <c r="GTG928" s="509"/>
      <c r="GTH928" s="509"/>
      <c r="GTI928" s="69"/>
      <c r="GTJ928" s="509"/>
      <c r="GTK928" s="380"/>
      <c r="GTL928" s="381"/>
      <c r="GTM928" s="509"/>
      <c r="GTN928" s="509"/>
      <c r="GTO928" s="509"/>
      <c r="GTP928" s="69"/>
      <c r="GTQ928" s="509"/>
      <c r="GTR928" s="380"/>
      <c r="GTS928" s="381"/>
      <c r="GTT928" s="509"/>
      <c r="GTU928" s="509"/>
      <c r="GTV928" s="509"/>
      <c r="GTW928" s="69"/>
      <c r="GTX928" s="509"/>
      <c r="GTY928" s="380"/>
      <c r="GTZ928" s="381"/>
      <c r="GUA928" s="509"/>
      <c r="GUB928" s="509"/>
      <c r="GUC928" s="509"/>
      <c r="GUD928" s="69"/>
      <c r="GUE928" s="509"/>
      <c r="GUF928" s="380"/>
      <c r="GUG928" s="381"/>
      <c r="GUH928" s="509"/>
      <c r="GUI928" s="509"/>
      <c r="GUJ928" s="509"/>
      <c r="GUK928" s="69"/>
      <c r="GUL928" s="509"/>
      <c r="GUM928" s="380"/>
      <c r="GUN928" s="381"/>
      <c r="GUO928" s="509"/>
      <c r="GUP928" s="509"/>
      <c r="GUQ928" s="509"/>
      <c r="GUR928" s="69"/>
      <c r="GUS928" s="509"/>
      <c r="GUT928" s="380"/>
      <c r="GUU928" s="381"/>
      <c r="GUV928" s="509"/>
      <c r="GUW928" s="509"/>
      <c r="GUX928" s="509"/>
      <c r="GUY928" s="69"/>
      <c r="GUZ928" s="509"/>
      <c r="GVA928" s="380"/>
      <c r="GVB928" s="381"/>
      <c r="GVC928" s="509"/>
      <c r="GVD928" s="509"/>
      <c r="GVE928" s="509"/>
      <c r="GVF928" s="69"/>
      <c r="GVG928" s="509"/>
      <c r="GVH928" s="380"/>
      <c r="GVI928" s="381"/>
      <c r="GVJ928" s="509"/>
      <c r="GVK928" s="509"/>
      <c r="GVL928" s="509"/>
      <c r="GVM928" s="69"/>
      <c r="GVN928" s="509"/>
      <c r="GVO928" s="380"/>
      <c r="GVP928" s="381"/>
      <c r="GVQ928" s="509"/>
      <c r="GVR928" s="509"/>
      <c r="GVS928" s="509"/>
      <c r="GVT928" s="69"/>
      <c r="GVU928" s="509"/>
      <c r="GVV928" s="380"/>
      <c r="GVW928" s="381"/>
      <c r="GVX928" s="509"/>
      <c r="GVY928" s="509"/>
      <c r="GVZ928" s="509"/>
      <c r="GWA928" s="69"/>
      <c r="GWB928" s="509"/>
      <c r="GWC928" s="380"/>
      <c r="GWD928" s="381"/>
      <c r="GWE928" s="509"/>
      <c r="GWF928" s="509"/>
      <c r="GWG928" s="509"/>
      <c r="GWH928" s="69"/>
      <c r="GWI928" s="509"/>
      <c r="GWJ928" s="380"/>
      <c r="GWK928" s="381"/>
      <c r="GWL928" s="509"/>
      <c r="GWM928" s="509"/>
      <c r="GWN928" s="509"/>
      <c r="GWO928" s="69"/>
      <c r="GWP928" s="509"/>
      <c r="GWQ928" s="380"/>
      <c r="GWR928" s="381"/>
      <c r="GWS928" s="509"/>
      <c r="GWT928" s="509"/>
      <c r="GWU928" s="509"/>
      <c r="GWV928" s="69"/>
      <c r="GWW928" s="509"/>
      <c r="GWX928" s="380"/>
      <c r="GWY928" s="381"/>
      <c r="GWZ928" s="509"/>
      <c r="GXA928" s="509"/>
      <c r="GXB928" s="509"/>
      <c r="GXC928" s="69"/>
      <c r="GXD928" s="509"/>
      <c r="GXE928" s="380"/>
      <c r="GXF928" s="381"/>
      <c r="GXG928" s="509"/>
      <c r="GXH928" s="509"/>
      <c r="GXI928" s="509"/>
      <c r="GXJ928" s="69"/>
      <c r="GXK928" s="509"/>
      <c r="GXL928" s="380"/>
      <c r="GXM928" s="381"/>
      <c r="GXN928" s="509"/>
      <c r="GXO928" s="509"/>
      <c r="GXP928" s="509"/>
      <c r="GXQ928" s="69"/>
      <c r="GXR928" s="509"/>
      <c r="GXS928" s="380"/>
      <c r="GXT928" s="381"/>
      <c r="GXU928" s="509"/>
      <c r="GXV928" s="509"/>
      <c r="GXW928" s="509"/>
      <c r="GXX928" s="69"/>
      <c r="GXY928" s="509"/>
      <c r="GXZ928" s="380"/>
      <c r="GYA928" s="381"/>
      <c r="GYB928" s="509"/>
      <c r="GYC928" s="509"/>
      <c r="GYD928" s="509"/>
      <c r="GYE928" s="69"/>
      <c r="GYF928" s="509"/>
      <c r="GYG928" s="380"/>
      <c r="GYH928" s="381"/>
      <c r="GYI928" s="509"/>
      <c r="GYJ928" s="509"/>
      <c r="GYK928" s="509"/>
      <c r="GYL928" s="69"/>
      <c r="GYM928" s="509"/>
      <c r="GYN928" s="380"/>
      <c r="GYO928" s="381"/>
      <c r="GYP928" s="509"/>
      <c r="GYQ928" s="509"/>
      <c r="GYR928" s="509"/>
      <c r="GYS928" s="69"/>
      <c r="GYT928" s="509"/>
      <c r="GYU928" s="380"/>
      <c r="GYV928" s="381"/>
      <c r="GYW928" s="509"/>
      <c r="GYX928" s="509"/>
      <c r="GYY928" s="509"/>
      <c r="GYZ928" s="69"/>
      <c r="GZA928" s="509"/>
      <c r="GZB928" s="380"/>
      <c r="GZC928" s="381"/>
      <c r="GZD928" s="509"/>
      <c r="GZE928" s="509"/>
      <c r="GZF928" s="509"/>
      <c r="GZG928" s="69"/>
      <c r="GZH928" s="509"/>
      <c r="GZI928" s="380"/>
      <c r="GZJ928" s="381"/>
      <c r="GZK928" s="509"/>
      <c r="GZL928" s="509"/>
      <c r="GZM928" s="509"/>
      <c r="GZN928" s="69"/>
      <c r="GZO928" s="509"/>
      <c r="GZP928" s="380"/>
      <c r="GZQ928" s="381"/>
      <c r="GZR928" s="509"/>
      <c r="GZS928" s="509"/>
      <c r="GZT928" s="509"/>
      <c r="GZU928" s="69"/>
      <c r="GZV928" s="509"/>
      <c r="GZW928" s="380"/>
      <c r="GZX928" s="381"/>
      <c r="GZY928" s="509"/>
      <c r="GZZ928" s="509"/>
      <c r="HAA928" s="509"/>
      <c r="HAB928" s="69"/>
      <c r="HAC928" s="509"/>
      <c r="HAD928" s="380"/>
      <c r="HAE928" s="381"/>
      <c r="HAF928" s="509"/>
      <c r="HAG928" s="509"/>
      <c r="HAH928" s="509"/>
      <c r="HAI928" s="69"/>
      <c r="HAJ928" s="509"/>
      <c r="HAK928" s="380"/>
      <c r="HAL928" s="381"/>
      <c r="HAM928" s="509"/>
      <c r="HAN928" s="509"/>
      <c r="HAO928" s="509"/>
      <c r="HAP928" s="69"/>
      <c r="HAQ928" s="509"/>
      <c r="HAR928" s="380"/>
      <c r="HAS928" s="381"/>
      <c r="HAT928" s="509"/>
      <c r="HAU928" s="509"/>
      <c r="HAV928" s="509"/>
      <c r="HAW928" s="69"/>
      <c r="HAX928" s="509"/>
      <c r="HAY928" s="380"/>
      <c r="HAZ928" s="381"/>
      <c r="HBA928" s="509"/>
      <c r="HBB928" s="509"/>
      <c r="HBC928" s="509"/>
      <c r="HBD928" s="69"/>
      <c r="HBE928" s="509"/>
      <c r="HBF928" s="380"/>
      <c r="HBG928" s="381"/>
      <c r="HBH928" s="509"/>
      <c r="HBI928" s="509"/>
      <c r="HBJ928" s="509"/>
      <c r="HBK928" s="69"/>
      <c r="HBL928" s="509"/>
      <c r="HBM928" s="380"/>
      <c r="HBN928" s="381"/>
      <c r="HBO928" s="509"/>
      <c r="HBP928" s="509"/>
      <c r="HBQ928" s="509"/>
      <c r="HBR928" s="69"/>
      <c r="HBS928" s="509"/>
      <c r="HBT928" s="380"/>
      <c r="HBU928" s="381"/>
      <c r="HBV928" s="509"/>
      <c r="HBW928" s="509"/>
      <c r="HBX928" s="509"/>
      <c r="HBY928" s="69"/>
      <c r="HBZ928" s="509"/>
      <c r="HCA928" s="380"/>
      <c r="HCB928" s="381"/>
      <c r="HCC928" s="509"/>
      <c r="HCD928" s="509"/>
      <c r="HCE928" s="509"/>
      <c r="HCF928" s="69"/>
      <c r="HCG928" s="509"/>
      <c r="HCH928" s="380"/>
      <c r="HCI928" s="381"/>
      <c r="HCJ928" s="509"/>
      <c r="HCK928" s="509"/>
      <c r="HCL928" s="509"/>
      <c r="HCM928" s="69"/>
      <c r="HCN928" s="509"/>
      <c r="HCO928" s="380"/>
      <c r="HCP928" s="381"/>
      <c r="HCQ928" s="509"/>
      <c r="HCR928" s="509"/>
      <c r="HCS928" s="509"/>
      <c r="HCT928" s="69"/>
      <c r="HCU928" s="509"/>
      <c r="HCV928" s="380"/>
      <c r="HCW928" s="381"/>
      <c r="HCX928" s="509"/>
      <c r="HCY928" s="509"/>
      <c r="HCZ928" s="509"/>
      <c r="HDA928" s="69"/>
      <c r="HDB928" s="509"/>
      <c r="HDC928" s="380"/>
      <c r="HDD928" s="381"/>
      <c r="HDE928" s="509"/>
      <c r="HDF928" s="509"/>
      <c r="HDG928" s="509"/>
      <c r="HDH928" s="69"/>
      <c r="HDI928" s="509"/>
      <c r="HDJ928" s="380"/>
      <c r="HDK928" s="381"/>
      <c r="HDL928" s="509"/>
      <c r="HDM928" s="509"/>
      <c r="HDN928" s="509"/>
      <c r="HDO928" s="69"/>
      <c r="HDP928" s="509"/>
      <c r="HDQ928" s="380"/>
      <c r="HDR928" s="381"/>
      <c r="HDS928" s="509"/>
      <c r="HDT928" s="509"/>
      <c r="HDU928" s="509"/>
      <c r="HDV928" s="69"/>
      <c r="HDW928" s="509"/>
      <c r="HDX928" s="380"/>
      <c r="HDY928" s="381"/>
      <c r="HDZ928" s="509"/>
      <c r="HEA928" s="509"/>
      <c r="HEB928" s="509"/>
      <c r="HEC928" s="69"/>
      <c r="HED928" s="509"/>
      <c r="HEE928" s="380"/>
      <c r="HEF928" s="381"/>
      <c r="HEG928" s="509"/>
      <c r="HEH928" s="509"/>
      <c r="HEI928" s="509"/>
      <c r="HEJ928" s="69"/>
      <c r="HEK928" s="509"/>
      <c r="HEL928" s="380"/>
      <c r="HEM928" s="381"/>
      <c r="HEN928" s="509"/>
      <c r="HEO928" s="509"/>
      <c r="HEP928" s="509"/>
      <c r="HEQ928" s="69"/>
      <c r="HER928" s="509"/>
      <c r="HES928" s="380"/>
      <c r="HET928" s="381"/>
      <c r="HEU928" s="509"/>
      <c r="HEV928" s="509"/>
      <c r="HEW928" s="509"/>
      <c r="HEX928" s="69"/>
      <c r="HEY928" s="509"/>
      <c r="HEZ928" s="380"/>
      <c r="HFA928" s="381"/>
      <c r="HFB928" s="509"/>
      <c r="HFC928" s="509"/>
      <c r="HFD928" s="509"/>
      <c r="HFE928" s="69"/>
      <c r="HFF928" s="509"/>
      <c r="HFG928" s="380"/>
      <c r="HFH928" s="381"/>
      <c r="HFI928" s="509"/>
      <c r="HFJ928" s="509"/>
      <c r="HFK928" s="509"/>
      <c r="HFL928" s="69"/>
      <c r="HFM928" s="509"/>
      <c r="HFN928" s="380"/>
      <c r="HFO928" s="381"/>
      <c r="HFP928" s="509"/>
      <c r="HFQ928" s="509"/>
      <c r="HFR928" s="509"/>
      <c r="HFS928" s="69"/>
      <c r="HFT928" s="509"/>
      <c r="HFU928" s="380"/>
      <c r="HFV928" s="381"/>
      <c r="HFW928" s="509"/>
      <c r="HFX928" s="509"/>
      <c r="HFY928" s="509"/>
      <c r="HFZ928" s="69"/>
      <c r="HGA928" s="509"/>
      <c r="HGB928" s="380"/>
      <c r="HGC928" s="381"/>
      <c r="HGD928" s="509"/>
      <c r="HGE928" s="509"/>
      <c r="HGF928" s="509"/>
      <c r="HGG928" s="69"/>
      <c r="HGH928" s="509"/>
      <c r="HGI928" s="380"/>
      <c r="HGJ928" s="381"/>
      <c r="HGK928" s="509"/>
      <c r="HGL928" s="509"/>
      <c r="HGM928" s="509"/>
      <c r="HGN928" s="69"/>
      <c r="HGO928" s="509"/>
      <c r="HGP928" s="380"/>
      <c r="HGQ928" s="381"/>
      <c r="HGR928" s="509"/>
      <c r="HGS928" s="509"/>
      <c r="HGT928" s="509"/>
      <c r="HGU928" s="69"/>
      <c r="HGV928" s="509"/>
      <c r="HGW928" s="380"/>
      <c r="HGX928" s="381"/>
      <c r="HGY928" s="509"/>
      <c r="HGZ928" s="509"/>
      <c r="HHA928" s="509"/>
      <c r="HHB928" s="69"/>
      <c r="HHC928" s="509"/>
      <c r="HHD928" s="380"/>
      <c r="HHE928" s="381"/>
      <c r="HHF928" s="509"/>
      <c r="HHG928" s="509"/>
      <c r="HHH928" s="509"/>
      <c r="HHI928" s="69"/>
      <c r="HHJ928" s="509"/>
      <c r="HHK928" s="380"/>
      <c r="HHL928" s="381"/>
      <c r="HHM928" s="509"/>
      <c r="HHN928" s="509"/>
      <c r="HHO928" s="509"/>
      <c r="HHP928" s="69"/>
      <c r="HHQ928" s="509"/>
      <c r="HHR928" s="380"/>
      <c r="HHS928" s="381"/>
      <c r="HHT928" s="509"/>
      <c r="HHU928" s="509"/>
      <c r="HHV928" s="509"/>
      <c r="HHW928" s="69"/>
      <c r="HHX928" s="509"/>
      <c r="HHY928" s="380"/>
      <c r="HHZ928" s="381"/>
      <c r="HIA928" s="509"/>
      <c r="HIB928" s="509"/>
      <c r="HIC928" s="509"/>
      <c r="HID928" s="69"/>
      <c r="HIE928" s="509"/>
      <c r="HIF928" s="380"/>
      <c r="HIG928" s="381"/>
      <c r="HIH928" s="509"/>
      <c r="HII928" s="509"/>
      <c r="HIJ928" s="509"/>
      <c r="HIK928" s="69"/>
      <c r="HIL928" s="509"/>
      <c r="HIM928" s="380"/>
      <c r="HIN928" s="381"/>
      <c r="HIO928" s="509"/>
      <c r="HIP928" s="509"/>
      <c r="HIQ928" s="509"/>
      <c r="HIR928" s="69"/>
      <c r="HIS928" s="509"/>
      <c r="HIT928" s="380"/>
      <c r="HIU928" s="381"/>
      <c r="HIV928" s="509"/>
      <c r="HIW928" s="509"/>
      <c r="HIX928" s="509"/>
      <c r="HIY928" s="69"/>
      <c r="HIZ928" s="509"/>
      <c r="HJA928" s="380"/>
      <c r="HJB928" s="381"/>
      <c r="HJC928" s="509"/>
      <c r="HJD928" s="509"/>
      <c r="HJE928" s="509"/>
      <c r="HJF928" s="69"/>
      <c r="HJG928" s="509"/>
      <c r="HJH928" s="380"/>
      <c r="HJI928" s="381"/>
      <c r="HJJ928" s="509"/>
      <c r="HJK928" s="509"/>
      <c r="HJL928" s="509"/>
      <c r="HJM928" s="69"/>
      <c r="HJN928" s="509"/>
      <c r="HJO928" s="380"/>
      <c r="HJP928" s="381"/>
      <c r="HJQ928" s="509"/>
      <c r="HJR928" s="509"/>
      <c r="HJS928" s="509"/>
      <c r="HJT928" s="69"/>
      <c r="HJU928" s="509"/>
      <c r="HJV928" s="380"/>
      <c r="HJW928" s="381"/>
      <c r="HJX928" s="509"/>
      <c r="HJY928" s="509"/>
      <c r="HJZ928" s="509"/>
      <c r="HKA928" s="69"/>
      <c r="HKB928" s="509"/>
      <c r="HKC928" s="380"/>
      <c r="HKD928" s="381"/>
      <c r="HKE928" s="509"/>
      <c r="HKF928" s="509"/>
      <c r="HKG928" s="509"/>
      <c r="HKH928" s="69"/>
      <c r="HKI928" s="509"/>
      <c r="HKJ928" s="380"/>
      <c r="HKK928" s="381"/>
      <c r="HKL928" s="509"/>
      <c r="HKM928" s="509"/>
      <c r="HKN928" s="509"/>
      <c r="HKO928" s="69"/>
      <c r="HKP928" s="509"/>
      <c r="HKQ928" s="380"/>
      <c r="HKR928" s="381"/>
      <c r="HKS928" s="509"/>
      <c r="HKT928" s="509"/>
      <c r="HKU928" s="509"/>
      <c r="HKV928" s="69"/>
      <c r="HKW928" s="509"/>
      <c r="HKX928" s="380"/>
      <c r="HKY928" s="381"/>
      <c r="HKZ928" s="509"/>
      <c r="HLA928" s="509"/>
      <c r="HLB928" s="509"/>
      <c r="HLC928" s="69"/>
      <c r="HLD928" s="509"/>
      <c r="HLE928" s="380"/>
      <c r="HLF928" s="381"/>
      <c r="HLG928" s="509"/>
      <c r="HLH928" s="509"/>
      <c r="HLI928" s="509"/>
      <c r="HLJ928" s="69"/>
      <c r="HLK928" s="509"/>
      <c r="HLL928" s="380"/>
      <c r="HLM928" s="381"/>
      <c r="HLN928" s="509"/>
      <c r="HLO928" s="509"/>
      <c r="HLP928" s="509"/>
      <c r="HLQ928" s="69"/>
      <c r="HLR928" s="509"/>
      <c r="HLS928" s="380"/>
      <c r="HLT928" s="381"/>
      <c r="HLU928" s="509"/>
      <c r="HLV928" s="509"/>
      <c r="HLW928" s="509"/>
      <c r="HLX928" s="69"/>
      <c r="HLY928" s="509"/>
      <c r="HLZ928" s="380"/>
      <c r="HMA928" s="381"/>
      <c r="HMB928" s="509"/>
      <c r="HMC928" s="509"/>
      <c r="HMD928" s="509"/>
      <c r="HME928" s="69"/>
      <c r="HMF928" s="509"/>
      <c r="HMG928" s="380"/>
      <c r="HMH928" s="381"/>
      <c r="HMI928" s="509"/>
      <c r="HMJ928" s="509"/>
      <c r="HMK928" s="509"/>
      <c r="HML928" s="69"/>
      <c r="HMM928" s="509"/>
      <c r="HMN928" s="380"/>
      <c r="HMO928" s="381"/>
      <c r="HMP928" s="509"/>
      <c r="HMQ928" s="509"/>
      <c r="HMR928" s="509"/>
      <c r="HMS928" s="69"/>
      <c r="HMT928" s="509"/>
      <c r="HMU928" s="380"/>
      <c r="HMV928" s="381"/>
      <c r="HMW928" s="509"/>
      <c r="HMX928" s="509"/>
      <c r="HMY928" s="509"/>
      <c r="HMZ928" s="69"/>
      <c r="HNA928" s="509"/>
      <c r="HNB928" s="380"/>
      <c r="HNC928" s="381"/>
      <c r="HND928" s="509"/>
      <c r="HNE928" s="509"/>
      <c r="HNF928" s="509"/>
      <c r="HNG928" s="69"/>
      <c r="HNH928" s="509"/>
      <c r="HNI928" s="380"/>
      <c r="HNJ928" s="381"/>
      <c r="HNK928" s="509"/>
      <c r="HNL928" s="509"/>
      <c r="HNM928" s="509"/>
      <c r="HNN928" s="69"/>
      <c r="HNO928" s="509"/>
      <c r="HNP928" s="380"/>
      <c r="HNQ928" s="381"/>
      <c r="HNR928" s="509"/>
      <c r="HNS928" s="509"/>
      <c r="HNT928" s="509"/>
      <c r="HNU928" s="69"/>
      <c r="HNV928" s="509"/>
      <c r="HNW928" s="380"/>
      <c r="HNX928" s="381"/>
      <c r="HNY928" s="509"/>
      <c r="HNZ928" s="509"/>
      <c r="HOA928" s="509"/>
      <c r="HOB928" s="69"/>
      <c r="HOC928" s="509"/>
      <c r="HOD928" s="380"/>
      <c r="HOE928" s="381"/>
      <c r="HOF928" s="509"/>
      <c r="HOG928" s="509"/>
      <c r="HOH928" s="509"/>
      <c r="HOI928" s="69"/>
      <c r="HOJ928" s="509"/>
      <c r="HOK928" s="380"/>
      <c r="HOL928" s="381"/>
      <c r="HOM928" s="509"/>
      <c r="HON928" s="509"/>
      <c r="HOO928" s="509"/>
      <c r="HOP928" s="69"/>
      <c r="HOQ928" s="509"/>
      <c r="HOR928" s="380"/>
      <c r="HOS928" s="381"/>
      <c r="HOT928" s="509"/>
      <c r="HOU928" s="509"/>
      <c r="HOV928" s="509"/>
      <c r="HOW928" s="69"/>
      <c r="HOX928" s="509"/>
      <c r="HOY928" s="380"/>
      <c r="HOZ928" s="381"/>
      <c r="HPA928" s="509"/>
      <c r="HPB928" s="509"/>
      <c r="HPC928" s="509"/>
      <c r="HPD928" s="69"/>
      <c r="HPE928" s="509"/>
      <c r="HPF928" s="380"/>
      <c r="HPG928" s="381"/>
      <c r="HPH928" s="509"/>
      <c r="HPI928" s="509"/>
      <c r="HPJ928" s="509"/>
      <c r="HPK928" s="69"/>
      <c r="HPL928" s="509"/>
      <c r="HPM928" s="380"/>
      <c r="HPN928" s="381"/>
      <c r="HPO928" s="509"/>
      <c r="HPP928" s="509"/>
      <c r="HPQ928" s="509"/>
      <c r="HPR928" s="69"/>
      <c r="HPS928" s="509"/>
      <c r="HPT928" s="380"/>
      <c r="HPU928" s="381"/>
      <c r="HPV928" s="509"/>
      <c r="HPW928" s="509"/>
      <c r="HPX928" s="509"/>
      <c r="HPY928" s="69"/>
      <c r="HPZ928" s="509"/>
      <c r="HQA928" s="380"/>
      <c r="HQB928" s="381"/>
      <c r="HQC928" s="509"/>
      <c r="HQD928" s="509"/>
      <c r="HQE928" s="509"/>
      <c r="HQF928" s="69"/>
      <c r="HQG928" s="509"/>
      <c r="HQH928" s="380"/>
      <c r="HQI928" s="381"/>
      <c r="HQJ928" s="509"/>
      <c r="HQK928" s="509"/>
      <c r="HQL928" s="509"/>
      <c r="HQM928" s="69"/>
      <c r="HQN928" s="509"/>
      <c r="HQO928" s="380"/>
      <c r="HQP928" s="381"/>
      <c r="HQQ928" s="509"/>
      <c r="HQR928" s="509"/>
      <c r="HQS928" s="509"/>
      <c r="HQT928" s="69"/>
      <c r="HQU928" s="509"/>
      <c r="HQV928" s="380"/>
      <c r="HQW928" s="381"/>
      <c r="HQX928" s="509"/>
      <c r="HQY928" s="509"/>
      <c r="HQZ928" s="509"/>
      <c r="HRA928" s="69"/>
      <c r="HRB928" s="509"/>
      <c r="HRC928" s="380"/>
      <c r="HRD928" s="381"/>
      <c r="HRE928" s="509"/>
      <c r="HRF928" s="509"/>
      <c r="HRG928" s="509"/>
      <c r="HRH928" s="69"/>
      <c r="HRI928" s="509"/>
      <c r="HRJ928" s="380"/>
      <c r="HRK928" s="381"/>
      <c r="HRL928" s="509"/>
      <c r="HRM928" s="509"/>
      <c r="HRN928" s="509"/>
      <c r="HRO928" s="69"/>
      <c r="HRP928" s="509"/>
      <c r="HRQ928" s="380"/>
      <c r="HRR928" s="381"/>
      <c r="HRS928" s="509"/>
      <c r="HRT928" s="509"/>
      <c r="HRU928" s="509"/>
      <c r="HRV928" s="69"/>
      <c r="HRW928" s="509"/>
      <c r="HRX928" s="380"/>
      <c r="HRY928" s="381"/>
      <c r="HRZ928" s="509"/>
      <c r="HSA928" s="509"/>
      <c r="HSB928" s="509"/>
      <c r="HSC928" s="69"/>
      <c r="HSD928" s="509"/>
      <c r="HSE928" s="380"/>
      <c r="HSF928" s="381"/>
      <c r="HSG928" s="509"/>
      <c r="HSH928" s="509"/>
      <c r="HSI928" s="509"/>
      <c r="HSJ928" s="69"/>
      <c r="HSK928" s="509"/>
      <c r="HSL928" s="380"/>
      <c r="HSM928" s="381"/>
      <c r="HSN928" s="509"/>
      <c r="HSO928" s="509"/>
      <c r="HSP928" s="509"/>
      <c r="HSQ928" s="69"/>
      <c r="HSR928" s="509"/>
      <c r="HSS928" s="380"/>
      <c r="HST928" s="381"/>
      <c r="HSU928" s="509"/>
      <c r="HSV928" s="509"/>
      <c r="HSW928" s="509"/>
      <c r="HSX928" s="69"/>
      <c r="HSY928" s="509"/>
      <c r="HSZ928" s="380"/>
      <c r="HTA928" s="381"/>
      <c r="HTB928" s="509"/>
      <c r="HTC928" s="509"/>
      <c r="HTD928" s="509"/>
      <c r="HTE928" s="69"/>
      <c r="HTF928" s="509"/>
      <c r="HTG928" s="380"/>
      <c r="HTH928" s="381"/>
      <c r="HTI928" s="509"/>
      <c r="HTJ928" s="509"/>
      <c r="HTK928" s="509"/>
      <c r="HTL928" s="69"/>
      <c r="HTM928" s="509"/>
      <c r="HTN928" s="380"/>
      <c r="HTO928" s="381"/>
      <c r="HTP928" s="509"/>
      <c r="HTQ928" s="509"/>
      <c r="HTR928" s="509"/>
      <c r="HTS928" s="69"/>
      <c r="HTT928" s="509"/>
      <c r="HTU928" s="380"/>
      <c r="HTV928" s="381"/>
      <c r="HTW928" s="509"/>
      <c r="HTX928" s="509"/>
      <c r="HTY928" s="509"/>
      <c r="HTZ928" s="69"/>
      <c r="HUA928" s="509"/>
      <c r="HUB928" s="380"/>
      <c r="HUC928" s="381"/>
      <c r="HUD928" s="509"/>
      <c r="HUE928" s="509"/>
      <c r="HUF928" s="509"/>
      <c r="HUG928" s="69"/>
      <c r="HUH928" s="509"/>
      <c r="HUI928" s="380"/>
      <c r="HUJ928" s="381"/>
      <c r="HUK928" s="509"/>
      <c r="HUL928" s="509"/>
      <c r="HUM928" s="509"/>
      <c r="HUN928" s="69"/>
      <c r="HUO928" s="509"/>
      <c r="HUP928" s="380"/>
      <c r="HUQ928" s="381"/>
      <c r="HUR928" s="509"/>
      <c r="HUS928" s="509"/>
      <c r="HUT928" s="509"/>
      <c r="HUU928" s="69"/>
      <c r="HUV928" s="509"/>
      <c r="HUW928" s="380"/>
      <c r="HUX928" s="381"/>
      <c r="HUY928" s="509"/>
      <c r="HUZ928" s="509"/>
      <c r="HVA928" s="509"/>
      <c r="HVB928" s="69"/>
      <c r="HVC928" s="509"/>
      <c r="HVD928" s="380"/>
      <c r="HVE928" s="381"/>
      <c r="HVF928" s="509"/>
      <c r="HVG928" s="509"/>
      <c r="HVH928" s="509"/>
      <c r="HVI928" s="69"/>
      <c r="HVJ928" s="509"/>
      <c r="HVK928" s="380"/>
      <c r="HVL928" s="381"/>
      <c r="HVM928" s="509"/>
      <c r="HVN928" s="509"/>
      <c r="HVO928" s="509"/>
      <c r="HVP928" s="69"/>
      <c r="HVQ928" s="509"/>
      <c r="HVR928" s="380"/>
      <c r="HVS928" s="381"/>
      <c r="HVT928" s="509"/>
      <c r="HVU928" s="509"/>
      <c r="HVV928" s="509"/>
      <c r="HVW928" s="69"/>
      <c r="HVX928" s="509"/>
      <c r="HVY928" s="380"/>
      <c r="HVZ928" s="381"/>
      <c r="HWA928" s="509"/>
      <c r="HWB928" s="509"/>
      <c r="HWC928" s="509"/>
      <c r="HWD928" s="69"/>
      <c r="HWE928" s="509"/>
      <c r="HWF928" s="380"/>
      <c r="HWG928" s="381"/>
      <c r="HWH928" s="509"/>
      <c r="HWI928" s="509"/>
      <c r="HWJ928" s="509"/>
      <c r="HWK928" s="69"/>
      <c r="HWL928" s="509"/>
      <c r="HWM928" s="380"/>
      <c r="HWN928" s="381"/>
      <c r="HWO928" s="509"/>
      <c r="HWP928" s="509"/>
      <c r="HWQ928" s="509"/>
      <c r="HWR928" s="69"/>
      <c r="HWS928" s="509"/>
      <c r="HWT928" s="380"/>
      <c r="HWU928" s="381"/>
      <c r="HWV928" s="509"/>
      <c r="HWW928" s="509"/>
      <c r="HWX928" s="509"/>
      <c r="HWY928" s="69"/>
      <c r="HWZ928" s="509"/>
      <c r="HXA928" s="380"/>
      <c r="HXB928" s="381"/>
      <c r="HXC928" s="509"/>
      <c r="HXD928" s="509"/>
      <c r="HXE928" s="509"/>
      <c r="HXF928" s="69"/>
      <c r="HXG928" s="509"/>
      <c r="HXH928" s="380"/>
      <c r="HXI928" s="381"/>
      <c r="HXJ928" s="509"/>
      <c r="HXK928" s="509"/>
      <c r="HXL928" s="509"/>
      <c r="HXM928" s="69"/>
      <c r="HXN928" s="509"/>
      <c r="HXO928" s="380"/>
      <c r="HXP928" s="381"/>
      <c r="HXQ928" s="509"/>
      <c r="HXR928" s="509"/>
      <c r="HXS928" s="509"/>
      <c r="HXT928" s="69"/>
      <c r="HXU928" s="509"/>
      <c r="HXV928" s="380"/>
      <c r="HXW928" s="381"/>
      <c r="HXX928" s="509"/>
      <c r="HXY928" s="509"/>
      <c r="HXZ928" s="509"/>
      <c r="HYA928" s="69"/>
      <c r="HYB928" s="509"/>
      <c r="HYC928" s="380"/>
      <c r="HYD928" s="381"/>
      <c r="HYE928" s="509"/>
      <c r="HYF928" s="509"/>
      <c r="HYG928" s="509"/>
      <c r="HYH928" s="69"/>
      <c r="HYI928" s="509"/>
      <c r="HYJ928" s="380"/>
      <c r="HYK928" s="381"/>
      <c r="HYL928" s="509"/>
      <c r="HYM928" s="509"/>
      <c r="HYN928" s="509"/>
      <c r="HYO928" s="69"/>
      <c r="HYP928" s="509"/>
      <c r="HYQ928" s="380"/>
      <c r="HYR928" s="381"/>
      <c r="HYS928" s="509"/>
      <c r="HYT928" s="509"/>
      <c r="HYU928" s="509"/>
      <c r="HYV928" s="69"/>
      <c r="HYW928" s="509"/>
      <c r="HYX928" s="380"/>
      <c r="HYY928" s="381"/>
      <c r="HYZ928" s="509"/>
      <c r="HZA928" s="509"/>
      <c r="HZB928" s="509"/>
      <c r="HZC928" s="69"/>
      <c r="HZD928" s="509"/>
      <c r="HZE928" s="380"/>
      <c r="HZF928" s="381"/>
      <c r="HZG928" s="509"/>
      <c r="HZH928" s="509"/>
      <c r="HZI928" s="509"/>
      <c r="HZJ928" s="69"/>
      <c r="HZK928" s="509"/>
      <c r="HZL928" s="380"/>
      <c r="HZM928" s="381"/>
      <c r="HZN928" s="509"/>
      <c r="HZO928" s="509"/>
      <c r="HZP928" s="509"/>
      <c r="HZQ928" s="69"/>
      <c r="HZR928" s="509"/>
      <c r="HZS928" s="380"/>
      <c r="HZT928" s="381"/>
      <c r="HZU928" s="509"/>
      <c r="HZV928" s="509"/>
      <c r="HZW928" s="509"/>
      <c r="HZX928" s="69"/>
      <c r="HZY928" s="509"/>
      <c r="HZZ928" s="380"/>
      <c r="IAA928" s="381"/>
      <c r="IAB928" s="509"/>
      <c r="IAC928" s="509"/>
      <c r="IAD928" s="509"/>
      <c r="IAE928" s="69"/>
      <c r="IAF928" s="509"/>
      <c r="IAG928" s="380"/>
      <c r="IAH928" s="381"/>
      <c r="IAI928" s="509"/>
      <c r="IAJ928" s="509"/>
      <c r="IAK928" s="509"/>
      <c r="IAL928" s="69"/>
      <c r="IAM928" s="509"/>
      <c r="IAN928" s="380"/>
      <c r="IAO928" s="381"/>
      <c r="IAP928" s="509"/>
      <c r="IAQ928" s="509"/>
      <c r="IAR928" s="509"/>
      <c r="IAS928" s="69"/>
      <c r="IAT928" s="509"/>
      <c r="IAU928" s="380"/>
      <c r="IAV928" s="381"/>
      <c r="IAW928" s="509"/>
      <c r="IAX928" s="509"/>
      <c r="IAY928" s="509"/>
      <c r="IAZ928" s="69"/>
      <c r="IBA928" s="509"/>
      <c r="IBB928" s="380"/>
      <c r="IBC928" s="381"/>
      <c r="IBD928" s="509"/>
      <c r="IBE928" s="509"/>
      <c r="IBF928" s="509"/>
      <c r="IBG928" s="69"/>
      <c r="IBH928" s="509"/>
      <c r="IBI928" s="380"/>
      <c r="IBJ928" s="381"/>
      <c r="IBK928" s="509"/>
      <c r="IBL928" s="509"/>
      <c r="IBM928" s="509"/>
      <c r="IBN928" s="69"/>
      <c r="IBO928" s="509"/>
      <c r="IBP928" s="380"/>
      <c r="IBQ928" s="381"/>
      <c r="IBR928" s="509"/>
      <c r="IBS928" s="509"/>
      <c r="IBT928" s="509"/>
      <c r="IBU928" s="69"/>
      <c r="IBV928" s="509"/>
      <c r="IBW928" s="380"/>
      <c r="IBX928" s="381"/>
      <c r="IBY928" s="509"/>
      <c r="IBZ928" s="509"/>
      <c r="ICA928" s="509"/>
      <c r="ICB928" s="69"/>
      <c r="ICC928" s="509"/>
      <c r="ICD928" s="380"/>
      <c r="ICE928" s="381"/>
      <c r="ICF928" s="509"/>
      <c r="ICG928" s="509"/>
      <c r="ICH928" s="509"/>
      <c r="ICI928" s="69"/>
      <c r="ICJ928" s="509"/>
      <c r="ICK928" s="380"/>
      <c r="ICL928" s="381"/>
      <c r="ICM928" s="509"/>
      <c r="ICN928" s="509"/>
      <c r="ICO928" s="509"/>
      <c r="ICP928" s="69"/>
      <c r="ICQ928" s="509"/>
      <c r="ICR928" s="380"/>
      <c r="ICS928" s="381"/>
      <c r="ICT928" s="509"/>
      <c r="ICU928" s="509"/>
      <c r="ICV928" s="509"/>
      <c r="ICW928" s="69"/>
      <c r="ICX928" s="509"/>
      <c r="ICY928" s="380"/>
      <c r="ICZ928" s="381"/>
      <c r="IDA928" s="509"/>
      <c r="IDB928" s="509"/>
      <c r="IDC928" s="509"/>
      <c r="IDD928" s="69"/>
      <c r="IDE928" s="509"/>
      <c r="IDF928" s="380"/>
      <c r="IDG928" s="381"/>
      <c r="IDH928" s="509"/>
      <c r="IDI928" s="509"/>
      <c r="IDJ928" s="509"/>
      <c r="IDK928" s="69"/>
      <c r="IDL928" s="509"/>
      <c r="IDM928" s="380"/>
      <c r="IDN928" s="381"/>
      <c r="IDO928" s="509"/>
      <c r="IDP928" s="509"/>
      <c r="IDQ928" s="509"/>
      <c r="IDR928" s="69"/>
      <c r="IDS928" s="509"/>
      <c r="IDT928" s="380"/>
      <c r="IDU928" s="381"/>
      <c r="IDV928" s="509"/>
      <c r="IDW928" s="509"/>
      <c r="IDX928" s="509"/>
      <c r="IDY928" s="69"/>
      <c r="IDZ928" s="509"/>
      <c r="IEA928" s="380"/>
      <c r="IEB928" s="381"/>
      <c r="IEC928" s="509"/>
      <c r="IED928" s="509"/>
      <c r="IEE928" s="509"/>
      <c r="IEF928" s="69"/>
      <c r="IEG928" s="509"/>
      <c r="IEH928" s="380"/>
      <c r="IEI928" s="381"/>
      <c r="IEJ928" s="509"/>
      <c r="IEK928" s="509"/>
      <c r="IEL928" s="509"/>
      <c r="IEM928" s="69"/>
      <c r="IEN928" s="509"/>
      <c r="IEO928" s="380"/>
      <c r="IEP928" s="381"/>
      <c r="IEQ928" s="509"/>
      <c r="IER928" s="509"/>
      <c r="IES928" s="509"/>
      <c r="IET928" s="69"/>
      <c r="IEU928" s="509"/>
      <c r="IEV928" s="380"/>
      <c r="IEW928" s="381"/>
      <c r="IEX928" s="509"/>
      <c r="IEY928" s="509"/>
      <c r="IEZ928" s="509"/>
      <c r="IFA928" s="69"/>
      <c r="IFB928" s="509"/>
      <c r="IFC928" s="380"/>
      <c r="IFD928" s="381"/>
      <c r="IFE928" s="509"/>
      <c r="IFF928" s="509"/>
      <c r="IFG928" s="509"/>
      <c r="IFH928" s="69"/>
      <c r="IFI928" s="509"/>
      <c r="IFJ928" s="380"/>
      <c r="IFK928" s="381"/>
      <c r="IFL928" s="509"/>
      <c r="IFM928" s="509"/>
      <c r="IFN928" s="509"/>
      <c r="IFO928" s="69"/>
      <c r="IFP928" s="509"/>
      <c r="IFQ928" s="380"/>
      <c r="IFR928" s="381"/>
      <c r="IFS928" s="509"/>
      <c r="IFT928" s="509"/>
      <c r="IFU928" s="509"/>
      <c r="IFV928" s="69"/>
      <c r="IFW928" s="509"/>
      <c r="IFX928" s="380"/>
      <c r="IFY928" s="381"/>
      <c r="IFZ928" s="509"/>
      <c r="IGA928" s="509"/>
      <c r="IGB928" s="509"/>
      <c r="IGC928" s="69"/>
      <c r="IGD928" s="509"/>
      <c r="IGE928" s="380"/>
      <c r="IGF928" s="381"/>
      <c r="IGG928" s="509"/>
      <c r="IGH928" s="509"/>
      <c r="IGI928" s="509"/>
      <c r="IGJ928" s="69"/>
      <c r="IGK928" s="509"/>
      <c r="IGL928" s="380"/>
      <c r="IGM928" s="381"/>
      <c r="IGN928" s="509"/>
      <c r="IGO928" s="509"/>
      <c r="IGP928" s="509"/>
      <c r="IGQ928" s="69"/>
      <c r="IGR928" s="509"/>
      <c r="IGS928" s="380"/>
      <c r="IGT928" s="381"/>
      <c r="IGU928" s="509"/>
      <c r="IGV928" s="509"/>
      <c r="IGW928" s="509"/>
      <c r="IGX928" s="69"/>
      <c r="IGY928" s="509"/>
      <c r="IGZ928" s="380"/>
      <c r="IHA928" s="381"/>
      <c r="IHB928" s="509"/>
      <c r="IHC928" s="509"/>
      <c r="IHD928" s="509"/>
      <c r="IHE928" s="69"/>
      <c r="IHF928" s="509"/>
      <c r="IHG928" s="380"/>
      <c r="IHH928" s="381"/>
      <c r="IHI928" s="509"/>
      <c r="IHJ928" s="509"/>
      <c r="IHK928" s="509"/>
      <c r="IHL928" s="69"/>
      <c r="IHM928" s="509"/>
      <c r="IHN928" s="380"/>
      <c r="IHO928" s="381"/>
      <c r="IHP928" s="509"/>
      <c r="IHQ928" s="509"/>
      <c r="IHR928" s="509"/>
      <c r="IHS928" s="69"/>
      <c r="IHT928" s="509"/>
      <c r="IHU928" s="380"/>
      <c r="IHV928" s="381"/>
      <c r="IHW928" s="509"/>
      <c r="IHX928" s="509"/>
      <c r="IHY928" s="509"/>
      <c r="IHZ928" s="69"/>
      <c r="IIA928" s="509"/>
      <c r="IIB928" s="380"/>
      <c r="IIC928" s="381"/>
      <c r="IID928" s="509"/>
      <c r="IIE928" s="509"/>
      <c r="IIF928" s="509"/>
      <c r="IIG928" s="69"/>
      <c r="IIH928" s="509"/>
      <c r="III928" s="380"/>
      <c r="IIJ928" s="381"/>
      <c r="IIK928" s="509"/>
      <c r="IIL928" s="509"/>
      <c r="IIM928" s="509"/>
      <c r="IIN928" s="69"/>
      <c r="IIO928" s="509"/>
      <c r="IIP928" s="380"/>
      <c r="IIQ928" s="381"/>
      <c r="IIR928" s="509"/>
      <c r="IIS928" s="509"/>
      <c r="IIT928" s="509"/>
      <c r="IIU928" s="69"/>
      <c r="IIV928" s="509"/>
      <c r="IIW928" s="380"/>
      <c r="IIX928" s="381"/>
      <c r="IIY928" s="509"/>
      <c r="IIZ928" s="509"/>
      <c r="IJA928" s="509"/>
      <c r="IJB928" s="69"/>
      <c r="IJC928" s="509"/>
      <c r="IJD928" s="380"/>
      <c r="IJE928" s="381"/>
      <c r="IJF928" s="509"/>
      <c r="IJG928" s="509"/>
      <c r="IJH928" s="509"/>
      <c r="IJI928" s="69"/>
      <c r="IJJ928" s="509"/>
      <c r="IJK928" s="380"/>
      <c r="IJL928" s="381"/>
      <c r="IJM928" s="509"/>
      <c r="IJN928" s="509"/>
      <c r="IJO928" s="509"/>
      <c r="IJP928" s="69"/>
      <c r="IJQ928" s="509"/>
      <c r="IJR928" s="380"/>
      <c r="IJS928" s="381"/>
      <c r="IJT928" s="509"/>
      <c r="IJU928" s="509"/>
      <c r="IJV928" s="509"/>
      <c r="IJW928" s="69"/>
      <c r="IJX928" s="509"/>
      <c r="IJY928" s="380"/>
      <c r="IJZ928" s="381"/>
      <c r="IKA928" s="509"/>
      <c r="IKB928" s="509"/>
      <c r="IKC928" s="509"/>
      <c r="IKD928" s="69"/>
      <c r="IKE928" s="509"/>
      <c r="IKF928" s="380"/>
      <c r="IKG928" s="381"/>
      <c r="IKH928" s="509"/>
      <c r="IKI928" s="509"/>
      <c r="IKJ928" s="509"/>
      <c r="IKK928" s="69"/>
      <c r="IKL928" s="509"/>
      <c r="IKM928" s="380"/>
      <c r="IKN928" s="381"/>
      <c r="IKO928" s="509"/>
      <c r="IKP928" s="509"/>
      <c r="IKQ928" s="509"/>
      <c r="IKR928" s="69"/>
      <c r="IKS928" s="509"/>
      <c r="IKT928" s="380"/>
      <c r="IKU928" s="381"/>
      <c r="IKV928" s="509"/>
      <c r="IKW928" s="509"/>
      <c r="IKX928" s="509"/>
      <c r="IKY928" s="69"/>
      <c r="IKZ928" s="509"/>
      <c r="ILA928" s="380"/>
      <c r="ILB928" s="381"/>
      <c r="ILC928" s="509"/>
      <c r="ILD928" s="509"/>
      <c r="ILE928" s="509"/>
      <c r="ILF928" s="69"/>
      <c r="ILG928" s="509"/>
      <c r="ILH928" s="380"/>
      <c r="ILI928" s="381"/>
      <c r="ILJ928" s="509"/>
      <c r="ILK928" s="509"/>
      <c r="ILL928" s="509"/>
      <c r="ILM928" s="69"/>
      <c r="ILN928" s="509"/>
      <c r="ILO928" s="380"/>
      <c r="ILP928" s="381"/>
      <c r="ILQ928" s="509"/>
      <c r="ILR928" s="509"/>
      <c r="ILS928" s="509"/>
      <c r="ILT928" s="69"/>
      <c r="ILU928" s="509"/>
      <c r="ILV928" s="380"/>
      <c r="ILW928" s="381"/>
      <c r="ILX928" s="509"/>
      <c r="ILY928" s="509"/>
      <c r="ILZ928" s="509"/>
      <c r="IMA928" s="69"/>
      <c r="IMB928" s="509"/>
      <c r="IMC928" s="380"/>
      <c r="IMD928" s="381"/>
      <c r="IME928" s="509"/>
      <c r="IMF928" s="509"/>
      <c r="IMG928" s="509"/>
      <c r="IMH928" s="69"/>
      <c r="IMI928" s="509"/>
      <c r="IMJ928" s="380"/>
      <c r="IMK928" s="381"/>
      <c r="IML928" s="509"/>
      <c r="IMM928" s="509"/>
      <c r="IMN928" s="509"/>
      <c r="IMO928" s="69"/>
      <c r="IMP928" s="509"/>
      <c r="IMQ928" s="380"/>
      <c r="IMR928" s="381"/>
      <c r="IMS928" s="509"/>
      <c r="IMT928" s="509"/>
      <c r="IMU928" s="509"/>
      <c r="IMV928" s="69"/>
      <c r="IMW928" s="509"/>
      <c r="IMX928" s="380"/>
      <c r="IMY928" s="381"/>
      <c r="IMZ928" s="509"/>
      <c r="INA928" s="509"/>
      <c r="INB928" s="509"/>
      <c r="INC928" s="69"/>
      <c r="IND928" s="509"/>
      <c r="INE928" s="380"/>
      <c r="INF928" s="381"/>
      <c r="ING928" s="509"/>
      <c r="INH928" s="509"/>
      <c r="INI928" s="509"/>
      <c r="INJ928" s="69"/>
      <c r="INK928" s="509"/>
      <c r="INL928" s="380"/>
      <c r="INM928" s="381"/>
      <c r="INN928" s="509"/>
      <c r="INO928" s="509"/>
      <c r="INP928" s="509"/>
      <c r="INQ928" s="69"/>
      <c r="INR928" s="509"/>
      <c r="INS928" s="380"/>
      <c r="INT928" s="381"/>
      <c r="INU928" s="509"/>
      <c r="INV928" s="509"/>
      <c r="INW928" s="509"/>
      <c r="INX928" s="69"/>
      <c r="INY928" s="509"/>
      <c r="INZ928" s="380"/>
      <c r="IOA928" s="381"/>
      <c r="IOB928" s="509"/>
      <c r="IOC928" s="509"/>
      <c r="IOD928" s="509"/>
      <c r="IOE928" s="69"/>
      <c r="IOF928" s="509"/>
      <c r="IOG928" s="380"/>
      <c r="IOH928" s="381"/>
      <c r="IOI928" s="509"/>
      <c r="IOJ928" s="509"/>
      <c r="IOK928" s="509"/>
      <c r="IOL928" s="69"/>
      <c r="IOM928" s="509"/>
      <c r="ION928" s="380"/>
      <c r="IOO928" s="381"/>
      <c r="IOP928" s="509"/>
      <c r="IOQ928" s="509"/>
      <c r="IOR928" s="509"/>
      <c r="IOS928" s="69"/>
      <c r="IOT928" s="509"/>
      <c r="IOU928" s="380"/>
      <c r="IOV928" s="381"/>
      <c r="IOW928" s="509"/>
      <c r="IOX928" s="509"/>
      <c r="IOY928" s="509"/>
      <c r="IOZ928" s="69"/>
      <c r="IPA928" s="509"/>
      <c r="IPB928" s="380"/>
      <c r="IPC928" s="381"/>
      <c r="IPD928" s="509"/>
      <c r="IPE928" s="509"/>
      <c r="IPF928" s="509"/>
      <c r="IPG928" s="69"/>
      <c r="IPH928" s="509"/>
      <c r="IPI928" s="380"/>
      <c r="IPJ928" s="381"/>
      <c r="IPK928" s="509"/>
      <c r="IPL928" s="509"/>
      <c r="IPM928" s="509"/>
      <c r="IPN928" s="69"/>
      <c r="IPO928" s="509"/>
      <c r="IPP928" s="380"/>
      <c r="IPQ928" s="381"/>
      <c r="IPR928" s="509"/>
      <c r="IPS928" s="509"/>
      <c r="IPT928" s="509"/>
      <c r="IPU928" s="69"/>
      <c r="IPV928" s="509"/>
      <c r="IPW928" s="380"/>
      <c r="IPX928" s="381"/>
      <c r="IPY928" s="509"/>
      <c r="IPZ928" s="509"/>
      <c r="IQA928" s="509"/>
      <c r="IQB928" s="69"/>
      <c r="IQC928" s="509"/>
      <c r="IQD928" s="380"/>
      <c r="IQE928" s="381"/>
      <c r="IQF928" s="509"/>
      <c r="IQG928" s="509"/>
      <c r="IQH928" s="509"/>
      <c r="IQI928" s="69"/>
      <c r="IQJ928" s="509"/>
      <c r="IQK928" s="380"/>
      <c r="IQL928" s="381"/>
      <c r="IQM928" s="509"/>
      <c r="IQN928" s="509"/>
      <c r="IQO928" s="509"/>
      <c r="IQP928" s="69"/>
      <c r="IQQ928" s="509"/>
      <c r="IQR928" s="380"/>
      <c r="IQS928" s="381"/>
      <c r="IQT928" s="509"/>
      <c r="IQU928" s="509"/>
      <c r="IQV928" s="509"/>
      <c r="IQW928" s="69"/>
      <c r="IQX928" s="509"/>
      <c r="IQY928" s="380"/>
      <c r="IQZ928" s="381"/>
      <c r="IRA928" s="509"/>
      <c r="IRB928" s="509"/>
      <c r="IRC928" s="509"/>
      <c r="IRD928" s="69"/>
      <c r="IRE928" s="509"/>
      <c r="IRF928" s="380"/>
      <c r="IRG928" s="381"/>
      <c r="IRH928" s="509"/>
      <c r="IRI928" s="509"/>
      <c r="IRJ928" s="509"/>
      <c r="IRK928" s="69"/>
      <c r="IRL928" s="509"/>
      <c r="IRM928" s="380"/>
      <c r="IRN928" s="381"/>
      <c r="IRO928" s="509"/>
      <c r="IRP928" s="509"/>
      <c r="IRQ928" s="509"/>
      <c r="IRR928" s="69"/>
      <c r="IRS928" s="509"/>
      <c r="IRT928" s="380"/>
      <c r="IRU928" s="381"/>
      <c r="IRV928" s="509"/>
      <c r="IRW928" s="509"/>
      <c r="IRX928" s="509"/>
      <c r="IRY928" s="69"/>
      <c r="IRZ928" s="509"/>
      <c r="ISA928" s="380"/>
      <c r="ISB928" s="381"/>
      <c r="ISC928" s="509"/>
      <c r="ISD928" s="509"/>
      <c r="ISE928" s="509"/>
      <c r="ISF928" s="69"/>
      <c r="ISG928" s="509"/>
      <c r="ISH928" s="380"/>
      <c r="ISI928" s="381"/>
      <c r="ISJ928" s="509"/>
      <c r="ISK928" s="509"/>
      <c r="ISL928" s="509"/>
      <c r="ISM928" s="69"/>
      <c r="ISN928" s="509"/>
      <c r="ISO928" s="380"/>
      <c r="ISP928" s="381"/>
      <c r="ISQ928" s="509"/>
      <c r="ISR928" s="509"/>
      <c r="ISS928" s="509"/>
      <c r="IST928" s="69"/>
      <c r="ISU928" s="509"/>
      <c r="ISV928" s="380"/>
      <c r="ISW928" s="381"/>
      <c r="ISX928" s="509"/>
      <c r="ISY928" s="509"/>
      <c r="ISZ928" s="509"/>
      <c r="ITA928" s="69"/>
      <c r="ITB928" s="509"/>
      <c r="ITC928" s="380"/>
      <c r="ITD928" s="381"/>
      <c r="ITE928" s="509"/>
      <c r="ITF928" s="509"/>
      <c r="ITG928" s="509"/>
      <c r="ITH928" s="69"/>
      <c r="ITI928" s="509"/>
      <c r="ITJ928" s="380"/>
      <c r="ITK928" s="381"/>
      <c r="ITL928" s="509"/>
      <c r="ITM928" s="509"/>
      <c r="ITN928" s="509"/>
      <c r="ITO928" s="69"/>
      <c r="ITP928" s="509"/>
      <c r="ITQ928" s="380"/>
      <c r="ITR928" s="381"/>
      <c r="ITS928" s="509"/>
      <c r="ITT928" s="509"/>
      <c r="ITU928" s="509"/>
      <c r="ITV928" s="69"/>
      <c r="ITW928" s="509"/>
      <c r="ITX928" s="380"/>
      <c r="ITY928" s="381"/>
      <c r="ITZ928" s="509"/>
      <c r="IUA928" s="509"/>
      <c r="IUB928" s="509"/>
      <c r="IUC928" s="69"/>
      <c r="IUD928" s="509"/>
      <c r="IUE928" s="380"/>
      <c r="IUF928" s="381"/>
      <c r="IUG928" s="509"/>
      <c r="IUH928" s="509"/>
      <c r="IUI928" s="509"/>
      <c r="IUJ928" s="69"/>
      <c r="IUK928" s="509"/>
      <c r="IUL928" s="380"/>
      <c r="IUM928" s="381"/>
      <c r="IUN928" s="509"/>
      <c r="IUO928" s="509"/>
      <c r="IUP928" s="509"/>
      <c r="IUQ928" s="69"/>
      <c r="IUR928" s="509"/>
      <c r="IUS928" s="380"/>
      <c r="IUT928" s="381"/>
      <c r="IUU928" s="509"/>
      <c r="IUV928" s="509"/>
      <c r="IUW928" s="509"/>
      <c r="IUX928" s="69"/>
      <c r="IUY928" s="509"/>
      <c r="IUZ928" s="380"/>
      <c r="IVA928" s="381"/>
      <c r="IVB928" s="509"/>
      <c r="IVC928" s="509"/>
      <c r="IVD928" s="509"/>
      <c r="IVE928" s="69"/>
      <c r="IVF928" s="509"/>
      <c r="IVG928" s="380"/>
      <c r="IVH928" s="381"/>
      <c r="IVI928" s="509"/>
      <c r="IVJ928" s="509"/>
      <c r="IVK928" s="509"/>
      <c r="IVL928" s="69"/>
      <c r="IVM928" s="509"/>
      <c r="IVN928" s="380"/>
      <c r="IVO928" s="381"/>
      <c r="IVP928" s="509"/>
      <c r="IVQ928" s="509"/>
      <c r="IVR928" s="509"/>
      <c r="IVS928" s="69"/>
      <c r="IVT928" s="509"/>
      <c r="IVU928" s="380"/>
      <c r="IVV928" s="381"/>
      <c r="IVW928" s="509"/>
      <c r="IVX928" s="509"/>
      <c r="IVY928" s="509"/>
      <c r="IVZ928" s="69"/>
      <c r="IWA928" s="509"/>
      <c r="IWB928" s="380"/>
      <c r="IWC928" s="381"/>
      <c r="IWD928" s="509"/>
      <c r="IWE928" s="509"/>
      <c r="IWF928" s="509"/>
      <c r="IWG928" s="69"/>
      <c r="IWH928" s="509"/>
      <c r="IWI928" s="380"/>
      <c r="IWJ928" s="381"/>
      <c r="IWK928" s="509"/>
      <c r="IWL928" s="509"/>
      <c r="IWM928" s="509"/>
      <c r="IWN928" s="69"/>
      <c r="IWO928" s="509"/>
      <c r="IWP928" s="380"/>
      <c r="IWQ928" s="381"/>
      <c r="IWR928" s="509"/>
      <c r="IWS928" s="509"/>
      <c r="IWT928" s="509"/>
      <c r="IWU928" s="69"/>
      <c r="IWV928" s="509"/>
      <c r="IWW928" s="380"/>
      <c r="IWX928" s="381"/>
      <c r="IWY928" s="509"/>
      <c r="IWZ928" s="509"/>
      <c r="IXA928" s="509"/>
      <c r="IXB928" s="69"/>
      <c r="IXC928" s="509"/>
      <c r="IXD928" s="380"/>
      <c r="IXE928" s="381"/>
      <c r="IXF928" s="509"/>
      <c r="IXG928" s="509"/>
      <c r="IXH928" s="509"/>
      <c r="IXI928" s="69"/>
      <c r="IXJ928" s="509"/>
      <c r="IXK928" s="380"/>
      <c r="IXL928" s="381"/>
      <c r="IXM928" s="509"/>
      <c r="IXN928" s="509"/>
      <c r="IXO928" s="509"/>
      <c r="IXP928" s="69"/>
      <c r="IXQ928" s="509"/>
      <c r="IXR928" s="380"/>
      <c r="IXS928" s="381"/>
      <c r="IXT928" s="509"/>
      <c r="IXU928" s="509"/>
      <c r="IXV928" s="509"/>
      <c r="IXW928" s="69"/>
      <c r="IXX928" s="509"/>
      <c r="IXY928" s="380"/>
      <c r="IXZ928" s="381"/>
      <c r="IYA928" s="509"/>
      <c r="IYB928" s="509"/>
      <c r="IYC928" s="509"/>
      <c r="IYD928" s="69"/>
      <c r="IYE928" s="509"/>
      <c r="IYF928" s="380"/>
      <c r="IYG928" s="381"/>
      <c r="IYH928" s="509"/>
      <c r="IYI928" s="509"/>
      <c r="IYJ928" s="509"/>
      <c r="IYK928" s="69"/>
      <c r="IYL928" s="509"/>
      <c r="IYM928" s="380"/>
      <c r="IYN928" s="381"/>
      <c r="IYO928" s="509"/>
      <c r="IYP928" s="509"/>
      <c r="IYQ928" s="509"/>
      <c r="IYR928" s="69"/>
      <c r="IYS928" s="509"/>
      <c r="IYT928" s="380"/>
      <c r="IYU928" s="381"/>
      <c r="IYV928" s="509"/>
      <c r="IYW928" s="509"/>
      <c r="IYX928" s="509"/>
      <c r="IYY928" s="69"/>
      <c r="IYZ928" s="509"/>
      <c r="IZA928" s="380"/>
      <c r="IZB928" s="381"/>
      <c r="IZC928" s="509"/>
      <c r="IZD928" s="509"/>
      <c r="IZE928" s="509"/>
      <c r="IZF928" s="69"/>
      <c r="IZG928" s="509"/>
      <c r="IZH928" s="380"/>
      <c r="IZI928" s="381"/>
      <c r="IZJ928" s="509"/>
      <c r="IZK928" s="509"/>
      <c r="IZL928" s="509"/>
      <c r="IZM928" s="69"/>
      <c r="IZN928" s="509"/>
      <c r="IZO928" s="380"/>
      <c r="IZP928" s="381"/>
      <c r="IZQ928" s="509"/>
      <c r="IZR928" s="509"/>
      <c r="IZS928" s="509"/>
      <c r="IZT928" s="69"/>
      <c r="IZU928" s="509"/>
      <c r="IZV928" s="380"/>
      <c r="IZW928" s="381"/>
      <c r="IZX928" s="509"/>
      <c r="IZY928" s="509"/>
      <c r="IZZ928" s="509"/>
      <c r="JAA928" s="69"/>
      <c r="JAB928" s="509"/>
      <c r="JAC928" s="380"/>
      <c r="JAD928" s="381"/>
      <c r="JAE928" s="509"/>
      <c r="JAF928" s="509"/>
      <c r="JAG928" s="509"/>
      <c r="JAH928" s="69"/>
      <c r="JAI928" s="509"/>
      <c r="JAJ928" s="380"/>
      <c r="JAK928" s="381"/>
      <c r="JAL928" s="509"/>
      <c r="JAM928" s="509"/>
      <c r="JAN928" s="509"/>
      <c r="JAO928" s="69"/>
      <c r="JAP928" s="509"/>
      <c r="JAQ928" s="380"/>
      <c r="JAR928" s="381"/>
      <c r="JAS928" s="509"/>
      <c r="JAT928" s="509"/>
      <c r="JAU928" s="509"/>
      <c r="JAV928" s="69"/>
      <c r="JAW928" s="509"/>
      <c r="JAX928" s="380"/>
      <c r="JAY928" s="381"/>
      <c r="JAZ928" s="509"/>
      <c r="JBA928" s="509"/>
      <c r="JBB928" s="509"/>
      <c r="JBC928" s="69"/>
      <c r="JBD928" s="509"/>
      <c r="JBE928" s="380"/>
      <c r="JBF928" s="381"/>
      <c r="JBG928" s="509"/>
      <c r="JBH928" s="509"/>
      <c r="JBI928" s="509"/>
      <c r="JBJ928" s="69"/>
      <c r="JBK928" s="509"/>
      <c r="JBL928" s="380"/>
      <c r="JBM928" s="381"/>
      <c r="JBN928" s="509"/>
      <c r="JBO928" s="509"/>
      <c r="JBP928" s="509"/>
      <c r="JBQ928" s="69"/>
      <c r="JBR928" s="509"/>
      <c r="JBS928" s="380"/>
      <c r="JBT928" s="381"/>
      <c r="JBU928" s="509"/>
      <c r="JBV928" s="509"/>
      <c r="JBW928" s="509"/>
      <c r="JBX928" s="69"/>
      <c r="JBY928" s="509"/>
      <c r="JBZ928" s="380"/>
      <c r="JCA928" s="381"/>
      <c r="JCB928" s="509"/>
      <c r="JCC928" s="509"/>
      <c r="JCD928" s="509"/>
      <c r="JCE928" s="69"/>
      <c r="JCF928" s="509"/>
      <c r="JCG928" s="380"/>
      <c r="JCH928" s="381"/>
      <c r="JCI928" s="509"/>
      <c r="JCJ928" s="509"/>
      <c r="JCK928" s="509"/>
      <c r="JCL928" s="69"/>
      <c r="JCM928" s="509"/>
      <c r="JCN928" s="380"/>
      <c r="JCO928" s="381"/>
      <c r="JCP928" s="509"/>
      <c r="JCQ928" s="509"/>
      <c r="JCR928" s="509"/>
      <c r="JCS928" s="69"/>
      <c r="JCT928" s="509"/>
      <c r="JCU928" s="380"/>
      <c r="JCV928" s="381"/>
      <c r="JCW928" s="509"/>
      <c r="JCX928" s="509"/>
      <c r="JCY928" s="509"/>
      <c r="JCZ928" s="69"/>
      <c r="JDA928" s="509"/>
      <c r="JDB928" s="380"/>
      <c r="JDC928" s="381"/>
      <c r="JDD928" s="509"/>
      <c r="JDE928" s="509"/>
      <c r="JDF928" s="509"/>
      <c r="JDG928" s="69"/>
      <c r="JDH928" s="509"/>
      <c r="JDI928" s="380"/>
      <c r="JDJ928" s="381"/>
      <c r="JDK928" s="509"/>
      <c r="JDL928" s="509"/>
      <c r="JDM928" s="509"/>
      <c r="JDN928" s="69"/>
      <c r="JDO928" s="509"/>
      <c r="JDP928" s="380"/>
      <c r="JDQ928" s="381"/>
      <c r="JDR928" s="509"/>
      <c r="JDS928" s="509"/>
      <c r="JDT928" s="509"/>
      <c r="JDU928" s="69"/>
      <c r="JDV928" s="509"/>
      <c r="JDW928" s="380"/>
      <c r="JDX928" s="381"/>
      <c r="JDY928" s="509"/>
      <c r="JDZ928" s="509"/>
      <c r="JEA928" s="509"/>
      <c r="JEB928" s="69"/>
      <c r="JEC928" s="509"/>
      <c r="JED928" s="380"/>
      <c r="JEE928" s="381"/>
      <c r="JEF928" s="509"/>
      <c r="JEG928" s="509"/>
      <c r="JEH928" s="509"/>
      <c r="JEI928" s="69"/>
      <c r="JEJ928" s="509"/>
      <c r="JEK928" s="380"/>
      <c r="JEL928" s="381"/>
      <c r="JEM928" s="509"/>
      <c r="JEN928" s="509"/>
      <c r="JEO928" s="509"/>
      <c r="JEP928" s="69"/>
      <c r="JEQ928" s="509"/>
      <c r="JER928" s="380"/>
      <c r="JES928" s="381"/>
      <c r="JET928" s="509"/>
      <c r="JEU928" s="509"/>
      <c r="JEV928" s="509"/>
      <c r="JEW928" s="69"/>
      <c r="JEX928" s="509"/>
      <c r="JEY928" s="380"/>
      <c r="JEZ928" s="381"/>
      <c r="JFA928" s="509"/>
      <c r="JFB928" s="509"/>
      <c r="JFC928" s="509"/>
      <c r="JFD928" s="69"/>
      <c r="JFE928" s="509"/>
      <c r="JFF928" s="380"/>
      <c r="JFG928" s="381"/>
      <c r="JFH928" s="509"/>
      <c r="JFI928" s="509"/>
      <c r="JFJ928" s="509"/>
      <c r="JFK928" s="69"/>
      <c r="JFL928" s="509"/>
      <c r="JFM928" s="380"/>
      <c r="JFN928" s="381"/>
      <c r="JFO928" s="509"/>
      <c r="JFP928" s="509"/>
      <c r="JFQ928" s="509"/>
      <c r="JFR928" s="69"/>
      <c r="JFS928" s="509"/>
      <c r="JFT928" s="380"/>
      <c r="JFU928" s="381"/>
      <c r="JFV928" s="509"/>
      <c r="JFW928" s="509"/>
      <c r="JFX928" s="509"/>
      <c r="JFY928" s="69"/>
      <c r="JFZ928" s="509"/>
      <c r="JGA928" s="380"/>
      <c r="JGB928" s="381"/>
      <c r="JGC928" s="509"/>
      <c r="JGD928" s="509"/>
      <c r="JGE928" s="509"/>
      <c r="JGF928" s="69"/>
      <c r="JGG928" s="509"/>
      <c r="JGH928" s="380"/>
      <c r="JGI928" s="381"/>
      <c r="JGJ928" s="509"/>
      <c r="JGK928" s="509"/>
      <c r="JGL928" s="509"/>
      <c r="JGM928" s="69"/>
      <c r="JGN928" s="509"/>
      <c r="JGO928" s="380"/>
      <c r="JGP928" s="381"/>
      <c r="JGQ928" s="509"/>
      <c r="JGR928" s="509"/>
      <c r="JGS928" s="509"/>
      <c r="JGT928" s="69"/>
      <c r="JGU928" s="509"/>
      <c r="JGV928" s="380"/>
      <c r="JGW928" s="381"/>
      <c r="JGX928" s="509"/>
      <c r="JGY928" s="509"/>
      <c r="JGZ928" s="509"/>
      <c r="JHA928" s="69"/>
      <c r="JHB928" s="509"/>
      <c r="JHC928" s="380"/>
      <c r="JHD928" s="381"/>
      <c r="JHE928" s="509"/>
      <c r="JHF928" s="509"/>
      <c r="JHG928" s="509"/>
      <c r="JHH928" s="69"/>
      <c r="JHI928" s="509"/>
      <c r="JHJ928" s="380"/>
      <c r="JHK928" s="381"/>
      <c r="JHL928" s="509"/>
      <c r="JHM928" s="509"/>
      <c r="JHN928" s="509"/>
      <c r="JHO928" s="69"/>
      <c r="JHP928" s="509"/>
      <c r="JHQ928" s="380"/>
      <c r="JHR928" s="381"/>
      <c r="JHS928" s="509"/>
      <c r="JHT928" s="509"/>
      <c r="JHU928" s="509"/>
      <c r="JHV928" s="69"/>
      <c r="JHW928" s="509"/>
      <c r="JHX928" s="380"/>
      <c r="JHY928" s="381"/>
      <c r="JHZ928" s="509"/>
      <c r="JIA928" s="509"/>
      <c r="JIB928" s="509"/>
      <c r="JIC928" s="69"/>
      <c r="JID928" s="509"/>
      <c r="JIE928" s="380"/>
      <c r="JIF928" s="381"/>
      <c r="JIG928" s="509"/>
      <c r="JIH928" s="509"/>
      <c r="JII928" s="509"/>
      <c r="JIJ928" s="69"/>
      <c r="JIK928" s="509"/>
      <c r="JIL928" s="380"/>
      <c r="JIM928" s="381"/>
      <c r="JIN928" s="509"/>
      <c r="JIO928" s="509"/>
      <c r="JIP928" s="509"/>
      <c r="JIQ928" s="69"/>
      <c r="JIR928" s="509"/>
      <c r="JIS928" s="380"/>
      <c r="JIT928" s="381"/>
      <c r="JIU928" s="509"/>
      <c r="JIV928" s="509"/>
      <c r="JIW928" s="509"/>
      <c r="JIX928" s="69"/>
      <c r="JIY928" s="509"/>
      <c r="JIZ928" s="380"/>
      <c r="JJA928" s="381"/>
      <c r="JJB928" s="509"/>
      <c r="JJC928" s="509"/>
      <c r="JJD928" s="509"/>
      <c r="JJE928" s="69"/>
      <c r="JJF928" s="509"/>
      <c r="JJG928" s="380"/>
      <c r="JJH928" s="381"/>
      <c r="JJI928" s="509"/>
      <c r="JJJ928" s="509"/>
      <c r="JJK928" s="509"/>
      <c r="JJL928" s="69"/>
      <c r="JJM928" s="509"/>
      <c r="JJN928" s="380"/>
      <c r="JJO928" s="381"/>
      <c r="JJP928" s="509"/>
      <c r="JJQ928" s="509"/>
      <c r="JJR928" s="509"/>
      <c r="JJS928" s="69"/>
      <c r="JJT928" s="509"/>
      <c r="JJU928" s="380"/>
      <c r="JJV928" s="381"/>
      <c r="JJW928" s="509"/>
      <c r="JJX928" s="509"/>
      <c r="JJY928" s="509"/>
      <c r="JJZ928" s="69"/>
      <c r="JKA928" s="509"/>
      <c r="JKB928" s="380"/>
      <c r="JKC928" s="381"/>
      <c r="JKD928" s="509"/>
      <c r="JKE928" s="509"/>
      <c r="JKF928" s="509"/>
      <c r="JKG928" s="69"/>
      <c r="JKH928" s="509"/>
      <c r="JKI928" s="380"/>
      <c r="JKJ928" s="381"/>
      <c r="JKK928" s="509"/>
      <c r="JKL928" s="509"/>
      <c r="JKM928" s="509"/>
      <c r="JKN928" s="69"/>
      <c r="JKO928" s="509"/>
      <c r="JKP928" s="380"/>
      <c r="JKQ928" s="381"/>
      <c r="JKR928" s="509"/>
      <c r="JKS928" s="509"/>
      <c r="JKT928" s="509"/>
      <c r="JKU928" s="69"/>
      <c r="JKV928" s="509"/>
      <c r="JKW928" s="380"/>
      <c r="JKX928" s="381"/>
      <c r="JKY928" s="509"/>
      <c r="JKZ928" s="509"/>
      <c r="JLA928" s="509"/>
      <c r="JLB928" s="69"/>
      <c r="JLC928" s="509"/>
      <c r="JLD928" s="380"/>
      <c r="JLE928" s="381"/>
      <c r="JLF928" s="509"/>
      <c r="JLG928" s="509"/>
      <c r="JLH928" s="509"/>
      <c r="JLI928" s="69"/>
      <c r="JLJ928" s="509"/>
      <c r="JLK928" s="380"/>
      <c r="JLL928" s="381"/>
      <c r="JLM928" s="509"/>
      <c r="JLN928" s="509"/>
      <c r="JLO928" s="509"/>
      <c r="JLP928" s="69"/>
      <c r="JLQ928" s="509"/>
      <c r="JLR928" s="380"/>
      <c r="JLS928" s="381"/>
      <c r="JLT928" s="509"/>
      <c r="JLU928" s="509"/>
      <c r="JLV928" s="509"/>
      <c r="JLW928" s="69"/>
      <c r="JLX928" s="509"/>
      <c r="JLY928" s="380"/>
      <c r="JLZ928" s="381"/>
      <c r="JMA928" s="509"/>
      <c r="JMB928" s="509"/>
      <c r="JMC928" s="509"/>
      <c r="JMD928" s="69"/>
      <c r="JME928" s="509"/>
      <c r="JMF928" s="380"/>
      <c r="JMG928" s="381"/>
      <c r="JMH928" s="509"/>
      <c r="JMI928" s="509"/>
      <c r="JMJ928" s="509"/>
      <c r="JMK928" s="69"/>
      <c r="JML928" s="509"/>
      <c r="JMM928" s="380"/>
      <c r="JMN928" s="381"/>
      <c r="JMO928" s="509"/>
      <c r="JMP928" s="509"/>
      <c r="JMQ928" s="509"/>
      <c r="JMR928" s="69"/>
      <c r="JMS928" s="509"/>
      <c r="JMT928" s="380"/>
      <c r="JMU928" s="381"/>
      <c r="JMV928" s="509"/>
      <c r="JMW928" s="509"/>
      <c r="JMX928" s="509"/>
      <c r="JMY928" s="69"/>
      <c r="JMZ928" s="509"/>
      <c r="JNA928" s="380"/>
      <c r="JNB928" s="381"/>
      <c r="JNC928" s="509"/>
      <c r="JND928" s="509"/>
      <c r="JNE928" s="509"/>
      <c r="JNF928" s="69"/>
      <c r="JNG928" s="509"/>
      <c r="JNH928" s="380"/>
      <c r="JNI928" s="381"/>
      <c r="JNJ928" s="509"/>
      <c r="JNK928" s="509"/>
      <c r="JNL928" s="509"/>
      <c r="JNM928" s="69"/>
      <c r="JNN928" s="509"/>
      <c r="JNO928" s="380"/>
      <c r="JNP928" s="381"/>
      <c r="JNQ928" s="509"/>
      <c r="JNR928" s="509"/>
      <c r="JNS928" s="509"/>
      <c r="JNT928" s="69"/>
      <c r="JNU928" s="509"/>
      <c r="JNV928" s="380"/>
      <c r="JNW928" s="381"/>
      <c r="JNX928" s="509"/>
      <c r="JNY928" s="509"/>
      <c r="JNZ928" s="509"/>
      <c r="JOA928" s="69"/>
      <c r="JOB928" s="509"/>
      <c r="JOC928" s="380"/>
      <c r="JOD928" s="381"/>
      <c r="JOE928" s="509"/>
      <c r="JOF928" s="509"/>
      <c r="JOG928" s="509"/>
      <c r="JOH928" s="69"/>
      <c r="JOI928" s="509"/>
      <c r="JOJ928" s="380"/>
      <c r="JOK928" s="381"/>
      <c r="JOL928" s="509"/>
      <c r="JOM928" s="509"/>
      <c r="JON928" s="509"/>
      <c r="JOO928" s="69"/>
      <c r="JOP928" s="509"/>
      <c r="JOQ928" s="380"/>
      <c r="JOR928" s="381"/>
      <c r="JOS928" s="509"/>
      <c r="JOT928" s="509"/>
      <c r="JOU928" s="509"/>
      <c r="JOV928" s="69"/>
      <c r="JOW928" s="509"/>
      <c r="JOX928" s="380"/>
      <c r="JOY928" s="381"/>
      <c r="JOZ928" s="509"/>
      <c r="JPA928" s="509"/>
      <c r="JPB928" s="509"/>
      <c r="JPC928" s="69"/>
      <c r="JPD928" s="509"/>
      <c r="JPE928" s="380"/>
      <c r="JPF928" s="381"/>
      <c r="JPG928" s="509"/>
      <c r="JPH928" s="509"/>
      <c r="JPI928" s="509"/>
      <c r="JPJ928" s="69"/>
      <c r="JPK928" s="509"/>
      <c r="JPL928" s="380"/>
      <c r="JPM928" s="381"/>
      <c r="JPN928" s="509"/>
      <c r="JPO928" s="509"/>
      <c r="JPP928" s="509"/>
      <c r="JPQ928" s="69"/>
      <c r="JPR928" s="509"/>
      <c r="JPS928" s="380"/>
      <c r="JPT928" s="381"/>
      <c r="JPU928" s="509"/>
      <c r="JPV928" s="509"/>
      <c r="JPW928" s="509"/>
      <c r="JPX928" s="69"/>
      <c r="JPY928" s="509"/>
      <c r="JPZ928" s="380"/>
      <c r="JQA928" s="381"/>
      <c r="JQB928" s="509"/>
      <c r="JQC928" s="509"/>
      <c r="JQD928" s="509"/>
      <c r="JQE928" s="69"/>
      <c r="JQF928" s="509"/>
      <c r="JQG928" s="380"/>
      <c r="JQH928" s="381"/>
      <c r="JQI928" s="509"/>
      <c r="JQJ928" s="509"/>
      <c r="JQK928" s="509"/>
      <c r="JQL928" s="69"/>
      <c r="JQM928" s="509"/>
      <c r="JQN928" s="380"/>
      <c r="JQO928" s="381"/>
      <c r="JQP928" s="509"/>
      <c r="JQQ928" s="509"/>
      <c r="JQR928" s="509"/>
      <c r="JQS928" s="69"/>
      <c r="JQT928" s="509"/>
      <c r="JQU928" s="380"/>
      <c r="JQV928" s="381"/>
      <c r="JQW928" s="509"/>
      <c r="JQX928" s="509"/>
      <c r="JQY928" s="509"/>
      <c r="JQZ928" s="69"/>
      <c r="JRA928" s="509"/>
      <c r="JRB928" s="380"/>
      <c r="JRC928" s="381"/>
      <c r="JRD928" s="509"/>
      <c r="JRE928" s="509"/>
      <c r="JRF928" s="509"/>
      <c r="JRG928" s="69"/>
      <c r="JRH928" s="509"/>
      <c r="JRI928" s="380"/>
      <c r="JRJ928" s="381"/>
      <c r="JRK928" s="509"/>
      <c r="JRL928" s="509"/>
      <c r="JRM928" s="509"/>
      <c r="JRN928" s="69"/>
      <c r="JRO928" s="509"/>
      <c r="JRP928" s="380"/>
      <c r="JRQ928" s="381"/>
      <c r="JRR928" s="509"/>
      <c r="JRS928" s="509"/>
      <c r="JRT928" s="509"/>
      <c r="JRU928" s="69"/>
      <c r="JRV928" s="509"/>
      <c r="JRW928" s="380"/>
      <c r="JRX928" s="381"/>
      <c r="JRY928" s="509"/>
      <c r="JRZ928" s="509"/>
      <c r="JSA928" s="509"/>
      <c r="JSB928" s="69"/>
      <c r="JSC928" s="509"/>
      <c r="JSD928" s="380"/>
      <c r="JSE928" s="381"/>
      <c r="JSF928" s="509"/>
      <c r="JSG928" s="509"/>
      <c r="JSH928" s="509"/>
      <c r="JSI928" s="69"/>
      <c r="JSJ928" s="509"/>
      <c r="JSK928" s="380"/>
      <c r="JSL928" s="381"/>
      <c r="JSM928" s="509"/>
      <c r="JSN928" s="509"/>
      <c r="JSO928" s="509"/>
      <c r="JSP928" s="69"/>
      <c r="JSQ928" s="509"/>
      <c r="JSR928" s="380"/>
      <c r="JSS928" s="381"/>
      <c r="JST928" s="509"/>
      <c r="JSU928" s="509"/>
      <c r="JSV928" s="509"/>
      <c r="JSW928" s="69"/>
      <c r="JSX928" s="509"/>
      <c r="JSY928" s="380"/>
      <c r="JSZ928" s="381"/>
      <c r="JTA928" s="509"/>
      <c r="JTB928" s="509"/>
      <c r="JTC928" s="509"/>
      <c r="JTD928" s="69"/>
      <c r="JTE928" s="509"/>
      <c r="JTF928" s="380"/>
      <c r="JTG928" s="381"/>
      <c r="JTH928" s="509"/>
      <c r="JTI928" s="509"/>
      <c r="JTJ928" s="509"/>
      <c r="JTK928" s="69"/>
      <c r="JTL928" s="509"/>
      <c r="JTM928" s="380"/>
      <c r="JTN928" s="381"/>
      <c r="JTO928" s="509"/>
      <c r="JTP928" s="509"/>
      <c r="JTQ928" s="509"/>
      <c r="JTR928" s="69"/>
      <c r="JTS928" s="509"/>
      <c r="JTT928" s="380"/>
      <c r="JTU928" s="381"/>
      <c r="JTV928" s="509"/>
      <c r="JTW928" s="509"/>
      <c r="JTX928" s="509"/>
      <c r="JTY928" s="69"/>
      <c r="JTZ928" s="509"/>
      <c r="JUA928" s="380"/>
      <c r="JUB928" s="381"/>
      <c r="JUC928" s="509"/>
      <c r="JUD928" s="509"/>
      <c r="JUE928" s="509"/>
      <c r="JUF928" s="69"/>
      <c r="JUG928" s="509"/>
      <c r="JUH928" s="380"/>
      <c r="JUI928" s="381"/>
      <c r="JUJ928" s="509"/>
      <c r="JUK928" s="509"/>
      <c r="JUL928" s="509"/>
      <c r="JUM928" s="69"/>
      <c r="JUN928" s="509"/>
      <c r="JUO928" s="380"/>
      <c r="JUP928" s="381"/>
      <c r="JUQ928" s="509"/>
      <c r="JUR928" s="509"/>
      <c r="JUS928" s="509"/>
      <c r="JUT928" s="69"/>
      <c r="JUU928" s="509"/>
      <c r="JUV928" s="380"/>
      <c r="JUW928" s="381"/>
      <c r="JUX928" s="509"/>
      <c r="JUY928" s="509"/>
      <c r="JUZ928" s="509"/>
      <c r="JVA928" s="69"/>
      <c r="JVB928" s="509"/>
      <c r="JVC928" s="380"/>
      <c r="JVD928" s="381"/>
      <c r="JVE928" s="509"/>
      <c r="JVF928" s="509"/>
      <c r="JVG928" s="509"/>
      <c r="JVH928" s="69"/>
      <c r="JVI928" s="509"/>
      <c r="JVJ928" s="380"/>
      <c r="JVK928" s="381"/>
      <c r="JVL928" s="509"/>
      <c r="JVM928" s="509"/>
      <c r="JVN928" s="509"/>
      <c r="JVO928" s="69"/>
      <c r="JVP928" s="509"/>
      <c r="JVQ928" s="380"/>
      <c r="JVR928" s="381"/>
      <c r="JVS928" s="509"/>
      <c r="JVT928" s="509"/>
      <c r="JVU928" s="509"/>
      <c r="JVV928" s="69"/>
      <c r="JVW928" s="509"/>
      <c r="JVX928" s="380"/>
      <c r="JVY928" s="381"/>
      <c r="JVZ928" s="509"/>
      <c r="JWA928" s="509"/>
      <c r="JWB928" s="509"/>
      <c r="JWC928" s="69"/>
      <c r="JWD928" s="509"/>
      <c r="JWE928" s="380"/>
      <c r="JWF928" s="381"/>
      <c r="JWG928" s="509"/>
      <c r="JWH928" s="509"/>
      <c r="JWI928" s="509"/>
      <c r="JWJ928" s="69"/>
      <c r="JWK928" s="509"/>
      <c r="JWL928" s="380"/>
      <c r="JWM928" s="381"/>
      <c r="JWN928" s="509"/>
      <c r="JWO928" s="509"/>
      <c r="JWP928" s="509"/>
      <c r="JWQ928" s="69"/>
      <c r="JWR928" s="509"/>
      <c r="JWS928" s="380"/>
      <c r="JWT928" s="381"/>
      <c r="JWU928" s="509"/>
      <c r="JWV928" s="509"/>
      <c r="JWW928" s="509"/>
      <c r="JWX928" s="69"/>
      <c r="JWY928" s="509"/>
      <c r="JWZ928" s="380"/>
      <c r="JXA928" s="381"/>
      <c r="JXB928" s="509"/>
      <c r="JXC928" s="509"/>
      <c r="JXD928" s="509"/>
      <c r="JXE928" s="69"/>
      <c r="JXF928" s="509"/>
      <c r="JXG928" s="380"/>
      <c r="JXH928" s="381"/>
      <c r="JXI928" s="509"/>
      <c r="JXJ928" s="509"/>
      <c r="JXK928" s="509"/>
      <c r="JXL928" s="69"/>
      <c r="JXM928" s="509"/>
      <c r="JXN928" s="380"/>
      <c r="JXO928" s="381"/>
      <c r="JXP928" s="509"/>
      <c r="JXQ928" s="509"/>
      <c r="JXR928" s="509"/>
      <c r="JXS928" s="69"/>
      <c r="JXT928" s="509"/>
      <c r="JXU928" s="380"/>
      <c r="JXV928" s="381"/>
      <c r="JXW928" s="509"/>
      <c r="JXX928" s="509"/>
      <c r="JXY928" s="509"/>
      <c r="JXZ928" s="69"/>
      <c r="JYA928" s="509"/>
      <c r="JYB928" s="380"/>
      <c r="JYC928" s="381"/>
      <c r="JYD928" s="509"/>
      <c r="JYE928" s="509"/>
      <c r="JYF928" s="509"/>
      <c r="JYG928" s="69"/>
      <c r="JYH928" s="509"/>
      <c r="JYI928" s="380"/>
      <c r="JYJ928" s="381"/>
      <c r="JYK928" s="509"/>
      <c r="JYL928" s="509"/>
      <c r="JYM928" s="509"/>
      <c r="JYN928" s="69"/>
      <c r="JYO928" s="509"/>
      <c r="JYP928" s="380"/>
      <c r="JYQ928" s="381"/>
      <c r="JYR928" s="509"/>
      <c r="JYS928" s="509"/>
      <c r="JYT928" s="509"/>
      <c r="JYU928" s="69"/>
      <c r="JYV928" s="509"/>
      <c r="JYW928" s="380"/>
      <c r="JYX928" s="381"/>
      <c r="JYY928" s="509"/>
      <c r="JYZ928" s="509"/>
      <c r="JZA928" s="509"/>
      <c r="JZB928" s="69"/>
      <c r="JZC928" s="509"/>
      <c r="JZD928" s="380"/>
      <c r="JZE928" s="381"/>
      <c r="JZF928" s="509"/>
      <c r="JZG928" s="509"/>
      <c r="JZH928" s="509"/>
      <c r="JZI928" s="69"/>
      <c r="JZJ928" s="509"/>
      <c r="JZK928" s="380"/>
      <c r="JZL928" s="381"/>
      <c r="JZM928" s="509"/>
      <c r="JZN928" s="509"/>
      <c r="JZO928" s="509"/>
      <c r="JZP928" s="69"/>
      <c r="JZQ928" s="509"/>
      <c r="JZR928" s="380"/>
      <c r="JZS928" s="381"/>
      <c r="JZT928" s="509"/>
      <c r="JZU928" s="509"/>
      <c r="JZV928" s="509"/>
      <c r="JZW928" s="69"/>
      <c r="JZX928" s="509"/>
      <c r="JZY928" s="380"/>
      <c r="JZZ928" s="381"/>
      <c r="KAA928" s="509"/>
      <c r="KAB928" s="509"/>
      <c r="KAC928" s="509"/>
      <c r="KAD928" s="69"/>
      <c r="KAE928" s="509"/>
      <c r="KAF928" s="380"/>
      <c r="KAG928" s="381"/>
      <c r="KAH928" s="509"/>
      <c r="KAI928" s="509"/>
      <c r="KAJ928" s="509"/>
      <c r="KAK928" s="69"/>
      <c r="KAL928" s="509"/>
      <c r="KAM928" s="380"/>
      <c r="KAN928" s="381"/>
      <c r="KAO928" s="509"/>
      <c r="KAP928" s="509"/>
      <c r="KAQ928" s="509"/>
      <c r="KAR928" s="69"/>
      <c r="KAS928" s="509"/>
      <c r="KAT928" s="380"/>
      <c r="KAU928" s="381"/>
      <c r="KAV928" s="509"/>
      <c r="KAW928" s="509"/>
      <c r="KAX928" s="509"/>
      <c r="KAY928" s="69"/>
      <c r="KAZ928" s="509"/>
      <c r="KBA928" s="380"/>
      <c r="KBB928" s="381"/>
      <c r="KBC928" s="509"/>
      <c r="KBD928" s="509"/>
      <c r="KBE928" s="509"/>
      <c r="KBF928" s="69"/>
      <c r="KBG928" s="509"/>
      <c r="KBH928" s="380"/>
      <c r="KBI928" s="381"/>
      <c r="KBJ928" s="509"/>
      <c r="KBK928" s="509"/>
      <c r="KBL928" s="509"/>
      <c r="KBM928" s="69"/>
      <c r="KBN928" s="509"/>
      <c r="KBO928" s="380"/>
      <c r="KBP928" s="381"/>
      <c r="KBQ928" s="509"/>
      <c r="KBR928" s="509"/>
      <c r="KBS928" s="509"/>
      <c r="KBT928" s="69"/>
      <c r="KBU928" s="509"/>
      <c r="KBV928" s="380"/>
      <c r="KBW928" s="381"/>
      <c r="KBX928" s="509"/>
      <c r="KBY928" s="509"/>
      <c r="KBZ928" s="509"/>
      <c r="KCA928" s="69"/>
      <c r="KCB928" s="509"/>
      <c r="KCC928" s="380"/>
      <c r="KCD928" s="381"/>
      <c r="KCE928" s="509"/>
      <c r="KCF928" s="509"/>
      <c r="KCG928" s="509"/>
      <c r="KCH928" s="69"/>
      <c r="KCI928" s="509"/>
      <c r="KCJ928" s="380"/>
      <c r="KCK928" s="381"/>
      <c r="KCL928" s="509"/>
      <c r="KCM928" s="509"/>
      <c r="KCN928" s="509"/>
      <c r="KCO928" s="69"/>
      <c r="KCP928" s="509"/>
      <c r="KCQ928" s="380"/>
      <c r="KCR928" s="381"/>
      <c r="KCS928" s="509"/>
      <c r="KCT928" s="509"/>
      <c r="KCU928" s="509"/>
      <c r="KCV928" s="69"/>
      <c r="KCW928" s="509"/>
      <c r="KCX928" s="380"/>
      <c r="KCY928" s="381"/>
      <c r="KCZ928" s="509"/>
      <c r="KDA928" s="509"/>
      <c r="KDB928" s="509"/>
      <c r="KDC928" s="69"/>
      <c r="KDD928" s="509"/>
      <c r="KDE928" s="380"/>
      <c r="KDF928" s="381"/>
      <c r="KDG928" s="509"/>
      <c r="KDH928" s="509"/>
      <c r="KDI928" s="509"/>
      <c r="KDJ928" s="69"/>
      <c r="KDK928" s="509"/>
      <c r="KDL928" s="380"/>
      <c r="KDM928" s="381"/>
      <c r="KDN928" s="509"/>
      <c r="KDO928" s="509"/>
      <c r="KDP928" s="509"/>
      <c r="KDQ928" s="69"/>
      <c r="KDR928" s="509"/>
      <c r="KDS928" s="380"/>
      <c r="KDT928" s="381"/>
      <c r="KDU928" s="509"/>
      <c r="KDV928" s="509"/>
      <c r="KDW928" s="509"/>
      <c r="KDX928" s="69"/>
      <c r="KDY928" s="509"/>
      <c r="KDZ928" s="380"/>
      <c r="KEA928" s="381"/>
      <c r="KEB928" s="509"/>
      <c r="KEC928" s="509"/>
      <c r="KED928" s="509"/>
      <c r="KEE928" s="69"/>
      <c r="KEF928" s="509"/>
      <c r="KEG928" s="380"/>
      <c r="KEH928" s="381"/>
      <c r="KEI928" s="509"/>
      <c r="KEJ928" s="509"/>
      <c r="KEK928" s="509"/>
      <c r="KEL928" s="69"/>
      <c r="KEM928" s="509"/>
      <c r="KEN928" s="380"/>
      <c r="KEO928" s="381"/>
      <c r="KEP928" s="509"/>
      <c r="KEQ928" s="509"/>
      <c r="KER928" s="509"/>
      <c r="KES928" s="69"/>
      <c r="KET928" s="509"/>
      <c r="KEU928" s="380"/>
      <c r="KEV928" s="381"/>
      <c r="KEW928" s="509"/>
      <c r="KEX928" s="509"/>
      <c r="KEY928" s="509"/>
      <c r="KEZ928" s="69"/>
      <c r="KFA928" s="509"/>
      <c r="KFB928" s="380"/>
      <c r="KFC928" s="381"/>
      <c r="KFD928" s="509"/>
      <c r="KFE928" s="509"/>
      <c r="KFF928" s="509"/>
      <c r="KFG928" s="69"/>
      <c r="KFH928" s="509"/>
      <c r="KFI928" s="380"/>
      <c r="KFJ928" s="381"/>
      <c r="KFK928" s="509"/>
      <c r="KFL928" s="509"/>
      <c r="KFM928" s="509"/>
      <c r="KFN928" s="69"/>
      <c r="KFO928" s="509"/>
      <c r="KFP928" s="380"/>
      <c r="KFQ928" s="381"/>
      <c r="KFR928" s="509"/>
      <c r="KFS928" s="509"/>
      <c r="KFT928" s="509"/>
      <c r="KFU928" s="69"/>
      <c r="KFV928" s="509"/>
      <c r="KFW928" s="380"/>
      <c r="KFX928" s="381"/>
      <c r="KFY928" s="509"/>
      <c r="KFZ928" s="509"/>
      <c r="KGA928" s="509"/>
      <c r="KGB928" s="69"/>
      <c r="KGC928" s="509"/>
      <c r="KGD928" s="380"/>
      <c r="KGE928" s="381"/>
      <c r="KGF928" s="509"/>
      <c r="KGG928" s="509"/>
      <c r="KGH928" s="509"/>
      <c r="KGI928" s="69"/>
      <c r="KGJ928" s="509"/>
      <c r="KGK928" s="380"/>
      <c r="KGL928" s="381"/>
      <c r="KGM928" s="509"/>
      <c r="KGN928" s="509"/>
      <c r="KGO928" s="509"/>
      <c r="KGP928" s="69"/>
      <c r="KGQ928" s="509"/>
      <c r="KGR928" s="380"/>
      <c r="KGS928" s="381"/>
      <c r="KGT928" s="509"/>
      <c r="KGU928" s="509"/>
      <c r="KGV928" s="509"/>
      <c r="KGW928" s="69"/>
      <c r="KGX928" s="509"/>
      <c r="KGY928" s="380"/>
      <c r="KGZ928" s="381"/>
      <c r="KHA928" s="509"/>
      <c r="KHB928" s="509"/>
      <c r="KHC928" s="509"/>
      <c r="KHD928" s="69"/>
      <c r="KHE928" s="509"/>
      <c r="KHF928" s="380"/>
      <c r="KHG928" s="381"/>
      <c r="KHH928" s="509"/>
      <c r="KHI928" s="509"/>
      <c r="KHJ928" s="509"/>
      <c r="KHK928" s="69"/>
      <c r="KHL928" s="509"/>
      <c r="KHM928" s="380"/>
      <c r="KHN928" s="381"/>
      <c r="KHO928" s="509"/>
      <c r="KHP928" s="509"/>
      <c r="KHQ928" s="509"/>
      <c r="KHR928" s="69"/>
      <c r="KHS928" s="509"/>
      <c r="KHT928" s="380"/>
      <c r="KHU928" s="381"/>
      <c r="KHV928" s="509"/>
      <c r="KHW928" s="509"/>
      <c r="KHX928" s="509"/>
      <c r="KHY928" s="69"/>
      <c r="KHZ928" s="509"/>
      <c r="KIA928" s="380"/>
      <c r="KIB928" s="381"/>
      <c r="KIC928" s="509"/>
      <c r="KID928" s="509"/>
      <c r="KIE928" s="509"/>
      <c r="KIF928" s="69"/>
      <c r="KIG928" s="509"/>
      <c r="KIH928" s="380"/>
      <c r="KII928" s="381"/>
      <c r="KIJ928" s="509"/>
      <c r="KIK928" s="509"/>
      <c r="KIL928" s="509"/>
      <c r="KIM928" s="69"/>
      <c r="KIN928" s="509"/>
      <c r="KIO928" s="380"/>
      <c r="KIP928" s="381"/>
      <c r="KIQ928" s="509"/>
      <c r="KIR928" s="509"/>
      <c r="KIS928" s="509"/>
      <c r="KIT928" s="69"/>
      <c r="KIU928" s="509"/>
      <c r="KIV928" s="380"/>
      <c r="KIW928" s="381"/>
      <c r="KIX928" s="509"/>
      <c r="KIY928" s="509"/>
      <c r="KIZ928" s="509"/>
      <c r="KJA928" s="69"/>
      <c r="KJB928" s="509"/>
      <c r="KJC928" s="380"/>
      <c r="KJD928" s="381"/>
      <c r="KJE928" s="509"/>
      <c r="KJF928" s="509"/>
      <c r="KJG928" s="509"/>
      <c r="KJH928" s="69"/>
      <c r="KJI928" s="509"/>
      <c r="KJJ928" s="380"/>
      <c r="KJK928" s="381"/>
      <c r="KJL928" s="509"/>
      <c r="KJM928" s="509"/>
      <c r="KJN928" s="509"/>
      <c r="KJO928" s="69"/>
      <c r="KJP928" s="509"/>
      <c r="KJQ928" s="380"/>
      <c r="KJR928" s="381"/>
      <c r="KJS928" s="509"/>
      <c r="KJT928" s="509"/>
      <c r="KJU928" s="509"/>
      <c r="KJV928" s="69"/>
      <c r="KJW928" s="509"/>
      <c r="KJX928" s="380"/>
      <c r="KJY928" s="381"/>
      <c r="KJZ928" s="509"/>
      <c r="KKA928" s="509"/>
      <c r="KKB928" s="509"/>
      <c r="KKC928" s="69"/>
      <c r="KKD928" s="509"/>
      <c r="KKE928" s="380"/>
      <c r="KKF928" s="381"/>
      <c r="KKG928" s="509"/>
      <c r="KKH928" s="509"/>
      <c r="KKI928" s="509"/>
      <c r="KKJ928" s="69"/>
      <c r="KKK928" s="509"/>
      <c r="KKL928" s="380"/>
      <c r="KKM928" s="381"/>
      <c r="KKN928" s="509"/>
      <c r="KKO928" s="509"/>
      <c r="KKP928" s="509"/>
      <c r="KKQ928" s="69"/>
      <c r="KKR928" s="509"/>
      <c r="KKS928" s="380"/>
      <c r="KKT928" s="381"/>
      <c r="KKU928" s="509"/>
      <c r="KKV928" s="509"/>
      <c r="KKW928" s="509"/>
      <c r="KKX928" s="69"/>
      <c r="KKY928" s="509"/>
      <c r="KKZ928" s="380"/>
      <c r="KLA928" s="381"/>
      <c r="KLB928" s="509"/>
      <c r="KLC928" s="509"/>
      <c r="KLD928" s="509"/>
      <c r="KLE928" s="69"/>
      <c r="KLF928" s="509"/>
      <c r="KLG928" s="380"/>
      <c r="KLH928" s="381"/>
      <c r="KLI928" s="509"/>
      <c r="KLJ928" s="509"/>
      <c r="KLK928" s="509"/>
      <c r="KLL928" s="69"/>
      <c r="KLM928" s="509"/>
      <c r="KLN928" s="380"/>
      <c r="KLO928" s="381"/>
      <c r="KLP928" s="509"/>
      <c r="KLQ928" s="509"/>
      <c r="KLR928" s="509"/>
      <c r="KLS928" s="69"/>
      <c r="KLT928" s="509"/>
      <c r="KLU928" s="380"/>
      <c r="KLV928" s="381"/>
      <c r="KLW928" s="509"/>
      <c r="KLX928" s="509"/>
      <c r="KLY928" s="509"/>
      <c r="KLZ928" s="69"/>
      <c r="KMA928" s="509"/>
      <c r="KMB928" s="380"/>
      <c r="KMC928" s="381"/>
      <c r="KMD928" s="509"/>
      <c r="KME928" s="509"/>
      <c r="KMF928" s="509"/>
      <c r="KMG928" s="69"/>
      <c r="KMH928" s="509"/>
      <c r="KMI928" s="380"/>
      <c r="KMJ928" s="381"/>
      <c r="KMK928" s="509"/>
      <c r="KML928" s="509"/>
      <c r="KMM928" s="509"/>
      <c r="KMN928" s="69"/>
      <c r="KMO928" s="509"/>
      <c r="KMP928" s="380"/>
      <c r="KMQ928" s="381"/>
      <c r="KMR928" s="509"/>
      <c r="KMS928" s="509"/>
      <c r="KMT928" s="509"/>
      <c r="KMU928" s="69"/>
      <c r="KMV928" s="509"/>
      <c r="KMW928" s="380"/>
      <c r="KMX928" s="381"/>
      <c r="KMY928" s="509"/>
      <c r="KMZ928" s="509"/>
      <c r="KNA928" s="509"/>
      <c r="KNB928" s="69"/>
      <c r="KNC928" s="509"/>
      <c r="KND928" s="380"/>
      <c r="KNE928" s="381"/>
      <c r="KNF928" s="509"/>
      <c r="KNG928" s="509"/>
      <c r="KNH928" s="509"/>
      <c r="KNI928" s="69"/>
      <c r="KNJ928" s="509"/>
      <c r="KNK928" s="380"/>
      <c r="KNL928" s="381"/>
      <c r="KNM928" s="509"/>
      <c r="KNN928" s="509"/>
      <c r="KNO928" s="509"/>
      <c r="KNP928" s="69"/>
      <c r="KNQ928" s="509"/>
      <c r="KNR928" s="380"/>
      <c r="KNS928" s="381"/>
      <c r="KNT928" s="509"/>
      <c r="KNU928" s="509"/>
      <c r="KNV928" s="509"/>
      <c r="KNW928" s="69"/>
      <c r="KNX928" s="509"/>
      <c r="KNY928" s="380"/>
      <c r="KNZ928" s="381"/>
      <c r="KOA928" s="509"/>
      <c r="KOB928" s="509"/>
      <c r="KOC928" s="509"/>
      <c r="KOD928" s="69"/>
      <c r="KOE928" s="509"/>
      <c r="KOF928" s="380"/>
      <c r="KOG928" s="381"/>
      <c r="KOH928" s="509"/>
      <c r="KOI928" s="509"/>
      <c r="KOJ928" s="509"/>
      <c r="KOK928" s="69"/>
      <c r="KOL928" s="509"/>
      <c r="KOM928" s="380"/>
      <c r="KON928" s="381"/>
      <c r="KOO928" s="509"/>
      <c r="KOP928" s="509"/>
      <c r="KOQ928" s="509"/>
      <c r="KOR928" s="69"/>
      <c r="KOS928" s="509"/>
      <c r="KOT928" s="380"/>
      <c r="KOU928" s="381"/>
      <c r="KOV928" s="509"/>
      <c r="KOW928" s="509"/>
      <c r="KOX928" s="509"/>
      <c r="KOY928" s="69"/>
      <c r="KOZ928" s="509"/>
      <c r="KPA928" s="380"/>
      <c r="KPB928" s="381"/>
      <c r="KPC928" s="509"/>
      <c r="KPD928" s="509"/>
      <c r="KPE928" s="509"/>
      <c r="KPF928" s="69"/>
      <c r="KPG928" s="509"/>
      <c r="KPH928" s="380"/>
      <c r="KPI928" s="381"/>
      <c r="KPJ928" s="509"/>
      <c r="KPK928" s="509"/>
      <c r="KPL928" s="509"/>
      <c r="KPM928" s="69"/>
      <c r="KPN928" s="509"/>
      <c r="KPO928" s="380"/>
      <c r="KPP928" s="381"/>
      <c r="KPQ928" s="509"/>
      <c r="KPR928" s="509"/>
      <c r="KPS928" s="509"/>
      <c r="KPT928" s="69"/>
      <c r="KPU928" s="509"/>
      <c r="KPV928" s="380"/>
      <c r="KPW928" s="381"/>
      <c r="KPX928" s="509"/>
      <c r="KPY928" s="509"/>
      <c r="KPZ928" s="509"/>
      <c r="KQA928" s="69"/>
      <c r="KQB928" s="509"/>
      <c r="KQC928" s="380"/>
      <c r="KQD928" s="381"/>
      <c r="KQE928" s="509"/>
      <c r="KQF928" s="509"/>
      <c r="KQG928" s="509"/>
      <c r="KQH928" s="69"/>
      <c r="KQI928" s="509"/>
      <c r="KQJ928" s="380"/>
      <c r="KQK928" s="381"/>
      <c r="KQL928" s="509"/>
      <c r="KQM928" s="509"/>
      <c r="KQN928" s="509"/>
      <c r="KQO928" s="69"/>
      <c r="KQP928" s="509"/>
      <c r="KQQ928" s="380"/>
      <c r="KQR928" s="381"/>
      <c r="KQS928" s="509"/>
      <c r="KQT928" s="509"/>
      <c r="KQU928" s="509"/>
      <c r="KQV928" s="69"/>
      <c r="KQW928" s="509"/>
      <c r="KQX928" s="380"/>
      <c r="KQY928" s="381"/>
      <c r="KQZ928" s="509"/>
      <c r="KRA928" s="509"/>
      <c r="KRB928" s="509"/>
      <c r="KRC928" s="69"/>
      <c r="KRD928" s="509"/>
      <c r="KRE928" s="380"/>
      <c r="KRF928" s="381"/>
      <c r="KRG928" s="509"/>
      <c r="KRH928" s="509"/>
      <c r="KRI928" s="509"/>
      <c r="KRJ928" s="69"/>
      <c r="KRK928" s="509"/>
      <c r="KRL928" s="380"/>
      <c r="KRM928" s="381"/>
      <c r="KRN928" s="509"/>
      <c r="KRO928" s="509"/>
      <c r="KRP928" s="509"/>
      <c r="KRQ928" s="69"/>
      <c r="KRR928" s="509"/>
      <c r="KRS928" s="380"/>
      <c r="KRT928" s="381"/>
      <c r="KRU928" s="509"/>
      <c r="KRV928" s="509"/>
      <c r="KRW928" s="509"/>
      <c r="KRX928" s="69"/>
      <c r="KRY928" s="509"/>
      <c r="KRZ928" s="380"/>
      <c r="KSA928" s="381"/>
      <c r="KSB928" s="509"/>
      <c r="KSC928" s="509"/>
      <c r="KSD928" s="509"/>
      <c r="KSE928" s="69"/>
      <c r="KSF928" s="509"/>
      <c r="KSG928" s="380"/>
      <c r="KSH928" s="381"/>
      <c r="KSI928" s="509"/>
      <c r="KSJ928" s="509"/>
      <c r="KSK928" s="509"/>
      <c r="KSL928" s="69"/>
      <c r="KSM928" s="509"/>
      <c r="KSN928" s="380"/>
      <c r="KSO928" s="381"/>
      <c r="KSP928" s="509"/>
      <c r="KSQ928" s="509"/>
      <c r="KSR928" s="509"/>
      <c r="KSS928" s="69"/>
      <c r="KST928" s="509"/>
      <c r="KSU928" s="380"/>
      <c r="KSV928" s="381"/>
      <c r="KSW928" s="509"/>
      <c r="KSX928" s="509"/>
      <c r="KSY928" s="509"/>
      <c r="KSZ928" s="69"/>
      <c r="KTA928" s="509"/>
      <c r="KTB928" s="380"/>
      <c r="KTC928" s="381"/>
      <c r="KTD928" s="509"/>
      <c r="KTE928" s="509"/>
      <c r="KTF928" s="509"/>
      <c r="KTG928" s="69"/>
      <c r="KTH928" s="509"/>
      <c r="KTI928" s="380"/>
      <c r="KTJ928" s="381"/>
      <c r="KTK928" s="509"/>
      <c r="KTL928" s="509"/>
      <c r="KTM928" s="509"/>
      <c r="KTN928" s="69"/>
      <c r="KTO928" s="509"/>
      <c r="KTP928" s="380"/>
      <c r="KTQ928" s="381"/>
      <c r="KTR928" s="509"/>
      <c r="KTS928" s="509"/>
      <c r="KTT928" s="509"/>
      <c r="KTU928" s="69"/>
      <c r="KTV928" s="509"/>
      <c r="KTW928" s="380"/>
      <c r="KTX928" s="381"/>
      <c r="KTY928" s="509"/>
      <c r="KTZ928" s="509"/>
      <c r="KUA928" s="509"/>
      <c r="KUB928" s="69"/>
      <c r="KUC928" s="509"/>
      <c r="KUD928" s="380"/>
      <c r="KUE928" s="381"/>
      <c r="KUF928" s="509"/>
      <c r="KUG928" s="509"/>
      <c r="KUH928" s="509"/>
      <c r="KUI928" s="69"/>
      <c r="KUJ928" s="509"/>
      <c r="KUK928" s="380"/>
      <c r="KUL928" s="381"/>
      <c r="KUM928" s="509"/>
      <c r="KUN928" s="509"/>
      <c r="KUO928" s="509"/>
      <c r="KUP928" s="69"/>
      <c r="KUQ928" s="509"/>
      <c r="KUR928" s="380"/>
      <c r="KUS928" s="381"/>
      <c r="KUT928" s="509"/>
      <c r="KUU928" s="509"/>
      <c r="KUV928" s="509"/>
      <c r="KUW928" s="69"/>
      <c r="KUX928" s="509"/>
      <c r="KUY928" s="380"/>
      <c r="KUZ928" s="381"/>
      <c r="KVA928" s="509"/>
      <c r="KVB928" s="509"/>
      <c r="KVC928" s="509"/>
      <c r="KVD928" s="69"/>
      <c r="KVE928" s="509"/>
      <c r="KVF928" s="380"/>
      <c r="KVG928" s="381"/>
      <c r="KVH928" s="509"/>
      <c r="KVI928" s="509"/>
      <c r="KVJ928" s="509"/>
      <c r="KVK928" s="69"/>
      <c r="KVL928" s="509"/>
      <c r="KVM928" s="380"/>
      <c r="KVN928" s="381"/>
      <c r="KVO928" s="509"/>
      <c r="KVP928" s="509"/>
      <c r="KVQ928" s="509"/>
      <c r="KVR928" s="69"/>
      <c r="KVS928" s="509"/>
      <c r="KVT928" s="380"/>
      <c r="KVU928" s="381"/>
      <c r="KVV928" s="509"/>
      <c r="KVW928" s="509"/>
      <c r="KVX928" s="509"/>
      <c r="KVY928" s="69"/>
      <c r="KVZ928" s="509"/>
      <c r="KWA928" s="380"/>
      <c r="KWB928" s="381"/>
      <c r="KWC928" s="509"/>
      <c r="KWD928" s="509"/>
      <c r="KWE928" s="509"/>
      <c r="KWF928" s="69"/>
      <c r="KWG928" s="509"/>
      <c r="KWH928" s="380"/>
      <c r="KWI928" s="381"/>
      <c r="KWJ928" s="509"/>
      <c r="KWK928" s="509"/>
      <c r="KWL928" s="509"/>
      <c r="KWM928" s="69"/>
      <c r="KWN928" s="509"/>
      <c r="KWO928" s="380"/>
      <c r="KWP928" s="381"/>
      <c r="KWQ928" s="509"/>
      <c r="KWR928" s="509"/>
      <c r="KWS928" s="509"/>
      <c r="KWT928" s="69"/>
      <c r="KWU928" s="509"/>
      <c r="KWV928" s="380"/>
      <c r="KWW928" s="381"/>
      <c r="KWX928" s="509"/>
      <c r="KWY928" s="509"/>
      <c r="KWZ928" s="509"/>
      <c r="KXA928" s="69"/>
      <c r="KXB928" s="509"/>
      <c r="KXC928" s="380"/>
      <c r="KXD928" s="381"/>
      <c r="KXE928" s="509"/>
      <c r="KXF928" s="509"/>
      <c r="KXG928" s="509"/>
      <c r="KXH928" s="69"/>
      <c r="KXI928" s="509"/>
      <c r="KXJ928" s="380"/>
      <c r="KXK928" s="381"/>
      <c r="KXL928" s="509"/>
      <c r="KXM928" s="509"/>
      <c r="KXN928" s="509"/>
      <c r="KXO928" s="69"/>
      <c r="KXP928" s="509"/>
      <c r="KXQ928" s="380"/>
      <c r="KXR928" s="381"/>
      <c r="KXS928" s="509"/>
      <c r="KXT928" s="509"/>
      <c r="KXU928" s="509"/>
      <c r="KXV928" s="69"/>
      <c r="KXW928" s="509"/>
      <c r="KXX928" s="380"/>
      <c r="KXY928" s="381"/>
      <c r="KXZ928" s="509"/>
      <c r="KYA928" s="509"/>
      <c r="KYB928" s="509"/>
      <c r="KYC928" s="69"/>
      <c r="KYD928" s="509"/>
      <c r="KYE928" s="380"/>
      <c r="KYF928" s="381"/>
      <c r="KYG928" s="509"/>
      <c r="KYH928" s="509"/>
      <c r="KYI928" s="509"/>
      <c r="KYJ928" s="69"/>
      <c r="KYK928" s="509"/>
      <c r="KYL928" s="380"/>
      <c r="KYM928" s="381"/>
      <c r="KYN928" s="509"/>
      <c r="KYO928" s="509"/>
      <c r="KYP928" s="509"/>
      <c r="KYQ928" s="69"/>
      <c r="KYR928" s="509"/>
      <c r="KYS928" s="380"/>
      <c r="KYT928" s="381"/>
      <c r="KYU928" s="509"/>
      <c r="KYV928" s="509"/>
      <c r="KYW928" s="509"/>
      <c r="KYX928" s="69"/>
      <c r="KYY928" s="509"/>
      <c r="KYZ928" s="380"/>
      <c r="KZA928" s="381"/>
      <c r="KZB928" s="509"/>
      <c r="KZC928" s="509"/>
      <c r="KZD928" s="509"/>
      <c r="KZE928" s="69"/>
      <c r="KZF928" s="509"/>
      <c r="KZG928" s="380"/>
      <c r="KZH928" s="381"/>
      <c r="KZI928" s="509"/>
      <c r="KZJ928" s="509"/>
      <c r="KZK928" s="509"/>
      <c r="KZL928" s="69"/>
      <c r="KZM928" s="509"/>
      <c r="KZN928" s="380"/>
      <c r="KZO928" s="381"/>
      <c r="KZP928" s="509"/>
      <c r="KZQ928" s="509"/>
      <c r="KZR928" s="509"/>
      <c r="KZS928" s="69"/>
      <c r="KZT928" s="509"/>
      <c r="KZU928" s="380"/>
      <c r="KZV928" s="381"/>
      <c r="KZW928" s="509"/>
      <c r="KZX928" s="509"/>
      <c r="KZY928" s="509"/>
      <c r="KZZ928" s="69"/>
      <c r="LAA928" s="509"/>
      <c r="LAB928" s="380"/>
      <c r="LAC928" s="381"/>
      <c r="LAD928" s="509"/>
      <c r="LAE928" s="509"/>
      <c r="LAF928" s="509"/>
      <c r="LAG928" s="69"/>
      <c r="LAH928" s="509"/>
      <c r="LAI928" s="380"/>
      <c r="LAJ928" s="381"/>
      <c r="LAK928" s="509"/>
      <c r="LAL928" s="509"/>
      <c r="LAM928" s="509"/>
      <c r="LAN928" s="69"/>
      <c r="LAO928" s="509"/>
      <c r="LAP928" s="380"/>
      <c r="LAQ928" s="381"/>
      <c r="LAR928" s="509"/>
      <c r="LAS928" s="509"/>
      <c r="LAT928" s="509"/>
      <c r="LAU928" s="69"/>
      <c r="LAV928" s="509"/>
      <c r="LAW928" s="380"/>
      <c r="LAX928" s="381"/>
      <c r="LAY928" s="509"/>
      <c r="LAZ928" s="509"/>
      <c r="LBA928" s="509"/>
      <c r="LBB928" s="69"/>
      <c r="LBC928" s="509"/>
      <c r="LBD928" s="380"/>
      <c r="LBE928" s="381"/>
      <c r="LBF928" s="509"/>
      <c r="LBG928" s="509"/>
      <c r="LBH928" s="509"/>
      <c r="LBI928" s="69"/>
      <c r="LBJ928" s="509"/>
      <c r="LBK928" s="380"/>
      <c r="LBL928" s="381"/>
      <c r="LBM928" s="509"/>
      <c r="LBN928" s="509"/>
      <c r="LBO928" s="509"/>
      <c r="LBP928" s="69"/>
      <c r="LBQ928" s="509"/>
      <c r="LBR928" s="380"/>
      <c r="LBS928" s="381"/>
      <c r="LBT928" s="509"/>
      <c r="LBU928" s="509"/>
      <c r="LBV928" s="509"/>
      <c r="LBW928" s="69"/>
      <c r="LBX928" s="509"/>
      <c r="LBY928" s="380"/>
      <c r="LBZ928" s="381"/>
      <c r="LCA928" s="509"/>
      <c r="LCB928" s="509"/>
      <c r="LCC928" s="509"/>
      <c r="LCD928" s="69"/>
      <c r="LCE928" s="509"/>
      <c r="LCF928" s="380"/>
      <c r="LCG928" s="381"/>
      <c r="LCH928" s="509"/>
      <c r="LCI928" s="509"/>
      <c r="LCJ928" s="509"/>
      <c r="LCK928" s="69"/>
      <c r="LCL928" s="509"/>
      <c r="LCM928" s="380"/>
      <c r="LCN928" s="381"/>
      <c r="LCO928" s="509"/>
      <c r="LCP928" s="509"/>
      <c r="LCQ928" s="509"/>
      <c r="LCR928" s="69"/>
      <c r="LCS928" s="509"/>
      <c r="LCT928" s="380"/>
      <c r="LCU928" s="381"/>
      <c r="LCV928" s="509"/>
      <c r="LCW928" s="509"/>
      <c r="LCX928" s="509"/>
      <c r="LCY928" s="69"/>
      <c r="LCZ928" s="509"/>
      <c r="LDA928" s="380"/>
      <c r="LDB928" s="381"/>
      <c r="LDC928" s="509"/>
      <c r="LDD928" s="509"/>
      <c r="LDE928" s="509"/>
      <c r="LDF928" s="69"/>
      <c r="LDG928" s="509"/>
      <c r="LDH928" s="380"/>
      <c r="LDI928" s="381"/>
      <c r="LDJ928" s="509"/>
      <c r="LDK928" s="509"/>
      <c r="LDL928" s="509"/>
      <c r="LDM928" s="69"/>
      <c r="LDN928" s="509"/>
      <c r="LDO928" s="380"/>
      <c r="LDP928" s="381"/>
      <c r="LDQ928" s="509"/>
      <c r="LDR928" s="509"/>
      <c r="LDS928" s="509"/>
      <c r="LDT928" s="69"/>
      <c r="LDU928" s="509"/>
      <c r="LDV928" s="380"/>
      <c r="LDW928" s="381"/>
      <c r="LDX928" s="509"/>
      <c r="LDY928" s="509"/>
      <c r="LDZ928" s="509"/>
      <c r="LEA928" s="69"/>
      <c r="LEB928" s="509"/>
      <c r="LEC928" s="380"/>
      <c r="LED928" s="381"/>
      <c r="LEE928" s="509"/>
      <c r="LEF928" s="509"/>
      <c r="LEG928" s="509"/>
      <c r="LEH928" s="69"/>
      <c r="LEI928" s="509"/>
      <c r="LEJ928" s="380"/>
      <c r="LEK928" s="381"/>
      <c r="LEL928" s="509"/>
      <c r="LEM928" s="509"/>
      <c r="LEN928" s="509"/>
      <c r="LEO928" s="69"/>
      <c r="LEP928" s="509"/>
      <c r="LEQ928" s="380"/>
      <c r="LER928" s="381"/>
      <c r="LES928" s="509"/>
      <c r="LET928" s="509"/>
      <c r="LEU928" s="509"/>
      <c r="LEV928" s="69"/>
      <c r="LEW928" s="509"/>
      <c r="LEX928" s="380"/>
      <c r="LEY928" s="381"/>
      <c r="LEZ928" s="509"/>
      <c r="LFA928" s="509"/>
      <c r="LFB928" s="509"/>
      <c r="LFC928" s="69"/>
      <c r="LFD928" s="509"/>
      <c r="LFE928" s="380"/>
      <c r="LFF928" s="381"/>
      <c r="LFG928" s="509"/>
      <c r="LFH928" s="509"/>
      <c r="LFI928" s="509"/>
      <c r="LFJ928" s="69"/>
      <c r="LFK928" s="509"/>
      <c r="LFL928" s="380"/>
      <c r="LFM928" s="381"/>
      <c r="LFN928" s="509"/>
      <c r="LFO928" s="509"/>
      <c r="LFP928" s="509"/>
      <c r="LFQ928" s="69"/>
      <c r="LFR928" s="509"/>
      <c r="LFS928" s="380"/>
      <c r="LFT928" s="381"/>
      <c r="LFU928" s="509"/>
      <c r="LFV928" s="509"/>
      <c r="LFW928" s="509"/>
      <c r="LFX928" s="69"/>
      <c r="LFY928" s="509"/>
      <c r="LFZ928" s="380"/>
      <c r="LGA928" s="381"/>
      <c r="LGB928" s="509"/>
      <c r="LGC928" s="509"/>
      <c r="LGD928" s="509"/>
      <c r="LGE928" s="69"/>
      <c r="LGF928" s="509"/>
      <c r="LGG928" s="380"/>
      <c r="LGH928" s="381"/>
      <c r="LGI928" s="509"/>
      <c r="LGJ928" s="509"/>
      <c r="LGK928" s="509"/>
      <c r="LGL928" s="69"/>
      <c r="LGM928" s="509"/>
      <c r="LGN928" s="380"/>
      <c r="LGO928" s="381"/>
      <c r="LGP928" s="509"/>
      <c r="LGQ928" s="509"/>
      <c r="LGR928" s="509"/>
      <c r="LGS928" s="69"/>
      <c r="LGT928" s="509"/>
      <c r="LGU928" s="380"/>
      <c r="LGV928" s="381"/>
      <c r="LGW928" s="509"/>
      <c r="LGX928" s="509"/>
      <c r="LGY928" s="509"/>
      <c r="LGZ928" s="69"/>
      <c r="LHA928" s="509"/>
      <c r="LHB928" s="380"/>
      <c r="LHC928" s="381"/>
      <c r="LHD928" s="509"/>
      <c r="LHE928" s="509"/>
      <c r="LHF928" s="509"/>
      <c r="LHG928" s="69"/>
      <c r="LHH928" s="509"/>
      <c r="LHI928" s="380"/>
      <c r="LHJ928" s="381"/>
      <c r="LHK928" s="509"/>
      <c r="LHL928" s="509"/>
      <c r="LHM928" s="509"/>
      <c r="LHN928" s="69"/>
      <c r="LHO928" s="509"/>
      <c r="LHP928" s="380"/>
      <c r="LHQ928" s="381"/>
      <c r="LHR928" s="509"/>
      <c r="LHS928" s="509"/>
      <c r="LHT928" s="509"/>
      <c r="LHU928" s="69"/>
      <c r="LHV928" s="509"/>
      <c r="LHW928" s="380"/>
      <c r="LHX928" s="381"/>
      <c r="LHY928" s="509"/>
      <c r="LHZ928" s="509"/>
      <c r="LIA928" s="509"/>
      <c r="LIB928" s="69"/>
      <c r="LIC928" s="509"/>
      <c r="LID928" s="380"/>
      <c r="LIE928" s="381"/>
      <c r="LIF928" s="509"/>
      <c r="LIG928" s="509"/>
      <c r="LIH928" s="509"/>
      <c r="LII928" s="69"/>
      <c r="LIJ928" s="509"/>
      <c r="LIK928" s="380"/>
      <c r="LIL928" s="381"/>
      <c r="LIM928" s="509"/>
      <c r="LIN928" s="509"/>
      <c r="LIO928" s="509"/>
      <c r="LIP928" s="69"/>
      <c r="LIQ928" s="509"/>
      <c r="LIR928" s="380"/>
      <c r="LIS928" s="381"/>
      <c r="LIT928" s="509"/>
      <c r="LIU928" s="509"/>
      <c r="LIV928" s="509"/>
      <c r="LIW928" s="69"/>
      <c r="LIX928" s="509"/>
      <c r="LIY928" s="380"/>
      <c r="LIZ928" s="381"/>
      <c r="LJA928" s="509"/>
      <c r="LJB928" s="509"/>
      <c r="LJC928" s="509"/>
      <c r="LJD928" s="69"/>
      <c r="LJE928" s="509"/>
      <c r="LJF928" s="380"/>
      <c r="LJG928" s="381"/>
      <c r="LJH928" s="509"/>
      <c r="LJI928" s="509"/>
      <c r="LJJ928" s="509"/>
      <c r="LJK928" s="69"/>
      <c r="LJL928" s="509"/>
      <c r="LJM928" s="380"/>
      <c r="LJN928" s="381"/>
      <c r="LJO928" s="509"/>
      <c r="LJP928" s="509"/>
      <c r="LJQ928" s="509"/>
      <c r="LJR928" s="69"/>
      <c r="LJS928" s="509"/>
      <c r="LJT928" s="380"/>
      <c r="LJU928" s="381"/>
      <c r="LJV928" s="509"/>
      <c r="LJW928" s="509"/>
      <c r="LJX928" s="509"/>
      <c r="LJY928" s="69"/>
      <c r="LJZ928" s="509"/>
      <c r="LKA928" s="380"/>
      <c r="LKB928" s="381"/>
      <c r="LKC928" s="509"/>
      <c r="LKD928" s="509"/>
      <c r="LKE928" s="509"/>
      <c r="LKF928" s="69"/>
      <c r="LKG928" s="509"/>
      <c r="LKH928" s="380"/>
      <c r="LKI928" s="381"/>
      <c r="LKJ928" s="509"/>
      <c r="LKK928" s="509"/>
      <c r="LKL928" s="509"/>
      <c r="LKM928" s="69"/>
      <c r="LKN928" s="509"/>
      <c r="LKO928" s="380"/>
      <c r="LKP928" s="381"/>
      <c r="LKQ928" s="509"/>
      <c r="LKR928" s="509"/>
      <c r="LKS928" s="509"/>
      <c r="LKT928" s="69"/>
      <c r="LKU928" s="509"/>
      <c r="LKV928" s="380"/>
      <c r="LKW928" s="381"/>
      <c r="LKX928" s="509"/>
      <c r="LKY928" s="509"/>
      <c r="LKZ928" s="509"/>
      <c r="LLA928" s="69"/>
      <c r="LLB928" s="509"/>
      <c r="LLC928" s="380"/>
      <c r="LLD928" s="381"/>
      <c r="LLE928" s="509"/>
      <c r="LLF928" s="509"/>
      <c r="LLG928" s="509"/>
      <c r="LLH928" s="69"/>
      <c r="LLI928" s="509"/>
      <c r="LLJ928" s="380"/>
      <c r="LLK928" s="381"/>
      <c r="LLL928" s="509"/>
      <c r="LLM928" s="509"/>
      <c r="LLN928" s="509"/>
      <c r="LLO928" s="69"/>
      <c r="LLP928" s="509"/>
      <c r="LLQ928" s="380"/>
      <c r="LLR928" s="381"/>
      <c r="LLS928" s="509"/>
      <c r="LLT928" s="509"/>
      <c r="LLU928" s="509"/>
      <c r="LLV928" s="69"/>
      <c r="LLW928" s="509"/>
      <c r="LLX928" s="380"/>
      <c r="LLY928" s="381"/>
      <c r="LLZ928" s="509"/>
      <c r="LMA928" s="509"/>
      <c r="LMB928" s="509"/>
      <c r="LMC928" s="69"/>
      <c r="LMD928" s="509"/>
      <c r="LME928" s="380"/>
      <c r="LMF928" s="381"/>
      <c r="LMG928" s="509"/>
      <c r="LMH928" s="509"/>
      <c r="LMI928" s="509"/>
      <c r="LMJ928" s="69"/>
      <c r="LMK928" s="509"/>
      <c r="LML928" s="380"/>
      <c r="LMM928" s="381"/>
      <c r="LMN928" s="509"/>
      <c r="LMO928" s="509"/>
      <c r="LMP928" s="509"/>
      <c r="LMQ928" s="69"/>
      <c r="LMR928" s="509"/>
      <c r="LMS928" s="380"/>
      <c r="LMT928" s="381"/>
      <c r="LMU928" s="509"/>
      <c r="LMV928" s="509"/>
      <c r="LMW928" s="509"/>
      <c r="LMX928" s="69"/>
      <c r="LMY928" s="509"/>
      <c r="LMZ928" s="380"/>
      <c r="LNA928" s="381"/>
      <c r="LNB928" s="509"/>
      <c r="LNC928" s="509"/>
      <c r="LND928" s="509"/>
      <c r="LNE928" s="69"/>
      <c r="LNF928" s="509"/>
      <c r="LNG928" s="380"/>
      <c r="LNH928" s="381"/>
      <c r="LNI928" s="509"/>
      <c r="LNJ928" s="509"/>
      <c r="LNK928" s="509"/>
      <c r="LNL928" s="69"/>
      <c r="LNM928" s="509"/>
      <c r="LNN928" s="380"/>
      <c r="LNO928" s="381"/>
      <c r="LNP928" s="509"/>
      <c r="LNQ928" s="509"/>
      <c r="LNR928" s="509"/>
      <c r="LNS928" s="69"/>
      <c r="LNT928" s="509"/>
      <c r="LNU928" s="380"/>
      <c r="LNV928" s="381"/>
      <c r="LNW928" s="509"/>
      <c r="LNX928" s="509"/>
      <c r="LNY928" s="509"/>
      <c r="LNZ928" s="69"/>
      <c r="LOA928" s="509"/>
      <c r="LOB928" s="380"/>
      <c r="LOC928" s="381"/>
      <c r="LOD928" s="509"/>
      <c r="LOE928" s="509"/>
      <c r="LOF928" s="509"/>
      <c r="LOG928" s="69"/>
      <c r="LOH928" s="509"/>
      <c r="LOI928" s="380"/>
      <c r="LOJ928" s="381"/>
      <c r="LOK928" s="509"/>
      <c r="LOL928" s="509"/>
      <c r="LOM928" s="509"/>
      <c r="LON928" s="69"/>
      <c r="LOO928" s="509"/>
      <c r="LOP928" s="380"/>
      <c r="LOQ928" s="381"/>
      <c r="LOR928" s="509"/>
      <c r="LOS928" s="509"/>
      <c r="LOT928" s="509"/>
      <c r="LOU928" s="69"/>
      <c r="LOV928" s="509"/>
      <c r="LOW928" s="380"/>
      <c r="LOX928" s="381"/>
      <c r="LOY928" s="509"/>
      <c r="LOZ928" s="509"/>
      <c r="LPA928" s="509"/>
      <c r="LPB928" s="69"/>
      <c r="LPC928" s="509"/>
      <c r="LPD928" s="380"/>
      <c r="LPE928" s="381"/>
      <c r="LPF928" s="509"/>
      <c r="LPG928" s="509"/>
      <c r="LPH928" s="509"/>
      <c r="LPI928" s="69"/>
      <c r="LPJ928" s="509"/>
      <c r="LPK928" s="380"/>
      <c r="LPL928" s="381"/>
      <c r="LPM928" s="509"/>
      <c r="LPN928" s="509"/>
      <c r="LPO928" s="509"/>
      <c r="LPP928" s="69"/>
      <c r="LPQ928" s="509"/>
      <c r="LPR928" s="380"/>
      <c r="LPS928" s="381"/>
      <c r="LPT928" s="509"/>
      <c r="LPU928" s="509"/>
      <c r="LPV928" s="509"/>
      <c r="LPW928" s="69"/>
      <c r="LPX928" s="509"/>
      <c r="LPY928" s="380"/>
      <c r="LPZ928" s="381"/>
      <c r="LQA928" s="509"/>
      <c r="LQB928" s="509"/>
      <c r="LQC928" s="509"/>
      <c r="LQD928" s="69"/>
      <c r="LQE928" s="509"/>
      <c r="LQF928" s="380"/>
      <c r="LQG928" s="381"/>
      <c r="LQH928" s="509"/>
      <c r="LQI928" s="509"/>
      <c r="LQJ928" s="509"/>
      <c r="LQK928" s="69"/>
      <c r="LQL928" s="509"/>
      <c r="LQM928" s="380"/>
      <c r="LQN928" s="381"/>
      <c r="LQO928" s="509"/>
      <c r="LQP928" s="509"/>
      <c r="LQQ928" s="509"/>
      <c r="LQR928" s="69"/>
      <c r="LQS928" s="509"/>
      <c r="LQT928" s="380"/>
      <c r="LQU928" s="381"/>
      <c r="LQV928" s="509"/>
      <c r="LQW928" s="509"/>
      <c r="LQX928" s="509"/>
      <c r="LQY928" s="69"/>
      <c r="LQZ928" s="509"/>
      <c r="LRA928" s="380"/>
      <c r="LRB928" s="381"/>
      <c r="LRC928" s="509"/>
      <c r="LRD928" s="509"/>
      <c r="LRE928" s="509"/>
      <c r="LRF928" s="69"/>
      <c r="LRG928" s="509"/>
      <c r="LRH928" s="380"/>
      <c r="LRI928" s="381"/>
      <c r="LRJ928" s="509"/>
      <c r="LRK928" s="509"/>
      <c r="LRL928" s="509"/>
      <c r="LRM928" s="69"/>
      <c r="LRN928" s="509"/>
      <c r="LRO928" s="380"/>
      <c r="LRP928" s="381"/>
      <c r="LRQ928" s="509"/>
      <c r="LRR928" s="509"/>
      <c r="LRS928" s="509"/>
      <c r="LRT928" s="69"/>
      <c r="LRU928" s="509"/>
      <c r="LRV928" s="380"/>
      <c r="LRW928" s="381"/>
      <c r="LRX928" s="509"/>
      <c r="LRY928" s="509"/>
      <c r="LRZ928" s="509"/>
      <c r="LSA928" s="69"/>
      <c r="LSB928" s="509"/>
      <c r="LSC928" s="380"/>
      <c r="LSD928" s="381"/>
      <c r="LSE928" s="509"/>
      <c r="LSF928" s="509"/>
      <c r="LSG928" s="509"/>
      <c r="LSH928" s="69"/>
      <c r="LSI928" s="509"/>
      <c r="LSJ928" s="380"/>
      <c r="LSK928" s="381"/>
      <c r="LSL928" s="509"/>
      <c r="LSM928" s="509"/>
      <c r="LSN928" s="509"/>
      <c r="LSO928" s="69"/>
      <c r="LSP928" s="509"/>
      <c r="LSQ928" s="380"/>
      <c r="LSR928" s="381"/>
      <c r="LSS928" s="509"/>
      <c r="LST928" s="509"/>
      <c r="LSU928" s="509"/>
      <c r="LSV928" s="69"/>
      <c r="LSW928" s="509"/>
      <c r="LSX928" s="380"/>
      <c r="LSY928" s="381"/>
      <c r="LSZ928" s="509"/>
      <c r="LTA928" s="509"/>
      <c r="LTB928" s="509"/>
      <c r="LTC928" s="69"/>
      <c r="LTD928" s="509"/>
      <c r="LTE928" s="380"/>
      <c r="LTF928" s="381"/>
      <c r="LTG928" s="509"/>
      <c r="LTH928" s="509"/>
      <c r="LTI928" s="509"/>
      <c r="LTJ928" s="69"/>
      <c r="LTK928" s="509"/>
      <c r="LTL928" s="380"/>
      <c r="LTM928" s="381"/>
      <c r="LTN928" s="509"/>
      <c r="LTO928" s="509"/>
      <c r="LTP928" s="509"/>
      <c r="LTQ928" s="69"/>
      <c r="LTR928" s="509"/>
      <c r="LTS928" s="380"/>
      <c r="LTT928" s="381"/>
      <c r="LTU928" s="509"/>
      <c r="LTV928" s="509"/>
      <c r="LTW928" s="509"/>
      <c r="LTX928" s="69"/>
      <c r="LTY928" s="509"/>
      <c r="LTZ928" s="380"/>
      <c r="LUA928" s="381"/>
      <c r="LUB928" s="509"/>
      <c r="LUC928" s="509"/>
      <c r="LUD928" s="509"/>
      <c r="LUE928" s="69"/>
      <c r="LUF928" s="509"/>
      <c r="LUG928" s="380"/>
      <c r="LUH928" s="381"/>
      <c r="LUI928" s="509"/>
      <c r="LUJ928" s="509"/>
      <c r="LUK928" s="509"/>
      <c r="LUL928" s="69"/>
      <c r="LUM928" s="509"/>
      <c r="LUN928" s="380"/>
      <c r="LUO928" s="381"/>
      <c r="LUP928" s="509"/>
      <c r="LUQ928" s="509"/>
      <c r="LUR928" s="509"/>
      <c r="LUS928" s="69"/>
      <c r="LUT928" s="509"/>
      <c r="LUU928" s="380"/>
      <c r="LUV928" s="381"/>
      <c r="LUW928" s="509"/>
      <c r="LUX928" s="509"/>
      <c r="LUY928" s="509"/>
      <c r="LUZ928" s="69"/>
      <c r="LVA928" s="509"/>
      <c r="LVB928" s="380"/>
      <c r="LVC928" s="381"/>
      <c r="LVD928" s="509"/>
      <c r="LVE928" s="509"/>
      <c r="LVF928" s="509"/>
      <c r="LVG928" s="69"/>
      <c r="LVH928" s="509"/>
      <c r="LVI928" s="380"/>
      <c r="LVJ928" s="381"/>
      <c r="LVK928" s="509"/>
      <c r="LVL928" s="509"/>
      <c r="LVM928" s="509"/>
      <c r="LVN928" s="69"/>
      <c r="LVO928" s="509"/>
      <c r="LVP928" s="380"/>
      <c r="LVQ928" s="381"/>
      <c r="LVR928" s="509"/>
      <c r="LVS928" s="509"/>
      <c r="LVT928" s="509"/>
      <c r="LVU928" s="69"/>
      <c r="LVV928" s="509"/>
      <c r="LVW928" s="380"/>
      <c r="LVX928" s="381"/>
      <c r="LVY928" s="509"/>
      <c r="LVZ928" s="509"/>
      <c r="LWA928" s="509"/>
      <c r="LWB928" s="69"/>
      <c r="LWC928" s="509"/>
      <c r="LWD928" s="380"/>
      <c r="LWE928" s="381"/>
      <c r="LWF928" s="509"/>
      <c r="LWG928" s="509"/>
      <c r="LWH928" s="509"/>
      <c r="LWI928" s="69"/>
      <c r="LWJ928" s="509"/>
      <c r="LWK928" s="380"/>
      <c r="LWL928" s="381"/>
      <c r="LWM928" s="509"/>
      <c r="LWN928" s="509"/>
      <c r="LWO928" s="509"/>
      <c r="LWP928" s="69"/>
      <c r="LWQ928" s="509"/>
      <c r="LWR928" s="380"/>
      <c r="LWS928" s="381"/>
      <c r="LWT928" s="509"/>
      <c r="LWU928" s="509"/>
      <c r="LWV928" s="509"/>
      <c r="LWW928" s="69"/>
      <c r="LWX928" s="509"/>
      <c r="LWY928" s="380"/>
      <c r="LWZ928" s="381"/>
      <c r="LXA928" s="509"/>
      <c r="LXB928" s="509"/>
      <c r="LXC928" s="509"/>
      <c r="LXD928" s="69"/>
      <c r="LXE928" s="509"/>
      <c r="LXF928" s="380"/>
      <c r="LXG928" s="381"/>
      <c r="LXH928" s="509"/>
      <c r="LXI928" s="509"/>
      <c r="LXJ928" s="509"/>
      <c r="LXK928" s="69"/>
      <c r="LXL928" s="509"/>
      <c r="LXM928" s="380"/>
      <c r="LXN928" s="381"/>
      <c r="LXO928" s="509"/>
      <c r="LXP928" s="509"/>
      <c r="LXQ928" s="509"/>
      <c r="LXR928" s="69"/>
      <c r="LXS928" s="509"/>
      <c r="LXT928" s="380"/>
      <c r="LXU928" s="381"/>
      <c r="LXV928" s="509"/>
      <c r="LXW928" s="509"/>
      <c r="LXX928" s="509"/>
      <c r="LXY928" s="69"/>
      <c r="LXZ928" s="509"/>
      <c r="LYA928" s="380"/>
      <c r="LYB928" s="381"/>
      <c r="LYC928" s="509"/>
      <c r="LYD928" s="509"/>
      <c r="LYE928" s="509"/>
      <c r="LYF928" s="69"/>
      <c r="LYG928" s="509"/>
      <c r="LYH928" s="380"/>
      <c r="LYI928" s="381"/>
      <c r="LYJ928" s="509"/>
      <c r="LYK928" s="509"/>
      <c r="LYL928" s="509"/>
      <c r="LYM928" s="69"/>
      <c r="LYN928" s="509"/>
      <c r="LYO928" s="380"/>
      <c r="LYP928" s="381"/>
      <c r="LYQ928" s="509"/>
      <c r="LYR928" s="509"/>
      <c r="LYS928" s="509"/>
      <c r="LYT928" s="69"/>
      <c r="LYU928" s="509"/>
      <c r="LYV928" s="380"/>
      <c r="LYW928" s="381"/>
      <c r="LYX928" s="509"/>
      <c r="LYY928" s="509"/>
      <c r="LYZ928" s="509"/>
      <c r="LZA928" s="69"/>
      <c r="LZB928" s="509"/>
      <c r="LZC928" s="380"/>
      <c r="LZD928" s="381"/>
      <c r="LZE928" s="509"/>
      <c r="LZF928" s="509"/>
      <c r="LZG928" s="509"/>
      <c r="LZH928" s="69"/>
      <c r="LZI928" s="509"/>
      <c r="LZJ928" s="380"/>
      <c r="LZK928" s="381"/>
      <c r="LZL928" s="509"/>
      <c r="LZM928" s="509"/>
      <c r="LZN928" s="509"/>
      <c r="LZO928" s="69"/>
      <c r="LZP928" s="509"/>
      <c r="LZQ928" s="380"/>
      <c r="LZR928" s="381"/>
      <c r="LZS928" s="509"/>
      <c r="LZT928" s="509"/>
      <c r="LZU928" s="509"/>
      <c r="LZV928" s="69"/>
      <c r="LZW928" s="509"/>
      <c r="LZX928" s="380"/>
      <c r="LZY928" s="381"/>
      <c r="LZZ928" s="509"/>
      <c r="MAA928" s="509"/>
      <c r="MAB928" s="509"/>
      <c r="MAC928" s="69"/>
      <c r="MAD928" s="509"/>
      <c r="MAE928" s="380"/>
      <c r="MAF928" s="381"/>
      <c r="MAG928" s="509"/>
      <c r="MAH928" s="509"/>
      <c r="MAI928" s="509"/>
      <c r="MAJ928" s="69"/>
      <c r="MAK928" s="509"/>
      <c r="MAL928" s="380"/>
      <c r="MAM928" s="381"/>
      <c r="MAN928" s="509"/>
      <c r="MAO928" s="509"/>
      <c r="MAP928" s="509"/>
      <c r="MAQ928" s="69"/>
      <c r="MAR928" s="509"/>
      <c r="MAS928" s="380"/>
      <c r="MAT928" s="381"/>
      <c r="MAU928" s="509"/>
      <c r="MAV928" s="509"/>
      <c r="MAW928" s="509"/>
      <c r="MAX928" s="69"/>
      <c r="MAY928" s="509"/>
      <c r="MAZ928" s="380"/>
      <c r="MBA928" s="381"/>
      <c r="MBB928" s="509"/>
      <c r="MBC928" s="509"/>
      <c r="MBD928" s="509"/>
      <c r="MBE928" s="69"/>
      <c r="MBF928" s="509"/>
      <c r="MBG928" s="380"/>
      <c r="MBH928" s="381"/>
      <c r="MBI928" s="509"/>
      <c r="MBJ928" s="509"/>
      <c r="MBK928" s="509"/>
      <c r="MBL928" s="69"/>
      <c r="MBM928" s="509"/>
      <c r="MBN928" s="380"/>
      <c r="MBO928" s="381"/>
      <c r="MBP928" s="509"/>
      <c r="MBQ928" s="509"/>
      <c r="MBR928" s="509"/>
      <c r="MBS928" s="69"/>
      <c r="MBT928" s="509"/>
      <c r="MBU928" s="380"/>
      <c r="MBV928" s="381"/>
      <c r="MBW928" s="509"/>
      <c r="MBX928" s="509"/>
      <c r="MBY928" s="509"/>
      <c r="MBZ928" s="69"/>
      <c r="MCA928" s="509"/>
      <c r="MCB928" s="380"/>
      <c r="MCC928" s="381"/>
      <c r="MCD928" s="509"/>
      <c r="MCE928" s="509"/>
      <c r="MCF928" s="509"/>
      <c r="MCG928" s="69"/>
      <c r="MCH928" s="509"/>
      <c r="MCI928" s="380"/>
      <c r="MCJ928" s="381"/>
      <c r="MCK928" s="509"/>
      <c r="MCL928" s="509"/>
      <c r="MCM928" s="509"/>
      <c r="MCN928" s="69"/>
      <c r="MCO928" s="509"/>
      <c r="MCP928" s="380"/>
      <c r="MCQ928" s="381"/>
      <c r="MCR928" s="509"/>
      <c r="MCS928" s="509"/>
      <c r="MCT928" s="509"/>
      <c r="MCU928" s="69"/>
      <c r="MCV928" s="509"/>
      <c r="MCW928" s="380"/>
      <c r="MCX928" s="381"/>
      <c r="MCY928" s="509"/>
      <c r="MCZ928" s="509"/>
      <c r="MDA928" s="509"/>
      <c r="MDB928" s="69"/>
      <c r="MDC928" s="509"/>
      <c r="MDD928" s="380"/>
      <c r="MDE928" s="381"/>
      <c r="MDF928" s="509"/>
      <c r="MDG928" s="509"/>
      <c r="MDH928" s="509"/>
      <c r="MDI928" s="69"/>
      <c r="MDJ928" s="509"/>
      <c r="MDK928" s="380"/>
      <c r="MDL928" s="381"/>
      <c r="MDM928" s="509"/>
      <c r="MDN928" s="509"/>
      <c r="MDO928" s="509"/>
      <c r="MDP928" s="69"/>
      <c r="MDQ928" s="509"/>
      <c r="MDR928" s="380"/>
      <c r="MDS928" s="381"/>
      <c r="MDT928" s="509"/>
      <c r="MDU928" s="509"/>
      <c r="MDV928" s="509"/>
      <c r="MDW928" s="69"/>
      <c r="MDX928" s="509"/>
      <c r="MDY928" s="380"/>
      <c r="MDZ928" s="381"/>
      <c r="MEA928" s="509"/>
      <c r="MEB928" s="509"/>
      <c r="MEC928" s="509"/>
      <c r="MED928" s="69"/>
      <c r="MEE928" s="509"/>
      <c r="MEF928" s="380"/>
      <c r="MEG928" s="381"/>
      <c r="MEH928" s="509"/>
      <c r="MEI928" s="509"/>
      <c r="MEJ928" s="509"/>
      <c r="MEK928" s="69"/>
      <c r="MEL928" s="509"/>
      <c r="MEM928" s="380"/>
      <c r="MEN928" s="381"/>
      <c r="MEO928" s="509"/>
      <c r="MEP928" s="509"/>
      <c r="MEQ928" s="509"/>
      <c r="MER928" s="69"/>
      <c r="MES928" s="509"/>
      <c r="MET928" s="380"/>
      <c r="MEU928" s="381"/>
      <c r="MEV928" s="509"/>
      <c r="MEW928" s="509"/>
      <c r="MEX928" s="509"/>
      <c r="MEY928" s="69"/>
      <c r="MEZ928" s="509"/>
      <c r="MFA928" s="380"/>
      <c r="MFB928" s="381"/>
      <c r="MFC928" s="509"/>
      <c r="MFD928" s="509"/>
      <c r="MFE928" s="509"/>
      <c r="MFF928" s="69"/>
      <c r="MFG928" s="509"/>
      <c r="MFH928" s="380"/>
      <c r="MFI928" s="381"/>
      <c r="MFJ928" s="509"/>
      <c r="MFK928" s="509"/>
      <c r="MFL928" s="509"/>
      <c r="MFM928" s="69"/>
      <c r="MFN928" s="509"/>
      <c r="MFO928" s="380"/>
      <c r="MFP928" s="381"/>
      <c r="MFQ928" s="509"/>
      <c r="MFR928" s="509"/>
      <c r="MFS928" s="509"/>
      <c r="MFT928" s="69"/>
      <c r="MFU928" s="509"/>
      <c r="MFV928" s="380"/>
      <c r="MFW928" s="381"/>
      <c r="MFX928" s="509"/>
      <c r="MFY928" s="509"/>
      <c r="MFZ928" s="509"/>
      <c r="MGA928" s="69"/>
      <c r="MGB928" s="509"/>
      <c r="MGC928" s="380"/>
      <c r="MGD928" s="381"/>
      <c r="MGE928" s="509"/>
      <c r="MGF928" s="509"/>
      <c r="MGG928" s="509"/>
      <c r="MGH928" s="69"/>
      <c r="MGI928" s="509"/>
      <c r="MGJ928" s="380"/>
      <c r="MGK928" s="381"/>
      <c r="MGL928" s="509"/>
      <c r="MGM928" s="509"/>
      <c r="MGN928" s="509"/>
      <c r="MGO928" s="69"/>
      <c r="MGP928" s="509"/>
      <c r="MGQ928" s="380"/>
      <c r="MGR928" s="381"/>
      <c r="MGS928" s="509"/>
      <c r="MGT928" s="509"/>
      <c r="MGU928" s="509"/>
      <c r="MGV928" s="69"/>
      <c r="MGW928" s="509"/>
      <c r="MGX928" s="380"/>
      <c r="MGY928" s="381"/>
      <c r="MGZ928" s="509"/>
      <c r="MHA928" s="509"/>
      <c r="MHB928" s="509"/>
      <c r="MHC928" s="69"/>
      <c r="MHD928" s="509"/>
      <c r="MHE928" s="380"/>
      <c r="MHF928" s="381"/>
      <c r="MHG928" s="509"/>
      <c r="MHH928" s="509"/>
      <c r="MHI928" s="509"/>
      <c r="MHJ928" s="69"/>
      <c r="MHK928" s="509"/>
      <c r="MHL928" s="380"/>
      <c r="MHM928" s="381"/>
      <c r="MHN928" s="509"/>
      <c r="MHO928" s="509"/>
      <c r="MHP928" s="509"/>
      <c r="MHQ928" s="69"/>
      <c r="MHR928" s="509"/>
      <c r="MHS928" s="380"/>
      <c r="MHT928" s="381"/>
      <c r="MHU928" s="509"/>
      <c r="MHV928" s="509"/>
      <c r="MHW928" s="509"/>
      <c r="MHX928" s="69"/>
      <c r="MHY928" s="509"/>
      <c r="MHZ928" s="380"/>
      <c r="MIA928" s="381"/>
      <c r="MIB928" s="509"/>
      <c r="MIC928" s="509"/>
      <c r="MID928" s="509"/>
      <c r="MIE928" s="69"/>
      <c r="MIF928" s="509"/>
      <c r="MIG928" s="380"/>
      <c r="MIH928" s="381"/>
      <c r="MII928" s="509"/>
      <c r="MIJ928" s="509"/>
      <c r="MIK928" s="509"/>
      <c r="MIL928" s="69"/>
      <c r="MIM928" s="509"/>
      <c r="MIN928" s="380"/>
      <c r="MIO928" s="381"/>
      <c r="MIP928" s="509"/>
      <c r="MIQ928" s="509"/>
      <c r="MIR928" s="509"/>
      <c r="MIS928" s="69"/>
      <c r="MIT928" s="509"/>
      <c r="MIU928" s="380"/>
      <c r="MIV928" s="381"/>
      <c r="MIW928" s="509"/>
      <c r="MIX928" s="509"/>
      <c r="MIY928" s="509"/>
      <c r="MIZ928" s="69"/>
      <c r="MJA928" s="509"/>
      <c r="MJB928" s="380"/>
      <c r="MJC928" s="381"/>
      <c r="MJD928" s="509"/>
      <c r="MJE928" s="509"/>
      <c r="MJF928" s="509"/>
      <c r="MJG928" s="69"/>
      <c r="MJH928" s="509"/>
      <c r="MJI928" s="380"/>
      <c r="MJJ928" s="381"/>
      <c r="MJK928" s="509"/>
      <c r="MJL928" s="509"/>
      <c r="MJM928" s="509"/>
      <c r="MJN928" s="69"/>
      <c r="MJO928" s="509"/>
      <c r="MJP928" s="380"/>
      <c r="MJQ928" s="381"/>
      <c r="MJR928" s="509"/>
      <c r="MJS928" s="509"/>
      <c r="MJT928" s="509"/>
      <c r="MJU928" s="69"/>
      <c r="MJV928" s="509"/>
      <c r="MJW928" s="380"/>
      <c r="MJX928" s="381"/>
      <c r="MJY928" s="509"/>
      <c r="MJZ928" s="509"/>
      <c r="MKA928" s="509"/>
      <c r="MKB928" s="69"/>
      <c r="MKC928" s="509"/>
      <c r="MKD928" s="380"/>
      <c r="MKE928" s="381"/>
      <c r="MKF928" s="509"/>
      <c r="MKG928" s="509"/>
      <c r="MKH928" s="509"/>
      <c r="MKI928" s="69"/>
      <c r="MKJ928" s="509"/>
      <c r="MKK928" s="380"/>
      <c r="MKL928" s="381"/>
      <c r="MKM928" s="509"/>
      <c r="MKN928" s="509"/>
      <c r="MKO928" s="509"/>
      <c r="MKP928" s="69"/>
      <c r="MKQ928" s="509"/>
      <c r="MKR928" s="380"/>
      <c r="MKS928" s="381"/>
      <c r="MKT928" s="509"/>
      <c r="MKU928" s="509"/>
      <c r="MKV928" s="509"/>
      <c r="MKW928" s="69"/>
      <c r="MKX928" s="509"/>
      <c r="MKY928" s="380"/>
      <c r="MKZ928" s="381"/>
      <c r="MLA928" s="509"/>
      <c r="MLB928" s="509"/>
      <c r="MLC928" s="509"/>
      <c r="MLD928" s="69"/>
      <c r="MLE928" s="509"/>
      <c r="MLF928" s="380"/>
      <c r="MLG928" s="381"/>
      <c r="MLH928" s="509"/>
      <c r="MLI928" s="509"/>
      <c r="MLJ928" s="509"/>
      <c r="MLK928" s="69"/>
      <c r="MLL928" s="509"/>
      <c r="MLM928" s="380"/>
      <c r="MLN928" s="381"/>
      <c r="MLO928" s="509"/>
      <c r="MLP928" s="509"/>
      <c r="MLQ928" s="509"/>
      <c r="MLR928" s="69"/>
      <c r="MLS928" s="509"/>
      <c r="MLT928" s="380"/>
      <c r="MLU928" s="381"/>
      <c r="MLV928" s="509"/>
      <c r="MLW928" s="509"/>
      <c r="MLX928" s="509"/>
      <c r="MLY928" s="69"/>
      <c r="MLZ928" s="509"/>
      <c r="MMA928" s="380"/>
      <c r="MMB928" s="381"/>
      <c r="MMC928" s="509"/>
      <c r="MMD928" s="509"/>
      <c r="MME928" s="509"/>
      <c r="MMF928" s="69"/>
      <c r="MMG928" s="509"/>
      <c r="MMH928" s="380"/>
      <c r="MMI928" s="381"/>
      <c r="MMJ928" s="509"/>
      <c r="MMK928" s="509"/>
      <c r="MML928" s="509"/>
      <c r="MMM928" s="69"/>
      <c r="MMN928" s="509"/>
      <c r="MMO928" s="380"/>
      <c r="MMP928" s="381"/>
      <c r="MMQ928" s="509"/>
      <c r="MMR928" s="509"/>
      <c r="MMS928" s="509"/>
      <c r="MMT928" s="69"/>
      <c r="MMU928" s="509"/>
      <c r="MMV928" s="380"/>
      <c r="MMW928" s="381"/>
      <c r="MMX928" s="509"/>
      <c r="MMY928" s="509"/>
      <c r="MMZ928" s="509"/>
      <c r="MNA928" s="69"/>
      <c r="MNB928" s="509"/>
      <c r="MNC928" s="380"/>
      <c r="MND928" s="381"/>
      <c r="MNE928" s="509"/>
      <c r="MNF928" s="509"/>
      <c r="MNG928" s="509"/>
      <c r="MNH928" s="69"/>
      <c r="MNI928" s="509"/>
      <c r="MNJ928" s="380"/>
      <c r="MNK928" s="381"/>
      <c r="MNL928" s="509"/>
      <c r="MNM928" s="509"/>
      <c r="MNN928" s="509"/>
      <c r="MNO928" s="69"/>
      <c r="MNP928" s="509"/>
      <c r="MNQ928" s="380"/>
      <c r="MNR928" s="381"/>
      <c r="MNS928" s="509"/>
      <c r="MNT928" s="509"/>
      <c r="MNU928" s="509"/>
      <c r="MNV928" s="69"/>
      <c r="MNW928" s="509"/>
      <c r="MNX928" s="380"/>
      <c r="MNY928" s="381"/>
      <c r="MNZ928" s="509"/>
      <c r="MOA928" s="509"/>
      <c r="MOB928" s="509"/>
      <c r="MOC928" s="69"/>
      <c r="MOD928" s="509"/>
      <c r="MOE928" s="380"/>
      <c r="MOF928" s="381"/>
      <c r="MOG928" s="509"/>
      <c r="MOH928" s="509"/>
      <c r="MOI928" s="509"/>
      <c r="MOJ928" s="69"/>
      <c r="MOK928" s="509"/>
      <c r="MOL928" s="380"/>
      <c r="MOM928" s="381"/>
      <c r="MON928" s="509"/>
      <c r="MOO928" s="509"/>
      <c r="MOP928" s="509"/>
      <c r="MOQ928" s="69"/>
      <c r="MOR928" s="509"/>
      <c r="MOS928" s="380"/>
      <c r="MOT928" s="381"/>
      <c r="MOU928" s="509"/>
      <c r="MOV928" s="509"/>
      <c r="MOW928" s="509"/>
      <c r="MOX928" s="69"/>
      <c r="MOY928" s="509"/>
      <c r="MOZ928" s="380"/>
      <c r="MPA928" s="381"/>
      <c r="MPB928" s="509"/>
      <c r="MPC928" s="509"/>
      <c r="MPD928" s="509"/>
      <c r="MPE928" s="69"/>
      <c r="MPF928" s="509"/>
      <c r="MPG928" s="380"/>
      <c r="MPH928" s="381"/>
      <c r="MPI928" s="509"/>
      <c r="MPJ928" s="509"/>
      <c r="MPK928" s="509"/>
      <c r="MPL928" s="69"/>
      <c r="MPM928" s="509"/>
      <c r="MPN928" s="380"/>
      <c r="MPO928" s="381"/>
      <c r="MPP928" s="509"/>
      <c r="MPQ928" s="509"/>
      <c r="MPR928" s="509"/>
      <c r="MPS928" s="69"/>
      <c r="MPT928" s="509"/>
      <c r="MPU928" s="380"/>
      <c r="MPV928" s="381"/>
      <c r="MPW928" s="509"/>
      <c r="MPX928" s="509"/>
      <c r="MPY928" s="509"/>
      <c r="MPZ928" s="69"/>
      <c r="MQA928" s="509"/>
      <c r="MQB928" s="380"/>
      <c r="MQC928" s="381"/>
      <c r="MQD928" s="509"/>
      <c r="MQE928" s="509"/>
      <c r="MQF928" s="509"/>
      <c r="MQG928" s="69"/>
      <c r="MQH928" s="509"/>
      <c r="MQI928" s="380"/>
      <c r="MQJ928" s="381"/>
      <c r="MQK928" s="509"/>
      <c r="MQL928" s="509"/>
      <c r="MQM928" s="509"/>
      <c r="MQN928" s="69"/>
      <c r="MQO928" s="509"/>
      <c r="MQP928" s="380"/>
      <c r="MQQ928" s="381"/>
      <c r="MQR928" s="509"/>
      <c r="MQS928" s="509"/>
      <c r="MQT928" s="509"/>
      <c r="MQU928" s="69"/>
      <c r="MQV928" s="509"/>
      <c r="MQW928" s="380"/>
      <c r="MQX928" s="381"/>
      <c r="MQY928" s="509"/>
      <c r="MQZ928" s="509"/>
      <c r="MRA928" s="509"/>
      <c r="MRB928" s="69"/>
      <c r="MRC928" s="509"/>
      <c r="MRD928" s="380"/>
      <c r="MRE928" s="381"/>
      <c r="MRF928" s="509"/>
      <c r="MRG928" s="509"/>
      <c r="MRH928" s="509"/>
      <c r="MRI928" s="69"/>
      <c r="MRJ928" s="509"/>
      <c r="MRK928" s="380"/>
      <c r="MRL928" s="381"/>
      <c r="MRM928" s="509"/>
      <c r="MRN928" s="509"/>
      <c r="MRO928" s="509"/>
      <c r="MRP928" s="69"/>
      <c r="MRQ928" s="509"/>
      <c r="MRR928" s="380"/>
      <c r="MRS928" s="381"/>
      <c r="MRT928" s="509"/>
      <c r="MRU928" s="509"/>
      <c r="MRV928" s="509"/>
      <c r="MRW928" s="69"/>
      <c r="MRX928" s="509"/>
      <c r="MRY928" s="380"/>
      <c r="MRZ928" s="381"/>
      <c r="MSA928" s="509"/>
      <c r="MSB928" s="509"/>
      <c r="MSC928" s="509"/>
      <c r="MSD928" s="69"/>
      <c r="MSE928" s="509"/>
      <c r="MSF928" s="380"/>
      <c r="MSG928" s="381"/>
      <c r="MSH928" s="509"/>
      <c r="MSI928" s="509"/>
      <c r="MSJ928" s="509"/>
      <c r="MSK928" s="69"/>
      <c r="MSL928" s="509"/>
      <c r="MSM928" s="380"/>
      <c r="MSN928" s="381"/>
      <c r="MSO928" s="509"/>
      <c r="MSP928" s="509"/>
      <c r="MSQ928" s="509"/>
      <c r="MSR928" s="69"/>
      <c r="MSS928" s="509"/>
      <c r="MST928" s="380"/>
      <c r="MSU928" s="381"/>
      <c r="MSV928" s="509"/>
      <c r="MSW928" s="509"/>
      <c r="MSX928" s="509"/>
      <c r="MSY928" s="69"/>
      <c r="MSZ928" s="509"/>
      <c r="MTA928" s="380"/>
      <c r="MTB928" s="381"/>
      <c r="MTC928" s="509"/>
      <c r="MTD928" s="509"/>
      <c r="MTE928" s="509"/>
      <c r="MTF928" s="69"/>
      <c r="MTG928" s="509"/>
      <c r="MTH928" s="380"/>
      <c r="MTI928" s="381"/>
      <c r="MTJ928" s="509"/>
      <c r="MTK928" s="509"/>
      <c r="MTL928" s="509"/>
      <c r="MTM928" s="69"/>
      <c r="MTN928" s="509"/>
      <c r="MTO928" s="380"/>
      <c r="MTP928" s="381"/>
      <c r="MTQ928" s="509"/>
      <c r="MTR928" s="509"/>
      <c r="MTS928" s="509"/>
      <c r="MTT928" s="69"/>
      <c r="MTU928" s="509"/>
      <c r="MTV928" s="380"/>
      <c r="MTW928" s="381"/>
      <c r="MTX928" s="509"/>
      <c r="MTY928" s="509"/>
      <c r="MTZ928" s="509"/>
      <c r="MUA928" s="69"/>
      <c r="MUB928" s="509"/>
      <c r="MUC928" s="380"/>
      <c r="MUD928" s="381"/>
      <c r="MUE928" s="509"/>
      <c r="MUF928" s="509"/>
      <c r="MUG928" s="509"/>
      <c r="MUH928" s="69"/>
      <c r="MUI928" s="509"/>
      <c r="MUJ928" s="380"/>
      <c r="MUK928" s="381"/>
      <c r="MUL928" s="509"/>
      <c r="MUM928" s="509"/>
      <c r="MUN928" s="509"/>
      <c r="MUO928" s="69"/>
      <c r="MUP928" s="509"/>
      <c r="MUQ928" s="380"/>
      <c r="MUR928" s="381"/>
      <c r="MUS928" s="509"/>
      <c r="MUT928" s="509"/>
      <c r="MUU928" s="509"/>
      <c r="MUV928" s="69"/>
      <c r="MUW928" s="509"/>
      <c r="MUX928" s="380"/>
      <c r="MUY928" s="381"/>
      <c r="MUZ928" s="509"/>
      <c r="MVA928" s="509"/>
      <c r="MVB928" s="509"/>
      <c r="MVC928" s="69"/>
      <c r="MVD928" s="509"/>
      <c r="MVE928" s="380"/>
      <c r="MVF928" s="381"/>
      <c r="MVG928" s="509"/>
      <c r="MVH928" s="509"/>
      <c r="MVI928" s="509"/>
      <c r="MVJ928" s="69"/>
      <c r="MVK928" s="509"/>
      <c r="MVL928" s="380"/>
      <c r="MVM928" s="381"/>
      <c r="MVN928" s="509"/>
      <c r="MVO928" s="509"/>
      <c r="MVP928" s="509"/>
      <c r="MVQ928" s="69"/>
      <c r="MVR928" s="509"/>
      <c r="MVS928" s="380"/>
      <c r="MVT928" s="381"/>
      <c r="MVU928" s="509"/>
      <c r="MVV928" s="509"/>
      <c r="MVW928" s="509"/>
      <c r="MVX928" s="69"/>
      <c r="MVY928" s="509"/>
      <c r="MVZ928" s="380"/>
      <c r="MWA928" s="381"/>
      <c r="MWB928" s="509"/>
      <c r="MWC928" s="509"/>
      <c r="MWD928" s="509"/>
      <c r="MWE928" s="69"/>
      <c r="MWF928" s="509"/>
      <c r="MWG928" s="380"/>
      <c r="MWH928" s="381"/>
      <c r="MWI928" s="509"/>
      <c r="MWJ928" s="509"/>
      <c r="MWK928" s="509"/>
      <c r="MWL928" s="69"/>
      <c r="MWM928" s="509"/>
      <c r="MWN928" s="380"/>
      <c r="MWO928" s="381"/>
      <c r="MWP928" s="509"/>
      <c r="MWQ928" s="509"/>
      <c r="MWR928" s="509"/>
      <c r="MWS928" s="69"/>
      <c r="MWT928" s="509"/>
      <c r="MWU928" s="380"/>
      <c r="MWV928" s="381"/>
      <c r="MWW928" s="509"/>
      <c r="MWX928" s="509"/>
      <c r="MWY928" s="509"/>
      <c r="MWZ928" s="69"/>
      <c r="MXA928" s="509"/>
      <c r="MXB928" s="380"/>
      <c r="MXC928" s="381"/>
      <c r="MXD928" s="509"/>
      <c r="MXE928" s="509"/>
      <c r="MXF928" s="509"/>
      <c r="MXG928" s="69"/>
      <c r="MXH928" s="509"/>
      <c r="MXI928" s="380"/>
      <c r="MXJ928" s="381"/>
      <c r="MXK928" s="509"/>
      <c r="MXL928" s="509"/>
      <c r="MXM928" s="509"/>
      <c r="MXN928" s="69"/>
      <c r="MXO928" s="509"/>
      <c r="MXP928" s="380"/>
      <c r="MXQ928" s="381"/>
      <c r="MXR928" s="509"/>
      <c r="MXS928" s="509"/>
      <c r="MXT928" s="509"/>
      <c r="MXU928" s="69"/>
      <c r="MXV928" s="509"/>
      <c r="MXW928" s="380"/>
      <c r="MXX928" s="381"/>
      <c r="MXY928" s="509"/>
      <c r="MXZ928" s="509"/>
      <c r="MYA928" s="509"/>
      <c r="MYB928" s="69"/>
      <c r="MYC928" s="509"/>
      <c r="MYD928" s="380"/>
      <c r="MYE928" s="381"/>
      <c r="MYF928" s="509"/>
      <c r="MYG928" s="509"/>
      <c r="MYH928" s="509"/>
      <c r="MYI928" s="69"/>
      <c r="MYJ928" s="509"/>
      <c r="MYK928" s="380"/>
      <c r="MYL928" s="381"/>
      <c r="MYM928" s="509"/>
      <c r="MYN928" s="509"/>
      <c r="MYO928" s="509"/>
      <c r="MYP928" s="69"/>
      <c r="MYQ928" s="509"/>
      <c r="MYR928" s="380"/>
      <c r="MYS928" s="381"/>
      <c r="MYT928" s="509"/>
      <c r="MYU928" s="509"/>
      <c r="MYV928" s="509"/>
      <c r="MYW928" s="69"/>
      <c r="MYX928" s="509"/>
      <c r="MYY928" s="380"/>
      <c r="MYZ928" s="381"/>
      <c r="MZA928" s="509"/>
      <c r="MZB928" s="509"/>
      <c r="MZC928" s="509"/>
      <c r="MZD928" s="69"/>
      <c r="MZE928" s="509"/>
      <c r="MZF928" s="380"/>
      <c r="MZG928" s="381"/>
      <c r="MZH928" s="509"/>
      <c r="MZI928" s="509"/>
      <c r="MZJ928" s="509"/>
      <c r="MZK928" s="69"/>
      <c r="MZL928" s="509"/>
      <c r="MZM928" s="380"/>
      <c r="MZN928" s="381"/>
      <c r="MZO928" s="509"/>
      <c r="MZP928" s="509"/>
      <c r="MZQ928" s="509"/>
      <c r="MZR928" s="69"/>
      <c r="MZS928" s="509"/>
      <c r="MZT928" s="380"/>
      <c r="MZU928" s="381"/>
      <c r="MZV928" s="509"/>
      <c r="MZW928" s="509"/>
      <c r="MZX928" s="509"/>
      <c r="MZY928" s="69"/>
      <c r="MZZ928" s="509"/>
      <c r="NAA928" s="380"/>
      <c r="NAB928" s="381"/>
      <c r="NAC928" s="509"/>
      <c r="NAD928" s="509"/>
      <c r="NAE928" s="509"/>
      <c r="NAF928" s="69"/>
      <c r="NAG928" s="509"/>
      <c r="NAH928" s="380"/>
      <c r="NAI928" s="381"/>
      <c r="NAJ928" s="509"/>
      <c r="NAK928" s="509"/>
      <c r="NAL928" s="509"/>
      <c r="NAM928" s="69"/>
      <c r="NAN928" s="509"/>
      <c r="NAO928" s="380"/>
      <c r="NAP928" s="381"/>
      <c r="NAQ928" s="509"/>
      <c r="NAR928" s="509"/>
      <c r="NAS928" s="509"/>
      <c r="NAT928" s="69"/>
      <c r="NAU928" s="509"/>
      <c r="NAV928" s="380"/>
      <c r="NAW928" s="381"/>
      <c r="NAX928" s="509"/>
      <c r="NAY928" s="509"/>
      <c r="NAZ928" s="509"/>
      <c r="NBA928" s="69"/>
      <c r="NBB928" s="509"/>
      <c r="NBC928" s="380"/>
      <c r="NBD928" s="381"/>
      <c r="NBE928" s="509"/>
      <c r="NBF928" s="509"/>
      <c r="NBG928" s="509"/>
      <c r="NBH928" s="69"/>
      <c r="NBI928" s="509"/>
      <c r="NBJ928" s="380"/>
      <c r="NBK928" s="381"/>
      <c r="NBL928" s="509"/>
      <c r="NBM928" s="509"/>
      <c r="NBN928" s="509"/>
      <c r="NBO928" s="69"/>
      <c r="NBP928" s="509"/>
      <c r="NBQ928" s="380"/>
      <c r="NBR928" s="381"/>
      <c r="NBS928" s="509"/>
      <c r="NBT928" s="509"/>
      <c r="NBU928" s="509"/>
      <c r="NBV928" s="69"/>
      <c r="NBW928" s="509"/>
      <c r="NBX928" s="380"/>
      <c r="NBY928" s="381"/>
      <c r="NBZ928" s="509"/>
      <c r="NCA928" s="509"/>
      <c r="NCB928" s="509"/>
      <c r="NCC928" s="69"/>
      <c r="NCD928" s="509"/>
      <c r="NCE928" s="380"/>
      <c r="NCF928" s="381"/>
      <c r="NCG928" s="509"/>
      <c r="NCH928" s="509"/>
      <c r="NCI928" s="509"/>
      <c r="NCJ928" s="69"/>
      <c r="NCK928" s="509"/>
      <c r="NCL928" s="380"/>
      <c r="NCM928" s="381"/>
      <c r="NCN928" s="509"/>
      <c r="NCO928" s="509"/>
      <c r="NCP928" s="509"/>
      <c r="NCQ928" s="69"/>
      <c r="NCR928" s="509"/>
      <c r="NCS928" s="380"/>
      <c r="NCT928" s="381"/>
      <c r="NCU928" s="509"/>
      <c r="NCV928" s="509"/>
      <c r="NCW928" s="509"/>
      <c r="NCX928" s="69"/>
      <c r="NCY928" s="509"/>
      <c r="NCZ928" s="380"/>
      <c r="NDA928" s="381"/>
      <c r="NDB928" s="509"/>
      <c r="NDC928" s="509"/>
      <c r="NDD928" s="509"/>
      <c r="NDE928" s="69"/>
      <c r="NDF928" s="509"/>
      <c r="NDG928" s="380"/>
      <c r="NDH928" s="381"/>
      <c r="NDI928" s="509"/>
      <c r="NDJ928" s="509"/>
      <c r="NDK928" s="509"/>
      <c r="NDL928" s="69"/>
      <c r="NDM928" s="509"/>
      <c r="NDN928" s="380"/>
      <c r="NDO928" s="381"/>
      <c r="NDP928" s="509"/>
      <c r="NDQ928" s="509"/>
      <c r="NDR928" s="509"/>
      <c r="NDS928" s="69"/>
      <c r="NDT928" s="509"/>
      <c r="NDU928" s="380"/>
      <c r="NDV928" s="381"/>
      <c r="NDW928" s="509"/>
      <c r="NDX928" s="509"/>
      <c r="NDY928" s="509"/>
      <c r="NDZ928" s="69"/>
      <c r="NEA928" s="509"/>
      <c r="NEB928" s="380"/>
      <c r="NEC928" s="381"/>
      <c r="NED928" s="509"/>
      <c r="NEE928" s="509"/>
      <c r="NEF928" s="509"/>
      <c r="NEG928" s="69"/>
      <c r="NEH928" s="509"/>
      <c r="NEI928" s="380"/>
      <c r="NEJ928" s="381"/>
      <c r="NEK928" s="509"/>
      <c r="NEL928" s="509"/>
      <c r="NEM928" s="509"/>
      <c r="NEN928" s="69"/>
      <c r="NEO928" s="509"/>
      <c r="NEP928" s="380"/>
      <c r="NEQ928" s="381"/>
      <c r="NER928" s="509"/>
      <c r="NES928" s="509"/>
      <c r="NET928" s="509"/>
      <c r="NEU928" s="69"/>
      <c r="NEV928" s="509"/>
      <c r="NEW928" s="380"/>
      <c r="NEX928" s="381"/>
      <c r="NEY928" s="509"/>
      <c r="NEZ928" s="509"/>
      <c r="NFA928" s="509"/>
      <c r="NFB928" s="69"/>
      <c r="NFC928" s="509"/>
      <c r="NFD928" s="380"/>
      <c r="NFE928" s="381"/>
      <c r="NFF928" s="509"/>
      <c r="NFG928" s="509"/>
      <c r="NFH928" s="509"/>
      <c r="NFI928" s="69"/>
      <c r="NFJ928" s="509"/>
      <c r="NFK928" s="380"/>
      <c r="NFL928" s="381"/>
      <c r="NFM928" s="509"/>
      <c r="NFN928" s="509"/>
      <c r="NFO928" s="509"/>
      <c r="NFP928" s="69"/>
      <c r="NFQ928" s="509"/>
      <c r="NFR928" s="380"/>
      <c r="NFS928" s="381"/>
      <c r="NFT928" s="509"/>
      <c r="NFU928" s="509"/>
      <c r="NFV928" s="509"/>
      <c r="NFW928" s="69"/>
      <c r="NFX928" s="509"/>
      <c r="NFY928" s="380"/>
      <c r="NFZ928" s="381"/>
      <c r="NGA928" s="509"/>
      <c r="NGB928" s="509"/>
      <c r="NGC928" s="509"/>
      <c r="NGD928" s="69"/>
      <c r="NGE928" s="509"/>
      <c r="NGF928" s="380"/>
      <c r="NGG928" s="381"/>
      <c r="NGH928" s="509"/>
      <c r="NGI928" s="509"/>
      <c r="NGJ928" s="509"/>
      <c r="NGK928" s="69"/>
      <c r="NGL928" s="509"/>
      <c r="NGM928" s="380"/>
      <c r="NGN928" s="381"/>
      <c r="NGO928" s="509"/>
      <c r="NGP928" s="509"/>
      <c r="NGQ928" s="509"/>
      <c r="NGR928" s="69"/>
      <c r="NGS928" s="509"/>
      <c r="NGT928" s="380"/>
      <c r="NGU928" s="381"/>
      <c r="NGV928" s="509"/>
      <c r="NGW928" s="509"/>
      <c r="NGX928" s="509"/>
      <c r="NGY928" s="69"/>
      <c r="NGZ928" s="509"/>
      <c r="NHA928" s="380"/>
      <c r="NHB928" s="381"/>
      <c r="NHC928" s="509"/>
      <c r="NHD928" s="509"/>
      <c r="NHE928" s="509"/>
      <c r="NHF928" s="69"/>
      <c r="NHG928" s="509"/>
      <c r="NHH928" s="380"/>
      <c r="NHI928" s="381"/>
      <c r="NHJ928" s="509"/>
      <c r="NHK928" s="509"/>
      <c r="NHL928" s="509"/>
      <c r="NHM928" s="69"/>
      <c r="NHN928" s="509"/>
      <c r="NHO928" s="380"/>
      <c r="NHP928" s="381"/>
      <c r="NHQ928" s="509"/>
      <c r="NHR928" s="509"/>
      <c r="NHS928" s="509"/>
      <c r="NHT928" s="69"/>
      <c r="NHU928" s="509"/>
      <c r="NHV928" s="380"/>
      <c r="NHW928" s="381"/>
      <c r="NHX928" s="509"/>
      <c r="NHY928" s="509"/>
      <c r="NHZ928" s="509"/>
      <c r="NIA928" s="69"/>
      <c r="NIB928" s="509"/>
      <c r="NIC928" s="380"/>
      <c r="NID928" s="381"/>
      <c r="NIE928" s="509"/>
      <c r="NIF928" s="509"/>
      <c r="NIG928" s="509"/>
      <c r="NIH928" s="69"/>
      <c r="NII928" s="509"/>
      <c r="NIJ928" s="380"/>
      <c r="NIK928" s="381"/>
      <c r="NIL928" s="509"/>
      <c r="NIM928" s="509"/>
      <c r="NIN928" s="509"/>
      <c r="NIO928" s="69"/>
      <c r="NIP928" s="509"/>
      <c r="NIQ928" s="380"/>
      <c r="NIR928" s="381"/>
      <c r="NIS928" s="509"/>
      <c r="NIT928" s="509"/>
      <c r="NIU928" s="509"/>
      <c r="NIV928" s="69"/>
      <c r="NIW928" s="509"/>
      <c r="NIX928" s="380"/>
      <c r="NIY928" s="381"/>
      <c r="NIZ928" s="509"/>
      <c r="NJA928" s="509"/>
      <c r="NJB928" s="509"/>
      <c r="NJC928" s="69"/>
      <c r="NJD928" s="509"/>
      <c r="NJE928" s="380"/>
      <c r="NJF928" s="381"/>
      <c r="NJG928" s="509"/>
      <c r="NJH928" s="509"/>
      <c r="NJI928" s="509"/>
      <c r="NJJ928" s="69"/>
      <c r="NJK928" s="509"/>
      <c r="NJL928" s="380"/>
      <c r="NJM928" s="381"/>
      <c r="NJN928" s="509"/>
      <c r="NJO928" s="509"/>
      <c r="NJP928" s="509"/>
      <c r="NJQ928" s="69"/>
      <c r="NJR928" s="509"/>
      <c r="NJS928" s="380"/>
      <c r="NJT928" s="381"/>
      <c r="NJU928" s="509"/>
      <c r="NJV928" s="509"/>
      <c r="NJW928" s="509"/>
      <c r="NJX928" s="69"/>
      <c r="NJY928" s="509"/>
      <c r="NJZ928" s="380"/>
      <c r="NKA928" s="381"/>
      <c r="NKB928" s="509"/>
      <c r="NKC928" s="509"/>
      <c r="NKD928" s="509"/>
      <c r="NKE928" s="69"/>
      <c r="NKF928" s="509"/>
      <c r="NKG928" s="380"/>
      <c r="NKH928" s="381"/>
      <c r="NKI928" s="509"/>
      <c r="NKJ928" s="509"/>
      <c r="NKK928" s="509"/>
      <c r="NKL928" s="69"/>
      <c r="NKM928" s="509"/>
      <c r="NKN928" s="380"/>
      <c r="NKO928" s="381"/>
      <c r="NKP928" s="509"/>
      <c r="NKQ928" s="509"/>
      <c r="NKR928" s="509"/>
      <c r="NKS928" s="69"/>
      <c r="NKT928" s="509"/>
      <c r="NKU928" s="380"/>
      <c r="NKV928" s="381"/>
      <c r="NKW928" s="509"/>
      <c r="NKX928" s="509"/>
      <c r="NKY928" s="509"/>
      <c r="NKZ928" s="69"/>
      <c r="NLA928" s="509"/>
      <c r="NLB928" s="380"/>
      <c r="NLC928" s="381"/>
      <c r="NLD928" s="509"/>
      <c r="NLE928" s="509"/>
      <c r="NLF928" s="509"/>
      <c r="NLG928" s="69"/>
      <c r="NLH928" s="509"/>
      <c r="NLI928" s="380"/>
      <c r="NLJ928" s="381"/>
      <c r="NLK928" s="509"/>
      <c r="NLL928" s="509"/>
      <c r="NLM928" s="509"/>
      <c r="NLN928" s="69"/>
      <c r="NLO928" s="509"/>
      <c r="NLP928" s="380"/>
      <c r="NLQ928" s="381"/>
      <c r="NLR928" s="509"/>
      <c r="NLS928" s="509"/>
      <c r="NLT928" s="509"/>
      <c r="NLU928" s="69"/>
      <c r="NLV928" s="509"/>
      <c r="NLW928" s="380"/>
      <c r="NLX928" s="381"/>
      <c r="NLY928" s="509"/>
      <c r="NLZ928" s="509"/>
      <c r="NMA928" s="509"/>
      <c r="NMB928" s="69"/>
      <c r="NMC928" s="509"/>
      <c r="NMD928" s="380"/>
      <c r="NME928" s="381"/>
      <c r="NMF928" s="509"/>
      <c r="NMG928" s="509"/>
      <c r="NMH928" s="509"/>
      <c r="NMI928" s="69"/>
      <c r="NMJ928" s="509"/>
      <c r="NMK928" s="380"/>
      <c r="NML928" s="381"/>
      <c r="NMM928" s="509"/>
      <c r="NMN928" s="509"/>
      <c r="NMO928" s="509"/>
      <c r="NMP928" s="69"/>
      <c r="NMQ928" s="509"/>
      <c r="NMR928" s="380"/>
      <c r="NMS928" s="381"/>
      <c r="NMT928" s="509"/>
      <c r="NMU928" s="509"/>
      <c r="NMV928" s="509"/>
      <c r="NMW928" s="69"/>
      <c r="NMX928" s="509"/>
      <c r="NMY928" s="380"/>
      <c r="NMZ928" s="381"/>
      <c r="NNA928" s="509"/>
      <c r="NNB928" s="509"/>
      <c r="NNC928" s="509"/>
      <c r="NND928" s="69"/>
      <c r="NNE928" s="509"/>
      <c r="NNF928" s="380"/>
      <c r="NNG928" s="381"/>
      <c r="NNH928" s="509"/>
      <c r="NNI928" s="509"/>
      <c r="NNJ928" s="509"/>
      <c r="NNK928" s="69"/>
      <c r="NNL928" s="509"/>
      <c r="NNM928" s="380"/>
      <c r="NNN928" s="381"/>
      <c r="NNO928" s="509"/>
      <c r="NNP928" s="509"/>
      <c r="NNQ928" s="509"/>
      <c r="NNR928" s="69"/>
      <c r="NNS928" s="509"/>
      <c r="NNT928" s="380"/>
      <c r="NNU928" s="381"/>
      <c r="NNV928" s="509"/>
      <c r="NNW928" s="509"/>
      <c r="NNX928" s="509"/>
      <c r="NNY928" s="69"/>
      <c r="NNZ928" s="509"/>
      <c r="NOA928" s="380"/>
      <c r="NOB928" s="381"/>
      <c r="NOC928" s="509"/>
      <c r="NOD928" s="509"/>
      <c r="NOE928" s="509"/>
      <c r="NOF928" s="69"/>
      <c r="NOG928" s="509"/>
      <c r="NOH928" s="380"/>
      <c r="NOI928" s="381"/>
      <c r="NOJ928" s="509"/>
      <c r="NOK928" s="509"/>
      <c r="NOL928" s="509"/>
      <c r="NOM928" s="69"/>
      <c r="NON928" s="509"/>
      <c r="NOO928" s="380"/>
      <c r="NOP928" s="381"/>
      <c r="NOQ928" s="509"/>
      <c r="NOR928" s="509"/>
      <c r="NOS928" s="509"/>
      <c r="NOT928" s="69"/>
      <c r="NOU928" s="509"/>
      <c r="NOV928" s="380"/>
      <c r="NOW928" s="381"/>
      <c r="NOX928" s="509"/>
      <c r="NOY928" s="509"/>
      <c r="NOZ928" s="509"/>
      <c r="NPA928" s="69"/>
      <c r="NPB928" s="509"/>
      <c r="NPC928" s="380"/>
      <c r="NPD928" s="381"/>
      <c r="NPE928" s="509"/>
      <c r="NPF928" s="509"/>
      <c r="NPG928" s="509"/>
      <c r="NPH928" s="69"/>
      <c r="NPI928" s="509"/>
      <c r="NPJ928" s="380"/>
      <c r="NPK928" s="381"/>
      <c r="NPL928" s="509"/>
      <c r="NPM928" s="509"/>
      <c r="NPN928" s="509"/>
      <c r="NPO928" s="69"/>
      <c r="NPP928" s="509"/>
      <c r="NPQ928" s="380"/>
      <c r="NPR928" s="381"/>
      <c r="NPS928" s="509"/>
      <c r="NPT928" s="509"/>
      <c r="NPU928" s="509"/>
      <c r="NPV928" s="69"/>
      <c r="NPW928" s="509"/>
      <c r="NPX928" s="380"/>
      <c r="NPY928" s="381"/>
      <c r="NPZ928" s="509"/>
      <c r="NQA928" s="509"/>
      <c r="NQB928" s="509"/>
      <c r="NQC928" s="69"/>
      <c r="NQD928" s="509"/>
      <c r="NQE928" s="380"/>
      <c r="NQF928" s="381"/>
      <c r="NQG928" s="509"/>
      <c r="NQH928" s="509"/>
      <c r="NQI928" s="509"/>
      <c r="NQJ928" s="69"/>
      <c r="NQK928" s="509"/>
      <c r="NQL928" s="380"/>
      <c r="NQM928" s="381"/>
      <c r="NQN928" s="509"/>
      <c r="NQO928" s="509"/>
      <c r="NQP928" s="509"/>
      <c r="NQQ928" s="69"/>
      <c r="NQR928" s="509"/>
      <c r="NQS928" s="380"/>
      <c r="NQT928" s="381"/>
      <c r="NQU928" s="509"/>
      <c r="NQV928" s="509"/>
      <c r="NQW928" s="509"/>
      <c r="NQX928" s="69"/>
      <c r="NQY928" s="509"/>
      <c r="NQZ928" s="380"/>
      <c r="NRA928" s="381"/>
      <c r="NRB928" s="509"/>
      <c r="NRC928" s="509"/>
      <c r="NRD928" s="509"/>
      <c r="NRE928" s="69"/>
      <c r="NRF928" s="509"/>
      <c r="NRG928" s="380"/>
      <c r="NRH928" s="381"/>
      <c r="NRI928" s="509"/>
      <c r="NRJ928" s="509"/>
      <c r="NRK928" s="509"/>
      <c r="NRL928" s="69"/>
      <c r="NRM928" s="509"/>
      <c r="NRN928" s="380"/>
      <c r="NRO928" s="381"/>
      <c r="NRP928" s="509"/>
      <c r="NRQ928" s="509"/>
      <c r="NRR928" s="509"/>
      <c r="NRS928" s="69"/>
      <c r="NRT928" s="509"/>
      <c r="NRU928" s="380"/>
      <c r="NRV928" s="381"/>
      <c r="NRW928" s="509"/>
      <c r="NRX928" s="509"/>
      <c r="NRY928" s="509"/>
      <c r="NRZ928" s="69"/>
      <c r="NSA928" s="509"/>
      <c r="NSB928" s="380"/>
      <c r="NSC928" s="381"/>
      <c r="NSD928" s="509"/>
      <c r="NSE928" s="509"/>
      <c r="NSF928" s="509"/>
      <c r="NSG928" s="69"/>
      <c r="NSH928" s="509"/>
      <c r="NSI928" s="380"/>
      <c r="NSJ928" s="381"/>
      <c r="NSK928" s="509"/>
      <c r="NSL928" s="509"/>
      <c r="NSM928" s="509"/>
      <c r="NSN928" s="69"/>
      <c r="NSO928" s="509"/>
      <c r="NSP928" s="380"/>
      <c r="NSQ928" s="381"/>
      <c r="NSR928" s="509"/>
      <c r="NSS928" s="509"/>
      <c r="NST928" s="509"/>
      <c r="NSU928" s="69"/>
      <c r="NSV928" s="509"/>
      <c r="NSW928" s="380"/>
      <c r="NSX928" s="381"/>
      <c r="NSY928" s="509"/>
      <c r="NSZ928" s="509"/>
      <c r="NTA928" s="509"/>
      <c r="NTB928" s="69"/>
      <c r="NTC928" s="509"/>
      <c r="NTD928" s="380"/>
      <c r="NTE928" s="381"/>
      <c r="NTF928" s="509"/>
      <c r="NTG928" s="509"/>
      <c r="NTH928" s="509"/>
      <c r="NTI928" s="69"/>
      <c r="NTJ928" s="509"/>
      <c r="NTK928" s="380"/>
      <c r="NTL928" s="381"/>
      <c r="NTM928" s="509"/>
      <c r="NTN928" s="509"/>
      <c r="NTO928" s="509"/>
      <c r="NTP928" s="69"/>
      <c r="NTQ928" s="509"/>
      <c r="NTR928" s="380"/>
      <c r="NTS928" s="381"/>
      <c r="NTT928" s="509"/>
      <c r="NTU928" s="509"/>
      <c r="NTV928" s="509"/>
      <c r="NTW928" s="69"/>
      <c r="NTX928" s="509"/>
      <c r="NTY928" s="380"/>
      <c r="NTZ928" s="381"/>
      <c r="NUA928" s="509"/>
      <c r="NUB928" s="509"/>
      <c r="NUC928" s="509"/>
      <c r="NUD928" s="69"/>
      <c r="NUE928" s="509"/>
      <c r="NUF928" s="380"/>
      <c r="NUG928" s="381"/>
      <c r="NUH928" s="509"/>
      <c r="NUI928" s="509"/>
      <c r="NUJ928" s="509"/>
      <c r="NUK928" s="69"/>
      <c r="NUL928" s="509"/>
      <c r="NUM928" s="380"/>
      <c r="NUN928" s="381"/>
      <c r="NUO928" s="509"/>
      <c r="NUP928" s="509"/>
      <c r="NUQ928" s="509"/>
      <c r="NUR928" s="69"/>
      <c r="NUS928" s="509"/>
      <c r="NUT928" s="380"/>
      <c r="NUU928" s="381"/>
      <c r="NUV928" s="509"/>
      <c r="NUW928" s="509"/>
      <c r="NUX928" s="509"/>
      <c r="NUY928" s="69"/>
      <c r="NUZ928" s="509"/>
      <c r="NVA928" s="380"/>
      <c r="NVB928" s="381"/>
      <c r="NVC928" s="509"/>
      <c r="NVD928" s="509"/>
      <c r="NVE928" s="509"/>
      <c r="NVF928" s="69"/>
      <c r="NVG928" s="509"/>
      <c r="NVH928" s="380"/>
      <c r="NVI928" s="381"/>
      <c r="NVJ928" s="509"/>
      <c r="NVK928" s="509"/>
      <c r="NVL928" s="509"/>
      <c r="NVM928" s="69"/>
      <c r="NVN928" s="509"/>
      <c r="NVO928" s="380"/>
      <c r="NVP928" s="381"/>
      <c r="NVQ928" s="509"/>
      <c r="NVR928" s="509"/>
      <c r="NVS928" s="509"/>
      <c r="NVT928" s="69"/>
      <c r="NVU928" s="509"/>
      <c r="NVV928" s="380"/>
      <c r="NVW928" s="381"/>
      <c r="NVX928" s="509"/>
      <c r="NVY928" s="509"/>
      <c r="NVZ928" s="509"/>
      <c r="NWA928" s="69"/>
      <c r="NWB928" s="509"/>
      <c r="NWC928" s="380"/>
      <c r="NWD928" s="381"/>
      <c r="NWE928" s="509"/>
      <c r="NWF928" s="509"/>
      <c r="NWG928" s="509"/>
      <c r="NWH928" s="69"/>
      <c r="NWI928" s="509"/>
      <c r="NWJ928" s="380"/>
      <c r="NWK928" s="381"/>
      <c r="NWL928" s="509"/>
      <c r="NWM928" s="509"/>
      <c r="NWN928" s="509"/>
      <c r="NWO928" s="69"/>
      <c r="NWP928" s="509"/>
      <c r="NWQ928" s="380"/>
      <c r="NWR928" s="381"/>
      <c r="NWS928" s="509"/>
      <c r="NWT928" s="509"/>
      <c r="NWU928" s="509"/>
      <c r="NWV928" s="69"/>
      <c r="NWW928" s="509"/>
      <c r="NWX928" s="380"/>
      <c r="NWY928" s="381"/>
      <c r="NWZ928" s="509"/>
      <c r="NXA928" s="509"/>
      <c r="NXB928" s="509"/>
      <c r="NXC928" s="69"/>
      <c r="NXD928" s="509"/>
      <c r="NXE928" s="380"/>
      <c r="NXF928" s="381"/>
      <c r="NXG928" s="509"/>
      <c r="NXH928" s="509"/>
      <c r="NXI928" s="509"/>
      <c r="NXJ928" s="69"/>
      <c r="NXK928" s="509"/>
      <c r="NXL928" s="380"/>
      <c r="NXM928" s="381"/>
      <c r="NXN928" s="509"/>
      <c r="NXO928" s="509"/>
      <c r="NXP928" s="509"/>
      <c r="NXQ928" s="69"/>
      <c r="NXR928" s="509"/>
      <c r="NXS928" s="380"/>
      <c r="NXT928" s="381"/>
      <c r="NXU928" s="509"/>
      <c r="NXV928" s="509"/>
      <c r="NXW928" s="509"/>
      <c r="NXX928" s="69"/>
      <c r="NXY928" s="509"/>
      <c r="NXZ928" s="380"/>
      <c r="NYA928" s="381"/>
      <c r="NYB928" s="509"/>
      <c r="NYC928" s="509"/>
      <c r="NYD928" s="509"/>
      <c r="NYE928" s="69"/>
      <c r="NYF928" s="509"/>
      <c r="NYG928" s="380"/>
      <c r="NYH928" s="381"/>
      <c r="NYI928" s="509"/>
      <c r="NYJ928" s="509"/>
      <c r="NYK928" s="509"/>
      <c r="NYL928" s="69"/>
      <c r="NYM928" s="509"/>
      <c r="NYN928" s="380"/>
      <c r="NYO928" s="381"/>
      <c r="NYP928" s="509"/>
      <c r="NYQ928" s="509"/>
      <c r="NYR928" s="509"/>
      <c r="NYS928" s="69"/>
      <c r="NYT928" s="509"/>
      <c r="NYU928" s="380"/>
      <c r="NYV928" s="381"/>
      <c r="NYW928" s="509"/>
      <c r="NYX928" s="509"/>
      <c r="NYY928" s="509"/>
      <c r="NYZ928" s="69"/>
      <c r="NZA928" s="509"/>
      <c r="NZB928" s="380"/>
      <c r="NZC928" s="381"/>
      <c r="NZD928" s="509"/>
      <c r="NZE928" s="509"/>
      <c r="NZF928" s="509"/>
      <c r="NZG928" s="69"/>
      <c r="NZH928" s="509"/>
      <c r="NZI928" s="380"/>
      <c r="NZJ928" s="381"/>
      <c r="NZK928" s="509"/>
      <c r="NZL928" s="509"/>
      <c r="NZM928" s="509"/>
      <c r="NZN928" s="69"/>
      <c r="NZO928" s="509"/>
      <c r="NZP928" s="380"/>
      <c r="NZQ928" s="381"/>
      <c r="NZR928" s="509"/>
      <c r="NZS928" s="509"/>
      <c r="NZT928" s="509"/>
      <c r="NZU928" s="69"/>
      <c r="NZV928" s="509"/>
      <c r="NZW928" s="380"/>
      <c r="NZX928" s="381"/>
      <c r="NZY928" s="509"/>
      <c r="NZZ928" s="509"/>
      <c r="OAA928" s="509"/>
      <c r="OAB928" s="69"/>
      <c r="OAC928" s="509"/>
      <c r="OAD928" s="380"/>
      <c r="OAE928" s="381"/>
      <c r="OAF928" s="509"/>
      <c r="OAG928" s="509"/>
      <c r="OAH928" s="509"/>
      <c r="OAI928" s="69"/>
      <c r="OAJ928" s="509"/>
      <c r="OAK928" s="380"/>
      <c r="OAL928" s="381"/>
      <c r="OAM928" s="509"/>
      <c r="OAN928" s="509"/>
      <c r="OAO928" s="509"/>
      <c r="OAP928" s="69"/>
      <c r="OAQ928" s="509"/>
      <c r="OAR928" s="380"/>
      <c r="OAS928" s="381"/>
      <c r="OAT928" s="509"/>
      <c r="OAU928" s="509"/>
      <c r="OAV928" s="509"/>
      <c r="OAW928" s="69"/>
      <c r="OAX928" s="509"/>
      <c r="OAY928" s="380"/>
      <c r="OAZ928" s="381"/>
      <c r="OBA928" s="509"/>
      <c r="OBB928" s="509"/>
      <c r="OBC928" s="509"/>
      <c r="OBD928" s="69"/>
      <c r="OBE928" s="509"/>
      <c r="OBF928" s="380"/>
      <c r="OBG928" s="381"/>
      <c r="OBH928" s="509"/>
      <c r="OBI928" s="509"/>
      <c r="OBJ928" s="509"/>
      <c r="OBK928" s="69"/>
      <c r="OBL928" s="509"/>
      <c r="OBM928" s="380"/>
      <c r="OBN928" s="381"/>
      <c r="OBO928" s="509"/>
      <c r="OBP928" s="509"/>
      <c r="OBQ928" s="509"/>
      <c r="OBR928" s="69"/>
      <c r="OBS928" s="509"/>
      <c r="OBT928" s="380"/>
      <c r="OBU928" s="381"/>
      <c r="OBV928" s="509"/>
      <c r="OBW928" s="509"/>
      <c r="OBX928" s="509"/>
      <c r="OBY928" s="69"/>
      <c r="OBZ928" s="509"/>
      <c r="OCA928" s="380"/>
      <c r="OCB928" s="381"/>
      <c r="OCC928" s="509"/>
      <c r="OCD928" s="509"/>
      <c r="OCE928" s="509"/>
      <c r="OCF928" s="69"/>
      <c r="OCG928" s="509"/>
      <c r="OCH928" s="380"/>
      <c r="OCI928" s="381"/>
      <c r="OCJ928" s="509"/>
      <c r="OCK928" s="509"/>
      <c r="OCL928" s="509"/>
      <c r="OCM928" s="69"/>
      <c r="OCN928" s="509"/>
      <c r="OCO928" s="380"/>
      <c r="OCP928" s="381"/>
      <c r="OCQ928" s="509"/>
      <c r="OCR928" s="509"/>
      <c r="OCS928" s="509"/>
      <c r="OCT928" s="69"/>
      <c r="OCU928" s="509"/>
      <c r="OCV928" s="380"/>
      <c r="OCW928" s="381"/>
      <c r="OCX928" s="509"/>
      <c r="OCY928" s="509"/>
      <c r="OCZ928" s="509"/>
      <c r="ODA928" s="69"/>
      <c r="ODB928" s="509"/>
      <c r="ODC928" s="380"/>
      <c r="ODD928" s="381"/>
      <c r="ODE928" s="509"/>
      <c r="ODF928" s="509"/>
      <c r="ODG928" s="509"/>
      <c r="ODH928" s="69"/>
      <c r="ODI928" s="509"/>
      <c r="ODJ928" s="380"/>
      <c r="ODK928" s="381"/>
      <c r="ODL928" s="509"/>
      <c r="ODM928" s="509"/>
      <c r="ODN928" s="509"/>
      <c r="ODO928" s="69"/>
      <c r="ODP928" s="509"/>
      <c r="ODQ928" s="380"/>
      <c r="ODR928" s="381"/>
      <c r="ODS928" s="509"/>
      <c r="ODT928" s="509"/>
      <c r="ODU928" s="509"/>
      <c r="ODV928" s="69"/>
      <c r="ODW928" s="509"/>
      <c r="ODX928" s="380"/>
      <c r="ODY928" s="381"/>
      <c r="ODZ928" s="509"/>
      <c r="OEA928" s="509"/>
      <c r="OEB928" s="509"/>
      <c r="OEC928" s="69"/>
      <c r="OED928" s="509"/>
      <c r="OEE928" s="380"/>
      <c r="OEF928" s="381"/>
      <c r="OEG928" s="509"/>
      <c r="OEH928" s="509"/>
      <c r="OEI928" s="509"/>
      <c r="OEJ928" s="69"/>
      <c r="OEK928" s="509"/>
      <c r="OEL928" s="380"/>
      <c r="OEM928" s="381"/>
      <c r="OEN928" s="509"/>
      <c r="OEO928" s="509"/>
      <c r="OEP928" s="509"/>
      <c r="OEQ928" s="69"/>
      <c r="OER928" s="509"/>
      <c r="OES928" s="380"/>
      <c r="OET928" s="381"/>
      <c r="OEU928" s="509"/>
      <c r="OEV928" s="509"/>
      <c r="OEW928" s="509"/>
      <c r="OEX928" s="69"/>
      <c r="OEY928" s="509"/>
      <c r="OEZ928" s="380"/>
      <c r="OFA928" s="381"/>
      <c r="OFB928" s="509"/>
      <c r="OFC928" s="509"/>
      <c r="OFD928" s="509"/>
      <c r="OFE928" s="69"/>
      <c r="OFF928" s="509"/>
      <c r="OFG928" s="380"/>
      <c r="OFH928" s="381"/>
      <c r="OFI928" s="509"/>
      <c r="OFJ928" s="509"/>
      <c r="OFK928" s="509"/>
      <c r="OFL928" s="69"/>
      <c r="OFM928" s="509"/>
      <c r="OFN928" s="380"/>
      <c r="OFO928" s="381"/>
      <c r="OFP928" s="509"/>
      <c r="OFQ928" s="509"/>
      <c r="OFR928" s="509"/>
      <c r="OFS928" s="69"/>
      <c r="OFT928" s="509"/>
      <c r="OFU928" s="380"/>
      <c r="OFV928" s="381"/>
      <c r="OFW928" s="509"/>
      <c r="OFX928" s="509"/>
      <c r="OFY928" s="509"/>
      <c r="OFZ928" s="69"/>
      <c r="OGA928" s="509"/>
      <c r="OGB928" s="380"/>
      <c r="OGC928" s="381"/>
      <c r="OGD928" s="509"/>
      <c r="OGE928" s="509"/>
      <c r="OGF928" s="509"/>
      <c r="OGG928" s="69"/>
      <c r="OGH928" s="509"/>
      <c r="OGI928" s="380"/>
      <c r="OGJ928" s="381"/>
      <c r="OGK928" s="509"/>
      <c r="OGL928" s="509"/>
      <c r="OGM928" s="509"/>
      <c r="OGN928" s="69"/>
      <c r="OGO928" s="509"/>
      <c r="OGP928" s="380"/>
      <c r="OGQ928" s="381"/>
      <c r="OGR928" s="509"/>
      <c r="OGS928" s="509"/>
      <c r="OGT928" s="509"/>
      <c r="OGU928" s="69"/>
      <c r="OGV928" s="509"/>
      <c r="OGW928" s="380"/>
      <c r="OGX928" s="381"/>
      <c r="OGY928" s="509"/>
      <c r="OGZ928" s="509"/>
      <c r="OHA928" s="509"/>
      <c r="OHB928" s="69"/>
      <c r="OHC928" s="509"/>
      <c r="OHD928" s="380"/>
      <c r="OHE928" s="381"/>
      <c r="OHF928" s="509"/>
      <c r="OHG928" s="509"/>
      <c r="OHH928" s="509"/>
      <c r="OHI928" s="69"/>
      <c r="OHJ928" s="509"/>
      <c r="OHK928" s="380"/>
      <c r="OHL928" s="381"/>
      <c r="OHM928" s="509"/>
      <c r="OHN928" s="509"/>
      <c r="OHO928" s="509"/>
      <c r="OHP928" s="69"/>
      <c r="OHQ928" s="509"/>
      <c r="OHR928" s="380"/>
      <c r="OHS928" s="381"/>
      <c r="OHT928" s="509"/>
      <c r="OHU928" s="509"/>
      <c r="OHV928" s="509"/>
      <c r="OHW928" s="69"/>
      <c r="OHX928" s="509"/>
      <c r="OHY928" s="380"/>
      <c r="OHZ928" s="381"/>
      <c r="OIA928" s="509"/>
      <c r="OIB928" s="509"/>
      <c r="OIC928" s="509"/>
      <c r="OID928" s="69"/>
      <c r="OIE928" s="509"/>
      <c r="OIF928" s="380"/>
      <c r="OIG928" s="381"/>
      <c r="OIH928" s="509"/>
      <c r="OII928" s="509"/>
      <c r="OIJ928" s="509"/>
      <c r="OIK928" s="69"/>
      <c r="OIL928" s="509"/>
      <c r="OIM928" s="380"/>
      <c r="OIN928" s="381"/>
      <c r="OIO928" s="509"/>
      <c r="OIP928" s="509"/>
      <c r="OIQ928" s="509"/>
      <c r="OIR928" s="69"/>
      <c r="OIS928" s="509"/>
      <c r="OIT928" s="380"/>
      <c r="OIU928" s="381"/>
      <c r="OIV928" s="509"/>
      <c r="OIW928" s="509"/>
      <c r="OIX928" s="509"/>
      <c r="OIY928" s="69"/>
      <c r="OIZ928" s="509"/>
      <c r="OJA928" s="380"/>
      <c r="OJB928" s="381"/>
      <c r="OJC928" s="509"/>
      <c r="OJD928" s="509"/>
      <c r="OJE928" s="509"/>
      <c r="OJF928" s="69"/>
      <c r="OJG928" s="509"/>
      <c r="OJH928" s="380"/>
      <c r="OJI928" s="381"/>
      <c r="OJJ928" s="509"/>
      <c r="OJK928" s="509"/>
      <c r="OJL928" s="509"/>
      <c r="OJM928" s="69"/>
      <c r="OJN928" s="509"/>
      <c r="OJO928" s="380"/>
      <c r="OJP928" s="381"/>
      <c r="OJQ928" s="509"/>
      <c r="OJR928" s="509"/>
      <c r="OJS928" s="509"/>
      <c r="OJT928" s="69"/>
      <c r="OJU928" s="509"/>
      <c r="OJV928" s="380"/>
      <c r="OJW928" s="381"/>
      <c r="OJX928" s="509"/>
      <c r="OJY928" s="509"/>
      <c r="OJZ928" s="509"/>
      <c r="OKA928" s="69"/>
      <c r="OKB928" s="509"/>
      <c r="OKC928" s="380"/>
      <c r="OKD928" s="381"/>
      <c r="OKE928" s="509"/>
      <c r="OKF928" s="509"/>
      <c r="OKG928" s="509"/>
      <c r="OKH928" s="69"/>
      <c r="OKI928" s="509"/>
      <c r="OKJ928" s="380"/>
      <c r="OKK928" s="381"/>
      <c r="OKL928" s="509"/>
      <c r="OKM928" s="509"/>
      <c r="OKN928" s="509"/>
      <c r="OKO928" s="69"/>
      <c r="OKP928" s="509"/>
      <c r="OKQ928" s="380"/>
      <c r="OKR928" s="381"/>
      <c r="OKS928" s="509"/>
      <c r="OKT928" s="509"/>
      <c r="OKU928" s="509"/>
      <c r="OKV928" s="69"/>
      <c r="OKW928" s="509"/>
      <c r="OKX928" s="380"/>
      <c r="OKY928" s="381"/>
      <c r="OKZ928" s="509"/>
      <c r="OLA928" s="509"/>
      <c r="OLB928" s="509"/>
      <c r="OLC928" s="69"/>
      <c r="OLD928" s="509"/>
      <c r="OLE928" s="380"/>
      <c r="OLF928" s="381"/>
      <c r="OLG928" s="509"/>
      <c r="OLH928" s="509"/>
      <c r="OLI928" s="509"/>
      <c r="OLJ928" s="69"/>
      <c r="OLK928" s="509"/>
      <c r="OLL928" s="380"/>
      <c r="OLM928" s="381"/>
      <c r="OLN928" s="509"/>
      <c r="OLO928" s="509"/>
      <c r="OLP928" s="509"/>
      <c r="OLQ928" s="69"/>
      <c r="OLR928" s="509"/>
      <c r="OLS928" s="380"/>
      <c r="OLT928" s="381"/>
      <c r="OLU928" s="509"/>
      <c r="OLV928" s="509"/>
      <c r="OLW928" s="509"/>
      <c r="OLX928" s="69"/>
      <c r="OLY928" s="509"/>
      <c r="OLZ928" s="380"/>
      <c r="OMA928" s="381"/>
      <c r="OMB928" s="509"/>
      <c r="OMC928" s="509"/>
      <c r="OMD928" s="509"/>
      <c r="OME928" s="69"/>
      <c r="OMF928" s="509"/>
      <c r="OMG928" s="380"/>
      <c r="OMH928" s="381"/>
      <c r="OMI928" s="509"/>
      <c r="OMJ928" s="509"/>
      <c r="OMK928" s="509"/>
      <c r="OML928" s="69"/>
      <c r="OMM928" s="509"/>
      <c r="OMN928" s="380"/>
      <c r="OMO928" s="381"/>
      <c r="OMP928" s="509"/>
      <c r="OMQ928" s="509"/>
      <c r="OMR928" s="509"/>
      <c r="OMS928" s="69"/>
      <c r="OMT928" s="509"/>
      <c r="OMU928" s="380"/>
      <c r="OMV928" s="381"/>
      <c r="OMW928" s="509"/>
      <c r="OMX928" s="509"/>
      <c r="OMY928" s="509"/>
      <c r="OMZ928" s="69"/>
      <c r="ONA928" s="509"/>
      <c r="ONB928" s="380"/>
      <c r="ONC928" s="381"/>
      <c r="OND928" s="509"/>
      <c r="ONE928" s="509"/>
      <c r="ONF928" s="509"/>
      <c r="ONG928" s="69"/>
      <c r="ONH928" s="509"/>
      <c r="ONI928" s="380"/>
      <c r="ONJ928" s="381"/>
      <c r="ONK928" s="509"/>
      <c r="ONL928" s="509"/>
      <c r="ONM928" s="509"/>
      <c r="ONN928" s="69"/>
      <c r="ONO928" s="509"/>
      <c r="ONP928" s="380"/>
      <c r="ONQ928" s="381"/>
      <c r="ONR928" s="509"/>
      <c r="ONS928" s="509"/>
      <c r="ONT928" s="509"/>
      <c r="ONU928" s="69"/>
      <c r="ONV928" s="509"/>
      <c r="ONW928" s="380"/>
      <c r="ONX928" s="381"/>
      <c r="ONY928" s="509"/>
      <c r="ONZ928" s="509"/>
      <c r="OOA928" s="509"/>
      <c r="OOB928" s="69"/>
      <c r="OOC928" s="509"/>
      <c r="OOD928" s="380"/>
      <c r="OOE928" s="381"/>
      <c r="OOF928" s="509"/>
      <c r="OOG928" s="509"/>
      <c r="OOH928" s="509"/>
      <c r="OOI928" s="69"/>
      <c r="OOJ928" s="509"/>
      <c r="OOK928" s="380"/>
      <c r="OOL928" s="381"/>
      <c r="OOM928" s="509"/>
      <c r="OON928" s="509"/>
      <c r="OOO928" s="509"/>
      <c r="OOP928" s="69"/>
      <c r="OOQ928" s="509"/>
      <c r="OOR928" s="380"/>
      <c r="OOS928" s="381"/>
      <c r="OOT928" s="509"/>
      <c r="OOU928" s="509"/>
      <c r="OOV928" s="509"/>
      <c r="OOW928" s="69"/>
      <c r="OOX928" s="509"/>
      <c r="OOY928" s="380"/>
      <c r="OOZ928" s="381"/>
      <c r="OPA928" s="509"/>
      <c r="OPB928" s="509"/>
      <c r="OPC928" s="509"/>
      <c r="OPD928" s="69"/>
      <c r="OPE928" s="509"/>
      <c r="OPF928" s="380"/>
      <c r="OPG928" s="381"/>
      <c r="OPH928" s="509"/>
      <c r="OPI928" s="509"/>
      <c r="OPJ928" s="509"/>
      <c r="OPK928" s="69"/>
      <c r="OPL928" s="509"/>
      <c r="OPM928" s="380"/>
      <c r="OPN928" s="381"/>
      <c r="OPO928" s="509"/>
      <c r="OPP928" s="509"/>
      <c r="OPQ928" s="509"/>
      <c r="OPR928" s="69"/>
      <c r="OPS928" s="509"/>
      <c r="OPT928" s="380"/>
      <c r="OPU928" s="381"/>
      <c r="OPV928" s="509"/>
      <c r="OPW928" s="509"/>
      <c r="OPX928" s="509"/>
      <c r="OPY928" s="69"/>
      <c r="OPZ928" s="509"/>
      <c r="OQA928" s="380"/>
      <c r="OQB928" s="381"/>
      <c r="OQC928" s="509"/>
      <c r="OQD928" s="509"/>
      <c r="OQE928" s="509"/>
      <c r="OQF928" s="69"/>
      <c r="OQG928" s="509"/>
      <c r="OQH928" s="380"/>
      <c r="OQI928" s="381"/>
      <c r="OQJ928" s="509"/>
      <c r="OQK928" s="509"/>
      <c r="OQL928" s="509"/>
      <c r="OQM928" s="69"/>
      <c r="OQN928" s="509"/>
      <c r="OQO928" s="380"/>
      <c r="OQP928" s="381"/>
      <c r="OQQ928" s="509"/>
      <c r="OQR928" s="509"/>
      <c r="OQS928" s="509"/>
      <c r="OQT928" s="69"/>
      <c r="OQU928" s="509"/>
      <c r="OQV928" s="380"/>
      <c r="OQW928" s="381"/>
      <c r="OQX928" s="509"/>
      <c r="OQY928" s="509"/>
      <c r="OQZ928" s="509"/>
      <c r="ORA928" s="69"/>
      <c r="ORB928" s="509"/>
      <c r="ORC928" s="380"/>
      <c r="ORD928" s="381"/>
      <c r="ORE928" s="509"/>
      <c r="ORF928" s="509"/>
      <c r="ORG928" s="509"/>
      <c r="ORH928" s="69"/>
      <c r="ORI928" s="509"/>
      <c r="ORJ928" s="380"/>
      <c r="ORK928" s="381"/>
      <c r="ORL928" s="509"/>
      <c r="ORM928" s="509"/>
      <c r="ORN928" s="509"/>
      <c r="ORO928" s="69"/>
      <c r="ORP928" s="509"/>
      <c r="ORQ928" s="380"/>
      <c r="ORR928" s="381"/>
      <c r="ORS928" s="509"/>
      <c r="ORT928" s="509"/>
      <c r="ORU928" s="509"/>
      <c r="ORV928" s="69"/>
      <c r="ORW928" s="509"/>
      <c r="ORX928" s="380"/>
      <c r="ORY928" s="381"/>
      <c r="ORZ928" s="509"/>
      <c r="OSA928" s="509"/>
      <c r="OSB928" s="509"/>
      <c r="OSC928" s="69"/>
      <c r="OSD928" s="509"/>
      <c r="OSE928" s="380"/>
      <c r="OSF928" s="381"/>
      <c r="OSG928" s="509"/>
      <c r="OSH928" s="509"/>
      <c r="OSI928" s="509"/>
      <c r="OSJ928" s="69"/>
      <c r="OSK928" s="509"/>
      <c r="OSL928" s="380"/>
      <c r="OSM928" s="381"/>
      <c r="OSN928" s="509"/>
      <c r="OSO928" s="509"/>
      <c r="OSP928" s="509"/>
      <c r="OSQ928" s="69"/>
      <c r="OSR928" s="509"/>
      <c r="OSS928" s="380"/>
      <c r="OST928" s="381"/>
      <c r="OSU928" s="509"/>
      <c r="OSV928" s="509"/>
      <c r="OSW928" s="509"/>
      <c r="OSX928" s="69"/>
      <c r="OSY928" s="509"/>
      <c r="OSZ928" s="380"/>
      <c r="OTA928" s="381"/>
      <c r="OTB928" s="509"/>
      <c r="OTC928" s="509"/>
      <c r="OTD928" s="509"/>
      <c r="OTE928" s="69"/>
      <c r="OTF928" s="509"/>
      <c r="OTG928" s="380"/>
      <c r="OTH928" s="381"/>
      <c r="OTI928" s="509"/>
      <c r="OTJ928" s="509"/>
      <c r="OTK928" s="509"/>
      <c r="OTL928" s="69"/>
      <c r="OTM928" s="509"/>
      <c r="OTN928" s="380"/>
      <c r="OTO928" s="381"/>
      <c r="OTP928" s="509"/>
      <c r="OTQ928" s="509"/>
      <c r="OTR928" s="509"/>
      <c r="OTS928" s="69"/>
      <c r="OTT928" s="509"/>
      <c r="OTU928" s="380"/>
      <c r="OTV928" s="381"/>
      <c r="OTW928" s="509"/>
      <c r="OTX928" s="509"/>
      <c r="OTY928" s="509"/>
      <c r="OTZ928" s="69"/>
      <c r="OUA928" s="509"/>
      <c r="OUB928" s="380"/>
      <c r="OUC928" s="381"/>
      <c r="OUD928" s="509"/>
      <c r="OUE928" s="509"/>
      <c r="OUF928" s="509"/>
      <c r="OUG928" s="69"/>
      <c r="OUH928" s="509"/>
      <c r="OUI928" s="380"/>
      <c r="OUJ928" s="381"/>
      <c r="OUK928" s="509"/>
      <c r="OUL928" s="509"/>
      <c r="OUM928" s="509"/>
      <c r="OUN928" s="69"/>
      <c r="OUO928" s="509"/>
      <c r="OUP928" s="380"/>
      <c r="OUQ928" s="381"/>
      <c r="OUR928" s="509"/>
      <c r="OUS928" s="509"/>
      <c r="OUT928" s="509"/>
      <c r="OUU928" s="69"/>
      <c r="OUV928" s="509"/>
      <c r="OUW928" s="380"/>
      <c r="OUX928" s="381"/>
      <c r="OUY928" s="509"/>
      <c r="OUZ928" s="509"/>
      <c r="OVA928" s="509"/>
      <c r="OVB928" s="69"/>
      <c r="OVC928" s="509"/>
      <c r="OVD928" s="380"/>
      <c r="OVE928" s="381"/>
      <c r="OVF928" s="509"/>
      <c r="OVG928" s="509"/>
      <c r="OVH928" s="509"/>
      <c r="OVI928" s="69"/>
      <c r="OVJ928" s="509"/>
      <c r="OVK928" s="380"/>
      <c r="OVL928" s="381"/>
      <c r="OVM928" s="509"/>
      <c r="OVN928" s="509"/>
      <c r="OVO928" s="509"/>
      <c r="OVP928" s="69"/>
      <c r="OVQ928" s="509"/>
      <c r="OVR928" s="380"/>
      <c r="OVS928" s="381"/>
      <c r="OVT928" s="509"/>
      <c r="OVU928" s="509"/>
      <c r="OVV928" s="509"/>
      <c r="OVW928" s="69"/>
      <c r="OVX928" s="509"/>
      <c r="OVY928" s="380"/>
      <c r="OVZ928" s="381"/>
      <c r="OWA928" s="509"/>
      <c r="OWB928" s="509"/>
      <c r="OWC928" s="509"/>
      <c r="OWD928" s="69"/>
      <c r="OWE928" s="509"/>
      <c r="OWF928" s="380"/>
      <c r="OWG928" s="381"/>
      <c r="OWH928" s="509"/>
      <c r="OWI928" s="509"/>
      <c r="OWJ928" s="509"/>
      <c r="OWK928" s="69"/>
      <c r="OWL928" s="509"/>
      <c r="OWM928" s="380"/>
      <c r="OWN928" s="381"/>
      <c r="OWO928" s="509"/>
      <c r="OWP928" s="509"/>
      <c r="OWQ928" s="509"/>
      <c r="OWR928" s="69"/>
      <c r="OWS928" s="509"/>
      <c r="OWT928" s="380"/>
      <c r="OWU928" s="381"/>
      <c r="OWV928" s="509"/>
      <c r="OWW928" s="509"/>
      <c r="OWX928" s="509"/>
      <c r="OWY928" s="69"/>
      <c r="OWZ928" s="509"/>
      <c r="OXA928" s="380"/>
      <c r="OXB928" s="381"/>
      <c r="OXC928" s="509"/>
      <c r="OXD928" s="509"/>
      <c r="OXE928" s="509"/>
      <c r="OXF928" s="69"/>
      <c r="OXG928" s="509"/>
      <c r="OXH928" s="380"/>
      <c r="OXI928" s="381"/>
      <c r="OXJ928" s="509"/>
      <c r="OXK928" s="509"/>
      <c r="OXL928" s="509"/>
      <c r="OXM928" s="69"/>
      <c r="OXN928" s="509"/>
      <c r="OXO928" s="380"/>
      <c r="OXP928" s="381"/>
      <c r="OXQ928" s="509"/>
      <c r="OXR928" s="509"/>
      <c r="OXS928" s="509"/>
      <c r="OXT928" s="69"/>
      <c r="OXU928" s="509"/>
      <c r="OXV928" s="380"/>
      <c r="OXW928" s="381"/>
      <c r="OXX928" s="509"/>
      <c r="OXY928" s="509"/>
      <c r="OXZ928" s="509"/>
      <c r="OYA928" s="69"/>
      <c r="OYB928" s="509"/>
      <c r="OYC928" s="380"/>
      <c r="OYD928" s="381"/>
      <c r="OYE928" s="509"/>
      <c r="OYF928" s="509"/>
      <c r="OYG928" s="509"/>
      <c r="OYH928" s="69"/>
      <c r="OYI928" s="509"/>
      <c r="OYJ928" s="380"/>
      <c r="OYK928" s="381"/>
      <c r="OYL928" s="509"/>
      <c r="OYM928" s="509"/>
      <c r="OYN928" s="509"/>
      <c r="OYO928" s="69"/>
      <c r="OYP928" s="509"/>
      <c r="OYQ928" s="380"/>
      <c r="OYR928" s="381"/>
      <c r="OYS928" s="509"/>
      <c r="OYT928" s="509"/>
      <c r="OYU928" s="509"/>
      <c r="OYV928" s="69"/>
      <c r="OYW928" s="509"/>
      <c r="OYX928" s="380"/>
      <c r="OYY928" s="381"/>
      <c r="OYZ928" s="509"/>
      <c r="OZA928" s="509"/>
      <c r="OZB928" s="509"/>
      <c r="OZC928" s="69"/>
      <c r="OZD928" s="509"/>
      <c r="OZE928" s="380"/>
      <c r="OZF928" s="381"/>
      <c r="OZG928" s="509"/>
      <c r="OZH928" s="509"/>
      <c r="OZI928" s="509"/>
      <c r="OZJ928" s="69"/>
      <c r="OZK928" s="509"/>
      <c r="OZL928" s="380"/>
      <c r="OZM928" s="381"/>
      <c r="OZN928" s="509"/>
      <c r="OZO928" s="509"/>
      <c r="OZP928" s="509"/>
      <c r="OZQ928" s="69"/>
      <c r="OZR928" s="509"/>
      <c r="OZS928" s="380"/>
      <c r="OZT928" s="381"/>
      <c r="OZU928" s="509"/>
      <c r="OZV928" s="509"/>
      <c r="OZW928" s="509"/>
      <c r="OZX928" s="69"/>
      <c r="OZY928" s="509"/>
      <c r="OZZ928" s="380"/>
      <c r="PAA928" s="381"/>
      <c r="PAB928" s="509"/>
      <c r="PAC928" s="509"/>
      <c r="PAD928" s="509"/>
      <c r="PAE928" s="69"/>
      <c r="PAF928" s="509"/>
      <c r="PAG928" s="380"/>
      <c r="PAH928" s="381"/>
      <c r="PAI928" s="509"/>
      <c r="PAJ928" s="509"/>
      <c r="PAK928" s="509"/>
      <c r="PAL928" s="69"/>
      <c r="PAM928" s="509"/>
      <c r="PAN928" s="380"/>
      <c r="PAO928" s="381"/>
      <c r="PAP928" s="509"/>
      <c r="PAQ928" s="509"/>
      <c r="PAR928" s="509"/>
      <c r="PAS928" s="69"/>
      <c r="PAT928" s="509"/>
      <c r="PAU928" s="380"/>
      <c r="PAV928" s="381"/>
      <c r="PAW928" s="509"/>
      <c r="PAX928" s="509"/>
      <c r="PAY928" s="509"/>
      <c r="PAZ928" s="69"/>
      <c r="PBA928" s="509"/>
      <c r="PBB928" s="380"/>
      <c r="PBC928" s="381"/>
      <c r="PBD928" s="509"/>
      <c r="PBE928" s="509"/>
      <c r="PBF928" s="509"/>
      <c r="PBG928" s="69"/>
      <c r="PBH928" s="509"/>
      <c r="PBI928" s="380"/>
      <c r="PBJ928" s="381"/>
      <c r="PBK928" s="509"/>
      <c r="PBL928" s="509"/>
      <c r="PBM928" s="509"/>
      <c r="PBN928" s="69"/>
      <c r="PBO928" s="509"/>
      <c r="PBP928" s="380"/>
      <c r="PBQ928" s="381"/>
      <c r="PBR928" s="509"/>
      <c r="PBS928" s="509"/>
      <c r="PBT928" s="509"/>
      <c r="PBU928" s="69"/>
      <c r="PBV928" s="509"/>
      <c r="PBW928" s="380"/>
      <c r="PBX928" s="381"/>
      <c r="PBY928" s="509"/>
      <c r="PBZ928" s="509"/>
      <c r="PCA928" s="509"/>
      <c r="PCB928" s="69"/>
      <c r="PCC928" s="509"/>
      <c r="PCD928" s="380"/>
      <c r="PCE928" s="381"/>
      <c r="PCF928" s="509"/>
      <c r="PCG928" s="509"/>
      <c r="PCH928" s="509"/>
      <c r="PCI928" s="69"/>
      <c r="PCJ928" s="509"/>
      <c r="PCK928" s="380"/>
      <c r="PCL928" s="381"/>
      <c r="PCM928" s="509"/>
      <c r="PCN928" s="509"/>
      <c r="PCO928" s="509"/>
      <c r="PCP928" s="69"/>
      <c r="PCQ928" s="509"/>
      <c r="PCR928" s="380"/>
      <c r="PCS928" s="381"/>
      <c r="PCT928" s="509"/>
      <c r="PCU928" s="509"/>
      <c r="PCV928" s="509"/>
      <c r="PCW928" s="69"/>
      <c r="PCX928" s="509"/>
      <c r="PCY928" s="380"/>
      <c r="PCZ928" s="381"/>
      <c r="PDA928" s="509"/>
      <c r="PDB928" s="509"/>
      <c r="PDC928" s="509"/>
      <c r="PDD928" s="69"/>
      <c r="PDE928" s="509"/>
      <c r="PDF928" s="380"/>
      <c r="PDG928" s="381"/>
      <c r="PDH928" s="509"/>
      <c r="PDI928" s="509"/>
      <c r="PDJ928" s="509"/>
      <c r="PDK928" s="69"/>
      <c r="PDL928" s="509"/>
      <c r="PDM928" s="380"/>
      <c r="PDN928" s="381"/>
      <c r="PDO928" s="509"/>
      <c r="PDP928" s="509"/>
      <c r="PDQ928" s="509"/>
      <c r="PDR928" s="69"/>
      <c r="PDS928" s="509"/>
      <c r="PDT928" s="380"/>
      <c r="PDU928" s="381"/>
      <c r="PDV928" s="509"/>
      <c r="PDW928" s="509"/>
      <c r="PDX928" s="509"/>
      <c r="PDY928" s="69"/>
      <c r="PDZ928" s="509"/>
      <c r="PEA928" s="380"/>
      <c r="PEB928" s="381"/>
      <c r="PEC928" s="509"/>
      <c r="PED928" s="509"/>
      <c r="PEE928" s="509"/>
      <c r="PEF928" s="69"/>
      <c r="PEG928" s="509"/>
      <c r="PEH928" s="380"/>
      <c r="PEI928" s="381"/>
      <c r="PEJ928" s="509"/>
      <c r="PEK928" s="509"/>
      <c r="PEL928" s="509"/>
      <c r="PEM928" s="69"/>
      <c r="PEN928" s="509"/>
      <c r="PEO928" s="380"/>
      <c r="PEP928" s="381"/>
      <c r="PEQ928" s="509"/>
      <c r="PER928" s="509"/>
      <c r="PES928" s="509"/>
      <c r="PET928" s="69"/>
      <c r="PEU928" s="509"/>
      <c r="PEV928" s="380"/>
      <c r="PEW928" s="381"/>
      <c r="PEX928" s="509"/>
      <c r="PEY928" s="509"/>
      <c r="PEZ928" s="509"/>
      <c r="PFA928" s="69"/>
      <c r="PFB928" s="509"/>
      <c r="PFC928" s="380"/>
      <c r="PFD928" s="381"/>
      <c r="PFE928" s="509"/>
      <c r="PFF928" s="509"/>
      <c r="PFG928" s="509"/>
      <c r="PFH928" s="69"/>
      <c r="PFI928" s="509"/>
      <c r="PFJ928" s="380"/>
      <c r="PFK928" s="381"/>
      <c r="PFL928" s="509"/>
      <c r="PFM928" s="509"/>
      <c r="PFN928" s="509"/>
      <c r="PFO928" s="69"/>
      <c r="PFP928" s="509"/>
      <c r="PFQ928" s="380"/>
      <c r="PFR928" s="381"/>
      <c r="PFS928" s="509"/>
      <c r="PFT928" s="509"/>
      <c r="PFU928" s="509"/>
      <c r="PFV928" s="69"/>
      <c r="PFW928" s="509"/>
      <c r="PFX928" s="380"/>
      <c r="PFY928" s="381"/>
      <c r="PFZ928" s="509"/>
      <c r="PGA928" s="509"/>
      <c r="PGB928" s="509"/>
      <c r="PGC928" s="69"/>
      <c r="PGD928" s="509"/>
      <c r="PGE928" s="380"/>
      <c r="PGF928" s="381"/>
      <c r="PGG928" s="509"/>
      <c r="PGH928" s="509"/>
      <c r="PGI928" s="509"/>
      <c r="PGJ928" s="69"/>
      <c r="PGK928" s="509"/>
      <c r="PGL928" s="380"/>
      <c r="PGM928" s="381"/>
      <c r="PGN928" s="509"/>
      <c r="PGO928" s="509"/>
      <c r="PGP928" s="509"/>
      <c r="PGQ928" s="69"/>
      <c r="PGR928" s="509"/>
      <c r="PGS928" s="380"/>
      <c r="PGT928" s="381"/>
      <c r="PGU928" s="509"/>
      <c r="PGV928" s="509"/>
      <c r="PGW928" s="509"/>
      <c r="PGX928" s="69"/>
      <c r="PGY928" s="509"/>
      <c r="PGZ928" s="380"/>
      <c r="PHA928" s="381"/>
      <c r="PHB928" s="509"/>
      <c r="PHC928" s="509"/>
      <c r="PHD928" s="509"/>
      <c r="PHE928" s="69"/>
      <c r="PHF928" s="509"/>
      <c r="PHG928" s="380"/>
      <c r="PHH928" s="381"/>
      <c r="PHI928" s="509"/>
      <c r="PHJ928" s="509"/>
      <c r="PHK928" s="509"/>
      <c r="PHL928" s="69"/>
      <c r="PHM928" s="509"/>
      <c r="PHN928" s="380"/>
      <c r="PHO928" s="381"/>
      <c r="PHP928" s="509"/>
      <c r="PHQ928" s="509"/>
      <c r="PHR928" s="509"/>
      <c r="PHS928" s="69"/>
      <c r="PHT928" s="509"/>
      <c r="PHU928" s="380"/>
      <c r="PHV928" s="381"/>
      <c r="PHW928" s="509"/>
      <c r="PHX928" s="509"/>
      <c r="PHY928" s="509"/>
      <c r="PHZ928" s="69"/>
      <c r="PIA928" s="509"/>
      <c r="PIB928" s="380"/>
      <c r="PIC928" s="381"/>
      <c r="PID928" s="509"/>
      <c r="PIE928" s="509"/>
      <c r="PIF928" s="509"/>
      <c r="PIG928" s="69"/>
      <c r="PIH928" s="509"/>
      <c r="PII928" s="380"/>
      <c r="PIJ928" s="381"/>
      <c r="PIK928" s="509"/>
      <c r="PIL928" s="509"/>
      <c r="PIM928" s="509"/>
      <c r="PIN928" s="69"/>
      <c r="PIO928" s="509"/>
      <c r="PIP928" s="380"/>
      <c r="PIQ928" s="381"/>
      <c r="PIR928" s="509"/>
      <c r="PIS928" s="509"/>
      <c r="PIT928" s="509"/>
      <c r="PIU928" s="69"/>
      <c r="PIV928" s="509"/>
      <c r="PIW928" s="380"/>
      <c r="PIX928" s="381"/>
      <c r="PIY928" s="509"/>
      <c r="PIZ928" s="509"/>
      <c r="PJA928" s="509"/>
      <c r="PJB928" s="69"/>
      <c r="PJC928" s="509"/>
      <c r="PJD928" s="380"/>
      <c r="PJE928" s="381"/>
      <c r="PJF928" s="509"/>
      <c r="PJG928" s="509"/>
      <c r="PJH928" s="509"/>
      <c r="PJI928" s="69"/>
      <c r="PJJ928" s="509"/>
      <c r="PJK928" s="380"/>
      <c r="PJL928" s="381"/>
      <c r="PJM928" s="509"/>
      <c r="PJN928" s="509"/>
      <c r="PJO928" s="509"/>
      <c r="PJP928" s="69"/>
      <c r="PJQ928" s="509"/>
      <c r="PJR928" s="380"/>
      <c r="PJS928" s="381"/>
      <c r="PJT928" s="509"/>
      <c r="PJU928" s="509"/>
      <c r="PJV928" s="509"/>
      <c r="PJW928" s="69"/>
      <c r="PJX928" s="509"/>
      <c r="PJY928" s="380"/>
      <c r="PJZ928" s="381"/>
      <c r="PKA928" s="509"/>
      <c r="PKB928" s="509"/>
      <c r="PKC928" s="509"/>
      <c r="PKD928" s="69"/>
      <c r="PKE928" s="509"/>
      <c r="PKF928" s="380"/>
      <c r="PKG928" s="381"/>
      <c r="PKH928" s="509"/>
      <c r="PKI928" s="509"/>
      <c r="PKJ928" s="509"/>
      <c r="PKK928" s="69"/>
      <c r="PKL928" s="509"/>
      <c r="PKM928" s="380"/>
      <c r="PKN928" s="381"/>
      <c r="PKO928" s="509"/>
      <c r="PKP928" s="509"/>
      <c r="PKQ928" s="509"/>
      <c r="PKR928" s="69"/>
      <c r="PKS928" s="509"/>
      <c r="PKT928" s="380"/>
      <c r="PKU928" s="381"/>
      <c r="PKV928" s="509"/>
      <c r="PKW928" s="509"/>
      <c r="PKX928" s="509"/>
      <c r="PKY928" s="69"/>
      <c r="PKZ928" s="509"/>
      <c r="PLA928" s="380"/>
      <c r="PLB928" s="381"/>
      <c r="PLC928" s="509"/>
      <c r="PLD928" s="509"/>
      <c r="PLE928" s="509"/>
      <c r="PLF928" s="69"/>
      <c r="PLG928" s="509"/>
      <c r="PLH928" s="380"/>
      <c r="PLI928" s="381"/>
      <c r="PLJ928" s="509"/>
      <c r="PLK928" s="509"/>
      <c r="PLL928" s="509"/>
      <c r="PLM928" s="69"/>
      <c r="PLN928" s="509"/>
      <c r="PLO928" s="380"/>
      <c r="PLP928" s="381"/>
      <c r="PLQ928" s="509"/>
      <c r="PLR928" s="509"/>
      <c r="PLS928" s="509"/>
      <c r="PLT928" s="69"/>
      <c r="PLU928" s="509"/>
      <c r="PLV928" s="380"/>
      <c r="PLW928" s="381"/>
      <c r="PLX928" s="509"/>
      <c r="PLY928" s="509"/>
      <c r="PLZ928" s="509"/>
      <c r="PMA928" s="69"/>
      <c r="PMB928" s="509"/>
      <c r="PMC928" s="380"/>
      <c r="PMD928" s="381"/>
      <c r="PME928" s="509"/>
      <c r="PMF928" s="509"/>
      <c r="PMG928" s="509"/>
      <c r="PMH928" s="69"/>
      <c r="PMI928" s="509"/>
      <c r="PMJ928" s="380"/>
      <c r="PMK928" s="381"/>
      <c r="PML928" s="509"/>
      <c r="PMM928" s="509"/>
      <c r="PMN928" s="509"/>
      <c r="PMO928" s="69"/>
      <c r="PMP928" s="509"/>
      <c r="PMQ928" s="380"/>
      <c r="PMR928" s="381"/>
      <c r="PMS928" s="509"/>
      <c r="PMT928" s="509"/>
      <c r="PMU928" s="509"/>
      <c r="PMV928" s="69"/>
      <c r="PMW928" s="509"/>
      <c r="PMX928" s="380"/>
      <c r="PMY928" s="381"/>
      <c r="PMZ928" s="509"/>
      <c r="PNA928" s="509"/>
      <c r="PNB928" s="509"/>
      <c r="PNC928" s="69"/>
      <c r="PND928" s="509"/>
      <c r="PNE928" s="380"/>
      <c r="PNF928" s="381"/>
      <c r="PNG928" s="509"/>
      <c r="PNH928" s="509"/>
      <c r="PNI928" s="509"/>
      <c r="PNJ928" s="69"/>
      <c r="PNK928" s="509"/>
      <c r="PNL928" s="380"/>
      <c r="PNM928" s="381"/>
      <c r="PNN928" s="509"/>
      <c r="PNO928" s="509"/>
      <c r="PNP928" s="509"/>
      <c r="PNQ928" s="69"/>
      <c r="PNR928" s="509"/>
      <c r="PNS928" s="380"/>
      <c r="PNT928" s="381"/>
      <c r="PNU928" s="509"/>
      <c r="PNV928" s="509"/>
      <c r="PNW928" s="509"/>
      <c r="PNX928" s="69"/>
      <c r="PNY928" s="509"/>
      <c r="PNZ928" s="380"/>
      <c r="POA928" s="381"/>
      <c r="POB928" s="509"/>
      <c r="POC928" s="509"/>
      <c r="POD928" s="509"/>
      <c r="POE928" s="69"/>
      <c r="POF928" s="509"/>
      <c r="POG928" s="380"/>
      <c r="POH928" s="381"/>
      <c r="POI928" s="509"/>
      <c r="POJ928" s="509"/>
      <c r="POK928" s="509"/>
      <c r="POL928" s="69"/>
      <c r="POM928" s="509"/>
      <c r="PON928" s="380"/>
      <c r="POO928" s="381"/>
      <c r="POP928" s="509"/>
      <c r="POQ928" s="509"/>
      <c r="POR928" s="509"/>
      <c r="POS928" s="69"/>
      <c r="POT928" s="509"/>
      <c r="POU928" s="380"/>
      <c r="POV928" s="381"/>
      <c r="POW928" s="509"/>
      <c r="POX928" s="509"/>
      <c r="POY928" s="509"/>
      <c r="POZ928" s="69"/>
      <c r="PPA928" s="509"/>
      <c r="PPB928" s="380"/>
      <c r="PPC928" s="381"/>
      <c r="PPD928" s="509"/>
      <c r="PPE928" s="509"/>
      <c r="PPF928" s="509"/>
      <c r="PPG928" s="69"/>
      <c r="PPH928" s="509"/>
      <c r="PPI928" s="380"/>
      <c r="PPJ928" s="381"/>
      <c r="PPK928" s="509"/>
      <c r="PPL928" s="509"/>
      <c r="PPM928" s="509"/>
      <c r="PPN928" s="69"/>
      <c r="PPO928" s="509"/>
      <c r="PPP928" s="380"/>
      <c r="PPQ928" s="381"/>
      <c r="PPR928" s="509"/>
      <c r="PPS928" s="509"/>
      <c r="PPT928" s="509"/>
      <c r="PPU928" s="69"/>
      <c r="PPV928" s="509"/>
      <c r="PPW928" s="380"/>
      <c r="PPX928" s="381"/>
      <c r="PPY928" s="509"/>
      <c r="PPZ928" s="509"/>
      <c r="PQA928" s="509"/>
      <c r="PQB928" s="69"/>
      <c r="PQC928" s="509"/>
      <c r="PQD928" s="380"/>
      <c r="PQE928" s="381"/>
      <c r="PQF928" s="509"/>
      <c r="PQG928" s="509"/>
      <c r="PQH928" s="509"/>
      <c r="PQI928" s="69"/>
      <c r="PQJ928" s="509"/>
      <c r="PQK928" s="380"/>
      <c r="PQL928" s="381"/>
      <c r="PQM928" s="509"/>
      <c r="PQN928" s="509"/>
      <c r="PQO928" s="509"/>
      <c r="PQP928" s="69"/>
      <c r="PQQ928" s="509"/>
      <c r="PQR928" s="380"/>
      <c r="PQS928" s="381"/>
      <c r="PQT928" s="509"/>
      <c r="PQU928" s="509"/>
      <c r="PQV928" s="509"/>
      <c r="PQW928" s="69"/>
      <c r="PQX928" s="509"/>
      <c r="PQY928" s="380"/>
      <c r="PQZ928" s="381"/>
      <c r="PRA928" s="509"/>
      <c r="PRB928" s="509"/>
      <c r="PRC928" s="509"/>
      <c r="PRD928" s="69"/>
      <c r="PRE928" s="509"/>
      <c r="PRF928" s="380"/>
      <c r="PRG928" s="381"/>
      <c r="PRH928" s="509"/>
      <c r="PRI928" s="509"/>
      <c r="PRJ928" s="509"/>
      <c r="PRK928" s="69"/>
      <c r="PRL928" s="509"/>
      <c r="PRM928" s="380"/>
      <c r="PRN928" s="381"/>
      <c r="PRO928" s="509"/>
      <c r="PRP928" s="509"/>
      <c r="PRQ928" s="509"/>
      <c r="PRR928" s="69"/>
      <c r="PRS928" s="509"/>
      <c r="PRT928" s="380"/>
      <c r="PRU928" s="381"/>
      <c r="PRV928" s="509"/>
      <c r="PRW928" s="509"/>
      <c r="PRX928" s="509"/>
      <c r="PRY928" s="69"/>
      <c r="PRZ928" s="509"/>
      <c r="PSA928" s="380"/>
      <c r="PSB928" s="381"/>
      <c r="PSC928" s="509"/>
      <c r="PSD928" s="509"/>
      <c r="PSE928" s="509"/>
      <c r="PSF928" s="69"/>
      <c r="PSG928" s="509"/>
      <c r="PSH928" s="380"/>
      <c r="PSI928" s="381"/>
      <c r="PSJ928" s="509"/>
      <c r="PSK928" s="509"/>
      <c r="PSL928" s="509"/>
      <c r="PSM928" s="69"/>
      <c r="PSN928" s="509"/>
      <c r="PSO928" s="380"/>
      <c r="PSP928" s="381"/>
      <c r="PSQ928" s="509"/>
      <c r="PSR928" s="509"/>
      <c r="PSS928" s="509"/>
      <c r="PST928" s="69"/>
      <c r="PSU928" s="509"/>
      <c r="PSV928" s="380"/>
      <c r="PSW928" s="381"/>
      <c r="PSX928" s="509"/>
      <c r="PSY928" s="509"/>
      <c r="PSZ928" s="509"/>
      <c r="PTA928" s="69"/>
      <c r="PTB928" s="509"/>
      <c r="PTC928" s="380"/>
      <c r="PTD928" s="381"/>
      <c r="PTE928" s="509"/>
      <c r="PTF928" s="509"/>
      <c r="PTG928" s="509"/>
      <c r="PTH928" s="69"/>
      <c r="PTI928" s="509"/>
      <c r="PTJ928" s="380"/>
      <c r="PTK928" s="381"/>
      <c r="PTL928" s="509"/>
      <c r="PTM928" s="509"/>
      <c r="PTN928" s="509"/>
      <c r="PTO928" s="69"/>
      <c r="PTP928" s="509"/>
      <c r="PTQ928" s="380"/>
      <c r="PTR928" s="381"/>
      <c r="PTS928" s="509"/>
      <c r="PTT928" s="509"/>
      <c r="PTU928" s="509"/>
      <c r="PTV928" s="69"/>
      <c r="PTW928" s="509"/>
      <c r="PTX928" s="380"/>
      <c r="PTY928" s="381"/>
      <c r="PTZ928" s="509"/>
      <c r="PUA928" s="509"/>
      <c r="PUB928" s="509"/>
      <c r="PUC928" s="69"/>
      <c r="PUD928" s="509"/>
      <c r="PUE928" s="380"/>
      <c r="PUF928" s="381"/>
      <c r="PUG928" s="509"/>
      <c r="PUH928" s="509"/>
      <c r="PUI928" s="509"/>
      <c r="PUJ928" s="69"/>
      <c r="PUK928" s="509"/>
      <c r="PUL928" s="380"/>
      <c r="PUM928" s="381"/>
      <c r="PUN928" s="509"/>
      <c r="PUO928" s="509"/>
      <c r="PUP928" s="509"/>
      <c r="PUQ928" s="69"/>
      <c r="PUR928" s="509"/>
      <c r="PUS928" s="380"/>
      <c r="PUT928" s="381"/>
      <c r="PUU928" s="509"/>
      <c r="PUV928" s="509"/>
      <c r="PUW928" s="509"/>
      <c r="PUX928" s="69"/>
      <c r="PUY928" s="509"/>
      <c r="PUZ928" s="380"/>
      <c r="PVA928" s="381"/>
      <c r="PVB928" s="509"/>
      <c r="PVC928" s="509"/>
      <c r="PVD928" s="509"/>
      <c r="PVE928" s="69"/>
      <c r="PVF928" s="509"/>
      <c r="PVG928" s="380"/>
      <c r="PVH928" s="381"/>
      <c r="PVI928" s="509"/>
      <c r="PVJ928" s="509"/>
      <c r="PVK928" s="509"/>
      <c r="PVL928" s="69"/>
      <c r="PVM928" s="509"/>
      <c r="PVN928" s="380"/>
      <c r="PVO928" s="381"/>
      <c r="PVP928" s="509"/>
      <c r="PVQ928" s="509"/>
      <c r="PVR928" s="509"/>
      <c r="PVS928" s="69"/>
      <c r="PVT928" s="509"/>
      <c r="PVU928" s="380"/>
      <c r="PVV928" s="381"/>
      <c r="PVW928" s="509"/>
      <c r="PVX928" s="509"/>
      <c r="PVY928" s="509"/>
      <c r="PVZ928" s="69"/>
      <c r="PWA928" s="509"/>
      <c r="PWB928" s="380"/>
      <c r="PWC928" s="381"/>
      <c r="PWD928" s="509"/>
      <c r="PWE928" s="509"/>
      <c r="PWF928" s="509"/>
      <c r="PWG928" s="69"/>
      <c r="PWH928" s="509"/>
      <c r="PWI928" s="380"/>
      <c r="PWJ928" s="381"/>
      <c r="PWK928" s="509"/>
      <c r="PWL928" s="509"/>
      <c r="PWM928" s="509"/>
      <c r="PWN928" s="69"/>
      <c r="PWO928" s="509"/>
      <c r="PWP928" s="380"/>
      <c r="PWQ928" s="381"/>
      <c r="PWR928" s="509"/>
      <c r="PWS928" s="509"/>
      <c r="PWT928" s="509"/>
      <c r="PWU928" s="69"/>
      <c r="PWV928" s="509"/>
      <c r="PWW928" s="380"/>
      <c r="PWX928" s="381"/>
      <c r="PWY928" s="509"/>
      <c r="PWZ928" s="509"/>
      <c r="PXA928" s="509"/>
      <c r="PXB928" s="69"/>
      <c r="PXC928" s="509"/>
      <c r="PXD928" s="380"/>
      <c r="PXE928" s="381"/>
      <c r="PXF928" s="509"/>
      <c r="PXG928" s="509"/>
      <c r="PXH928" s="509"/>
      <c r="PXI928" s="69"/>
      <c r="PXJ928" s="509"/>
      <c r="PXK928" s="380"/>
      <c r="PXL928" s="381"/>
      <c r="PXM928" s="509"/>
      <c r="PXN928" s="509"/>
      <c r="PXO928" s="509"/>
      <c r="PXP928" s="69"/>
      <c r="PXQ928" s="509"/>
      <c r="PXR928" s="380"/>
      <c r="PXS928" s="381"/>
      <c r="PXT928" s="509"/>
      <c r="PXU928" s="509"/>
      <c r="PXV928" s="509"/>
      <c r="PXW928" s="69"/>
      <c r="PXX928" s="509"/>
      <c r="PXY928" s="380"/>
      <c r="PXZ928" s="381"/>
      <c r="PYA928" s="509"/>
      <c r="PYB928" s="509"/>
      <c r="PYC928" s="509"/>
      <c r="PYD928" s="69"/>
      <c r="PYE928" s="509"/>
      <c r="PYF928" s="380"/>
      <c r="PYG928" s="381"/>
      <c r="PYH928" s="509"/>
      <c r="PYI928" s="509"/>
      <c r="PYJ928" s="509"/>
      <c r="PYK928" s="69"/>
      <c r="PYL928" s="509"/>
      <c r="PYM928" s="380"/>
      <c r="PYN928" s="381"/>
      <c r="PYO928" s="509"/>
      <c r="PYP928" s="509"/>
      <c r="PYQ928" s="509"/>
      <c r="PYR928" s="69"/>
      <c r="PYS928" s="509"/>
      <c r="PYT928" s="380"/>
      <c r="PYU928" s="381"/>
      <c r="PYV928" s="509"/>
      <c r="PYW928" s="509"/>
      <c r="PYX928" s="509"/>
      <c r="PYY928" s="69"/>
      <c r="PYZ928" s="509"/>
      <c r="PZA928" s="380"/>
      <c r="PZB928" s="381"/>
      <c r="PZC928" s="509"/>
      <c r="PZD928" s="509"/>
      <c r="PZE928" s="509"/>
      <c r="PZF928" s="69"/>
      <c r="PZG928" s="509"/>
      <c r="PZH928" s="380"/>
      <c r="PZI928" s="381"/>
      <c r="PZJ928" s="509"/>
      <c r="PZK928" s="509"/>
      <c r="PZL928" s="509"/>
      <c r="PZM928" s="69"/>
      <c r="PZN928" s="509"/>
      <c r="PZO928" s="380"/>
      <c r="PZP928" s="381"/>
      <c r="PZQ928" s="509"/>
      <c r="PZR928" s="509"/>
      <c r="PZS928" s="509"/>
      <c r="PZT928" s="69"/>
      <c r="PZU928" s="509"/>
      <c r="PZV928" s="380"/>
      <c r="PZW928" s="381"/>
      <c r="PZX928" s="509"/>
      <c r="PZY928" s="509"/>
      <c r="PZZ928" s="509"/>
      <c r="QAA928" s="69"/>
      <c r="QAB928" s="509"/>
      <c r="QAC928" s="380"/>
      <c r="QAD928" s="381"/>
      <c r="QAE928" s="509"/>
      <c r="QAF928" s="509"/>
      <c r="QAG928" s="509"/>
      <c r="QAH928" s="69"/>
      <c r="QAI928" s="509"/>
      <c r="QAJ928" s="380"/>
      <c r="QAK928" s="381"/>
      <c r="QAL928" s="509"/>
      <c r="QAM928" s="509"/>
      <c r="QAN928" s="509"/>
      <c r="QAO928" s="69"/>
      <c r="QAP928" s="509"/>
      <c r="QAQ928" s="380"/>
      <c r="QAR928" s="381"/>
      <c r="QAS928" s="509"/>
      <c r="QAT928" s="509"/>
      <c r="QAU928" s="509"/>
      <c r="QAV928" s="69"/>
      <c r="QAW928" s="509"/>
      <c r="QAX928" s="380"/>
      <c r="QAY928" s="381"/>
      <c r="QAZ928" s="509"/>
      <c r="QBA928" s="509"/>
      <c r="QBB928" s="509"/>
      <c r="QBC928" s="69"/>
      <c r="QBD928" s="509"/>
      <c r="QBE928" s="380"/>
      <c r="QBF928" s="381"/>
      <c r="QBG928" s="509"/>
      <c r="QBH928" s="509"/>
      <c r="QBI928" s="509"/>
      <c r="QBJ928" s="69"/>
      <c r="QBK928" s="509"/>
      <c r="QBL928" s="380"/>
      <c r="QBM928" s="381"/>
      <c r="QBN928" s="509"/>
      <c r="QBO928" s="509"/>
      <c r="QBP928" s="509"/>
      <c r="QBQ928" s="69"/>
      <c r="QBR928" s="509"/>
      <c r="QBS928" s="380"/>
      <c r="QBT928" s="381"/>
      <c r="QBU928" s="509"/>
      <c r="QBV928" s="509"/>
      <c r="QBW928" s="509"/>
      <c r="QBX928" s="69"/>
      <c r="QBY928" s="509"/>
      <c r="QBZ928" s="380"/>
      <c r="QCA928" s="381"/>
      <c r="QCB928" s="509"/>
      <c r="QCC928" s="509"/>
      <c r="QCD928" s="509"/>
      <c r="QCE928" s="69"/>
      <c r="QCF928" s="509"/>
      <c r="QCG928" s="380"/>
      <c r="QCH928" s="381"/>
      <c r="QCI928" s="509"/>
      <c r="QCJ928" s="509"/>
      <c r="QCK928" s="509"/>
      <c r="QCL928" s="69"/>
      <c r="QCM928" s="509"/>
      <c r="QCN928" s="380"/>
      <c r="QCO928" s="381"/>
      <c r="QCP928" s="509"/>
      <c r="QCQ928" s="509"/>
      <c r="QCR928" s="509"/>
      <c r="QCS928" s="69"/>
      <c r="QCT928" s="509"/>
      <c r="QCU928" s="380"/>
      <c r="QCV928" s="381"/>
      <c r="QCW928" s="509"/>
      <c r="QCX928" s="509"/>
      <c r="QCY928" s="509"/>
      <c r="QCZ928" s="69"/>
      <c r="QDA928" s="509"/>
      <c r="QDB928" s="380"/>
      <c r="QDC928" s="381"/>
      <c r="QDD928" s="509"/>
      <c r="QDE928" s="509"/>
      <c r="QDF928" s="509"/>
      <c r="QDG928" s="69"/>
      <c r="QDH928" s="509"/>
      <c r="QDI928" s="380"/>
      <c r="QDJ928" s="381"/>
      <c r="QDK928" s="509"/>
      <c r="QDL928" s="509"/>
      <c r="QDM928" s="509"/>
      <c r="QDN928" s="69"/>
      <c r="QDO928" s="509"/>
      <c r="QDP928" s="380"/>
      <c r="QDQ928" s="381"/>
      <c r="QDR928" s="509"/>
      <c r="QDS928" s="509"/>
      <c r="QDT928" s="509"/>
      <c r="QDU928" s="69"/>
      <c r="QDV928" s="509"/>
      <c r="QDW928" s="380"/>
      <c r="QDX928" s="381"/>
      <c r="QDY928" s="509"/>
      <c r="QDZ928" s="509"/>
      <c r="QEA928" s="509"/>
      <c r="QEB928" s="69"/>
      <c r="QEC928" s="509"/>
      <c r="QED928" s="380"/>
      <c r="QEE928" s="381"/>
      <c r="QEF928" s="509"/>
      <c r="QEG928" s="509"/>
      <c r="QEH928" s="509"/>
      <c r="QEI928" s="69"/>
      <c r="QEJ928" s="509"/>
      <c r="QEK928" s="380"/>
      <c r="QEL928" s="381"/>
      <c r="QEM928" s="509"/>
      <c r="QEN928" s="509"/>
      <c r="QEO928" s="509"/>
      <c r="QEP928" s="69"/>
      <c r="QEQ928" s="509"/>
      <c r="QER928" s="380"/>
      <c r="QES928" s="381"/>
      <c r="QET928" s="509"/>
      <c r="QEU928" s="509"/>
      <c r="QEV928" s="509"/>
      <c r="QEW928" s="69"/>
      <c r="QEX928" s="509"/>
      <c r="QEY928" s="380"/>
      <c r="QEZ928" s="381"/>
      <c r="QFA928" s="509"/>
      <c r="QFB928" s="509"/>
      <c r="QFC928" s="509"/>
      <c r="QFD928" s="69"/>
      <c r="QFE928" s="509"/>
      <c r="QFF928" s="380"/>
      <c r="QFG928" s="381"/>
      <c r="QFH928" s="509"/>
      <c r="QFI928" s="509"/>
      <c r="QFJ928" s="509"/>
      <c r="QFK928" s="69"/>
      <c r="QFL928" s="509"/>
      <c r="QFM928" s="380"/>
      <c r="QFN928" s="381"/>
      <c r="QFO928" s="509"/>
      <c r="QFP928" s="509"/>
      <c r="QFQ928" s="509"/>
      <c r="QFR928" s="69"/>
      <c r="QFS928" s="509"/>
      <c r="QFT928" s="380"/>
      <c r="QFU928" s="381"/>
      <c r="QFV928" s="509"/>
      <c r="QFW928" s="509"/>
      <c r="QFX928" s="509"/>
      <c r="QFY928" s="69"/>
      <c r="QFZ928" s="509"/>
      <c r="QGA928" s="380"/>
      <c r="QGB928" s="381"/>
      <c r="QGC928" s="509"/>
      <c r="QGD928" s="509"/>
      <c r="QGE928" s="509"/>
      <c r="QGF928" s="69"/>
      <c r="QGG928" s="509"/>
      <c r="QGH928" s="380"/>
      <c r="QGI928" s="381"/>
      <c r="QGJ928" s="509"/>
      <c r="QGK928" s="509"/>
      <c r="QGL928" s="509"/>
      <c r="QGM928" s="69"/>
      <c r="QGN928" s="509"/>
      <c r="QGO928" s="380"/>
      <c r="QGP928" s="381"/>
      <c r="QGQ928" s="509"/>
      <c r="QGR928" s="509"/>
      <c r="QGS928" s="509"/>
      <c r="QGT928" s="69"/>
      <c r="QGU928" s="509"/>
      <c r="QGV928" s="380"/>
      <c r="QGW928" s="381"/>
      <c r="QGX928" s="509"/>
      <c r="QGY928" s="509"/>
      <c r="QGZ928" s="509"/>
      <c r="QHA928" s="69"/>
      <c r="QHB928" s="509"/>
      <c r="QHC928" s="380"/>
      <c r="QHD928" s="381"/>
      <c r="QHE928" s="509"/>
      <c r="QHF928" s="509"/>
      <c r="QHG928" s="509"/>
      <c r="QHH928" s="69"/>
      <c r="QHI928" s="509"/>
      <c r="QHJ928" s="380"/>
      <c r="QHK928" s="381"/>
      <c r="QHL928" s="509"/>
      <c r="QHM928" s="509"/>
      <c r="QHN928" s="509"/>
      <c r="QHO928" s="69"/>
      <c r="QHP928" s="509"/>
      <c r="QHQ928" s="380"/>
      <c r="QHR928" s="381"/>
      <c r="QHS928" s="509"/>
      <c r="QHT928" s="509"/>
      <c r="QHU928" s="509"/>
      <c r="QHV928" s="69"/>
      <c r="QHW928" s="509"/>
      <c r="QHX928" s="380"/>
      <c r="QHY928" s="381"/>
      <c r="QHZ928" s="509"/>
      <c r="QIA928" s="509"/>
      <c r="QIB928" s="509"/>
      <c r="QIC928" s="69"/>
      <c r="QID928" s="509"/>
      <c r="QIE928" s="380"/>
      <c r="QIF928" s="381"/>
      <c r="QIG928" s="509"/>
      <c r="QIH928" s="509"/>
      <c r="QII928" s="509"/>
      <c r="QIJ928" s="69"/>
      <c r="QIK928" s="509"/>
      <c r="QIL928" s="380"/>
      <c r="QIM928" s="381"/>
      <c r="QIN928" s="509"/>
      <c r="QIO928" s="509"/>
      <c r="QIP928" s="509"/>
      <c r="QIQ928" s="69"/>
      <c r="QIR928" s="509"/>
      <c r="QIS928" s="380"/>
      <c r="QIT928" s="381"/>
      <c r="QIU928" s="509"/>
      <c r="QIV928" s="509"/>
      <c r="QIW928" s="509"/>
      <c r="QIX928" s="69"/>
      <c r="QIY928" s="509"/>
      <c r="QIZ928" s="380"/>
      <c r="QJA928" s="381"/>
      <c r="QJB928" s="509"/>
      <c r="QJC928" s="509"/>
      <c r="QJD928" s="509"/>
      <c r="QJE928" s="69"/>
      <c r="QJF928" s="509"/>
      <c r="QJG928" s="380"/>
      <c r="QJH928" s="381"/>
      <c r="QJI928" s="509"/>
      <c r="QJJ928" s="509"/>
      <c r="QJK928" s="509"/>
      <c r="QJL928" s="69"/>
      <c r="QJM928" s="509"/>
      <c r="QJN928" s="380"/>
      <c r="QJO928" s="381"/>
      <c r="QJP928" s="509"/>
      <c r="QJQ928" s="509"/>
      <c r="QJR928" s="509"/>
      <c r="QJS928" s="69"/>
      <c r="QJT928" s="509"/>
      <c r="QJU928" s="380"/>
      <c r="QJV928" s="381"/>
      <c r="QJW928" s="509"/>
      <c r="QJX928" s="509"/>
      <c r="QJY928" s="509"/>
      <c r="QJZ928" s="69"/>
      <c r="QKA928" s="509"/>
      <c r="QKB928" s="380"/>
      <c r="QKC928" s="381"/>
      <c r="QKD928" s="509"/>
      <c r="QKE928" s="509"/>
      <c r="QKF928" s="509"/>
      <c r="QKG928" s="69"/>
      <c r="QKH928" s="509"/>
      <c r="QKI928" s="380"/>
      <c r="QKJ928" s="381"/>
      <c r="QKK928" s="509"/>
      <c r="QKL928" s="509"/>
      <c r="QKM928" s="509"/>
      <c r="QKN928" s="69"/>
      <c r="QKO928" s="509"/>
      <c r="QKP928" s="380"/>
      <c r="QKQ928" s="381"/>
      <c r="QKR928" s="509"/>
      <c r="QKS928" s="509"/>
      <c r="QKT928" s="509"/>
      <c r="QKU928" s="69"/>
      <c r="QKV928" s="509"/>
      <c r="QKW928" s="380"/>
      <c r="QKX928" s="381"/>
      <c r="QKY928" s="509"/>
      <c r="QKZ928" s="509"/>
      <c r="QLA928" s="509"/>
      <c r="QLB928" s="69"/>
      <c r="QLC928" s="509"/>
      <c r="QLD928" s="380"/>
      <c r="QLE928" s="381"/>
      <c r="QLF928" s="509"/>
      <c r="QLG928" s="509"/>
      <c r="QLH928" s="509"/>
      <c r="QLI928" s="69"/>
      <c r="QLJ928" s="509"/>
      <c r="QLK928" s="380"/>
      <c r="QLL928" s="381"/>
      <c r="QLM928" s="509"/>
      <c r="QLN928" s="509"/>
      <c r="QLO928" s="509"/>
      <c r="QLP928" s="69"/>
      <c r="QLQ928" s="509"/>
      <c r="QLR928" s="380"/>
      <c r="QLS928" s="381"/>
      <c r="QLT928" s="509"/>
      <c r="QLU928" s="509"/>
      <c r="QLV928" s="509"/>
      <c r="QLW928" s="69"/>
      <c r="QLX928" s="509"/>
      <c r="QLY928" s="380"/>
      <c r="QLZ928" s="381"/>
      <c r="QMA928" s="509"/>
      <c r="QMB928" s="509"/>
      <c r="QMC928" s="509"/>
      <c r="QMD928" s="69"/>
      <c r="QME928" s="509"/>
      <c r="QMF928" s="380"/>
      <c r="QMG928" s="381"/>
      <c r="QMH928" s="509"/>
      <c r="QMI928" s="509"/>
      <c r="QMJ928" s="509"/>
      <c r="QMK928" s="69"/>
      <c r="QML928" s="509"/>
      <c r="QMM928" s="380"/>
      <c r="QMN928" s="381"/>
      <c r="QMO928" s="509"/>
      <c r="QMP928" s="509"/>
      <c r="QMQ928" s="509"/>
      <c r="QMR928" s="69"/>
      <c r="QMS928" s="509"/>
      <c r="QMT928" s="380"/>
      <c r="QMU928" s="381"/>
      <c r="QMV928" s="509"/>
      <c r="QMW928" s="509"/>
      <c r="QMX928" s="509"/>
      <c r="QMY928" s="69"/>
      <c r="QMZ928" s="509"/>
      <c r="QNA928" s="380"/>
      <c r="QNB928" s="381"/>
      <c r="QNC928" s="509"/>
      <c r="QND928" s="509"/>
      <c r="QNE928" s="509"/>
      <c r="QNF928" s="69"/>
      <c r="QNG928" s="509"/>
      <c r="QNH928" s="380"/>
      <c r="QNI928" s="381"/>
      <c r="QNJ928" s="509"/>
      <c r="QNK928" s="509"/>
      <c r="QNL928" s="509"/>
      <c r="QNM928" s="69"/>
      <c r="QNN928" s="509"/>
      <c r="QNO928" s="380"/>
      <c r="QNP928" s="381"/>
      <c r="QNQ928" s="509"/>
      <c r="QNR928" s="509"/>
      <c r="QNS928" s="509"/>
      <c r="QNT928" s="69"/>
      <c r="QNU928" s="509"/>
      <c r="QNV928" s="380"/>
      <c r="QNW928" s="381"/>
      <c r="QNX928" s="509"/>
      <c r="QNY928" s="509"/>
      <c r="QNZ928" s="509"/>
      <c r="QOA928" s="69"/>
      <c r="QOB928" s="509"/>
      <c r="QOC928" s="380"/>
      <c r="QOD928" s="381"/>
      <c r="QOE928" s="509"/>
      <c r="QOF928" s="509"/>
      <c r="QOG928" s="509"/>
      <c r="QOH928" s="69"/>
      <c r="QOI928" s="509"/>
      <c r="QOJ928" s="380"/>
      <c r="QOK928" s="381"/>
      <c r="QOL928" s="509"/>
      <c r="QOM928" s="509"/>
      <c r="QON928" s="509"/>
      <c r="QOO928" s="69"/>
      <c r="QOP928" s="509"/>
      <c r="QOQ928" s="380"/>
      <c r="QOR928" s="381"/>
      <c r="QOS928" s="509"/>
      <c r="QOT928" s="509"/>
      <c r="QOU928" s="509"/>
      <c r="QOV928" s="69"/>
      <c r="QOW928" s="509"/>
      <c r="QOX928" s="380"/>
      <c r="QOY928" s="381"/>
      <c r="QOZ928" s="509"/>
      <c r="QPA928" s="509"/>
      <c r="QPB928" s="509"/>
      <c r="QPC928" s="69"/>
      <c r="QPD928" s="509"/>
      <c r="QPE928" s="380"/>
      <c r="QPF928" s="381"/>
      <c r="QPG928" s="509"/>
      <c r="QPH928" s="509"/>
      <c r="QPI928" s="509"/>
      <c r="QPJ928" s="69"/>
      <c r="QPK928" s="509"/>
      <c r="QPL928" s="380"/>
      <c r="QPM928" s="381"/>
      <c r="QPN928" s="509"/>
      <c r="QPO928" s="509"/>
      <c r="QPP928" s="509"/>
      <c r="QPQ928" s="69"/>
      <c r="QPR928" s="509"/>
      <c r="QPS928" s="380"/>
      <c r="QPT928" s="381"/>
      <c r="QPU928" s="509"/>
      <c r="QPV928" s="509"/>
      <c r="QPW928" s="509"/>
      <c r="QPX928" s="69"/>
      <c r="QPY928" s="509"/>
      <c r="QPZ928" s="380"/>
      <c r="QQA928" s="381"/>
      <c r="QQB928" s="509"/>
      <c r="QQC928" s="509"/>
      <c r="QQD928" s="509"/>
      <c r="QQE928" s="69"/>
      <c r="QQF928" s="509"/>
      <c r="QQG928" s="380"/>
      <c r="QQH928" s="381"/>
      <c r="QQI928" s="509"/>
      <c r="QQJ928" s="509"/>
      <c r="QQK928" s="509"/>
      <c r="QQL928" s="69"/>
      <c r="QQM928" s="509"/>
      <c r="QQN928" s="380"/>
      <c r="QQO928" s="381"/>
      <c r="QQP928" s="509"/>
      <c r="QQQ928" s="509"/>
      <c r="QQR928" s="509"/>
      <c r="QQS928" s="69"/>
      <c r="QQT928" s="509"/>
      <c r="QQU928" s="380"/>
      <c r="QQV928" s="381"/>
      <c r="QQW928" s="509"/>
      <c r="QQX928" s="509"/>
      <c r="QQY928" s="509"/>
      <c r="QQZ928" s="69"/>
      <c r="QRA928" s="509"/>
      <c r="QRB928" s="380"/>
      <c r="QRC928" s="381"/>
      <c r="QRD928" s="509"/>
      <c r="QRE928" s="509"/>
      <c r="QRF928" s="509"/>
      <c r="QRG928" s="69"/>
      <c r="QRH928" s="509"/>
      <c r="QRI928" s="380"/>
      <c r="QRJ928" s="381"/>
      <c r="QRK928" s="509"/>
      <c r="QRL928" s="509"/>
      <c r="QRM928" s="509"/>
      <c r="QRN928" s="69"/>
      <c r="QRO928" s="509"/>
      <c r="QRP928" s="380"/>
      <c r="QRQ928" s="381"/>
      <c r="QRR928" s="509"/>
      <c r="QRS928" s="509"/>
      <c r="QRT928" s="509"/>
      <c r="QRU928" s="69"/>
      <c r="QRV928" s="509"/>
      <c r="QRW928" s="380"/>
      <c r="QRX928" s="381"/>
      <c r="QRY928" s="509"/>
      <c r="QRZ928" s="509"/>
      <c r="QSA928" s="509"/>
      <c r="QSB928" s="69"/>
      <c r="QSC928" s="509"/>
      <c r="QSD928" s="380"/>
      <c r="QSE928" s="381"/>
      <c r="QSF928" s="509"/>
      <c r="QSG928" s="509"/>
      <c r="QSH928" s="509"/>
      <c r="QSI928" s="69"/>
      <c r="QSJ928" s="509"/>
      <c r="QSK928" s="380"/>
      <c r="QSL928" s="381"/>
      <c r="QSM928" s="509"/>
      <c r="QSN928" s="509"/>
      <c r="QSO928" s="509"/>
      <c r="QSP928" s="69"/>
      <c r="QSQ928" s="509"/>
      <c r="QSR928" s="380"/>
      <c r="QSS928" s="381"/>
      <c r="QST928" s="509"/>
      <c r="QSU928" s="509"/>
      <c r="QSV928" s="509"/>
      <c r="QSW928" s="69"/>
      <c r="QSX928" s="509"/>
      <c r="QSY928" s="380"/>
      <c r="QSZ928" s="381"/>
      <c r="QTA928" s="509"/>
      <c r="QTB928" s="509"/>
      <c r="QTC928" s="509"/>
      <c r="QTD928" s="69"/>
      <c r="QTE928" s="509"/>
      <c r="QTF928" s="380"/>
      <c r="QTG928" s="381"/>
      <c r="QTH928" s="509"/>
      <c r="QTI928" s="509"/>
      <c r="QTJ928" s="509"/>
      <c r="QTK928" s="69"/>
      <c r="QTL928" s="509"/>
      <c r="QTM928" s="380"/>
      <c r="QTN928" s="381"/>
      <c r="QTO928" s="509"/>
      <c r="QTP928" s="509"/>
      <c r="QTQ928" s="509"/>
      <c r="QTR928" s="69"/>
      <c r="QTS928" s="509"/>
      <c r="QTT928" s="380"/>
      <c r="QTU928" s="381"/>
      <c r="QTV928" s="509"/>
      <c r="QTW928" s="509"/>
      <c r="QTX928" s="509"/>
      <c r="QTY928" s="69"/>
      <c r="QTZ928" s="509"/>
      <c r="QUA928" s="380"/>
      <c r="QUB928" s="381"/>
      <c r="QUC928" s="509"/>
      <c r="QUD928" s="509"/>
      <c r="QUE928" s="509"/>
      <c r="QUF928" s="69"/>
      <c r="QUG928" s="509"/>
      <c r="QUH928" s="380"/>
      <c r="QUI928" s="381"/>
      <c r="QUJ928" s="509"/>
      <c r="QUK928" s="509"/>
      <c r="QUL928" s="509"/>
      <c r="QUM928" s="69"/>
      <c r="QUN928" s="509"/>
      <c r="QUO928" s="380"/>
      <c r="QUP928" s="381"/>
      <c r="QUQ928" s="509"/>
      <c r="QUR928" s="509"/>
      <c r="QUS928" s="509"/>
      <c r="QUT928" s="69"/>
      <c r="QUU928" s="509"/>
      <c r="QUV928" s="380"/>
      <c r="QUW928" s="381"/>
      <c r="QUX928" s="509"/>
      <c r="QUY928" s="509"/>
      <c r="QUZ928" s="509"/>
      <c r="QVA928" s="69"/>
      <c r="QVB928" s="509"/>
      <c r="QVC928" s="380"/>
      <c r="QVD928" s="381"/>
      <c r="QVE928" s="509"/>
      <c r="QVF928" s="509"/>
      <c r="QVG928" s="509"/>
      <c r="QVH928" s="69"/>
      <c r="QVI928" s="509"/>
      <c r="QVJ928" s="380"/>
      <c r="QVK928" s="381"/>
      <c r="QVL928" s="509"/>
      <c r="QVM928" s="509"/>
      <c r="QVN928" s="509"/>
      <c r="QVO928" s="69"/>
      <c r="QVP928" s="509"/>
      <c r="QVQ928" s="380"/>
      <c r="QVR928" s="381"/>
      <c r="QVS928" s="509"/>
      <c r="QVT928" s="509"/>
      <c r="QVU928" s="509"/>
      <c r="QVV928" s="69"/>
      <c r="QVW928" s="509"/>
      <c r="QVX928" s="380"/>
      <c r="QVY928" s="381"/>
      <c r="QVZ928" s="509"/>
      <c r="QWA928" s="509"/>
      <c r="QWB928" s="509"/>
      <c r="QWC928" s="69"/>
      <c r="QWD928" s="509"/>
      <c r="QWE928" s="380"/>
      <c r="QWF928" s="381"/>
      <c r="QWG928" s="509"/>
      <c r="QWH928" s="509"/>
      <c r="QWI928" s="509"/>
      <c r="QWJ928" s="69"/>
      <c r="QWK928" s="509"/>
      <c r="QWL928" s="380"/>
      <c r="QWM928" s="381"/>
      <c r="QWN928" s="509"/>
      <c r="QWO928" s="509"/>
      <c r="QWP928" s="509"/>
      <c r="QWQ928" s="69"/>
      <c r="QWR928" s="509"/>
      <c r="QWS928" s="380"/>
      <c r="QWT928" s="381"/>
      <c r="QWU928" s="509"/>
      <c r="QWV928" s="509"/>
      <c r="QWW928" s="509"/>
      <c r="QWX928" s="69"/>
      <c r="QWY928" s="509"/>
      <c r="QWZ928" s="380"/>
      <c r="QXA928" s="381"/>
      <c r="QXB928" s="509"/>
      <c r="QXC928" s="509"/>
      <c r="QXD928" s="509"/>
      <c r="QXE928" s="69"/>
      <c r="QXF928" s="509"/>
      <c r="QXG928" s="380"/>
      <c r="QXH928" s="381"/>
      <c r="QXI928" s="509"/>
      <c r="QXJ928" s="509"/>
      <c r="QXK928" s="509"/>
      <c r="QXL928" s="69"/>
      <c r="QXM928" s="509"/>
      <c r="QXN928" s="380"/>
      <c r="QXO928" s="381"/>
      <c r="QXP928" s="509"/>
      <c r="QXQ928" s="509"/>
      <c r="QXR928" s="509"/>
      <c r="QXS928" s="69"/>
      <c r="QXT928" s="509"/>
      <c r="QXU928" s="380"/>
      <c r="QXV928" s="381"/>
      <c r="QXW928" s="509"/>
      <c r="QXX928" s="509"/>
      <c r="QXY928" s="509"/>
      <c r="QXZ928" s="69"/>
      <c r="QYA928" s="509"/>
      <c r="QYB928" s="380"/>
      <c r="QYC928" s="381"/>
      <c r="QYD928" s="509"/>
      <c r="QYE928" s="509"/>
      <c r="QYF928" s="509"/>
      <c r="QYG928" s="69"/>
      <c r="QYH928" s="509"/>
      <c r="QYI928" s="380"/>
      <c r="QYJ928" s="381"/>
      <c r="QYK928" s="509"/>
      <c r="QYL928" s="509"/>
      <c r="QYM928" s="509"/>
      <c r="QYN928" s="69"/>
      <c r="QYO928" s="509"/>
      <c r="QYP928" s="380"/>
      <c r="QYQ928" s="381"/>
      <c r="QYR928" s="509"/>
      <c r="QYS928" s="509"/>
      <c r="QYT928" s="509"/>
      <c r="QYU928" s="69"/>
      <c r="QYV928" s="509"/>
      <c r="QYW928" s="380"/>
      <c r="QYX928" s="381"/>
      <c r="QYY928" s="509"/>
      <c r="QYZ928" s="509"/>
      <c r="QZA928" s="509"/>
      <c r="QZB928" s="69"/>
      <c r="QZC928" s="509"/>
      <c r="QZD928" s="380"/>
      <c r="QZE928" s="381"/>
      <c r="QZF928" s="509"/>
      <c r="QZG928" s="509"/>
      <c r="QZH928" s="509"/>
      <c r="QZI928" s="69"/>
      <c r="QZJ928" s="509"/>
      <c r="QZK928" s="380"/>
      <c r="QZL928" s="381"/>
      <c r="QZM928" s="509"/>
      <c r="QZN928" s="509"/>
      <c r="QZO928" s="509"/>
      <c r="QZP928" s="69"/>
      <c r="QZQ928" s="509"/>
      <c r="QZR928" s="380"/>
      <c r="QZS928" s="381"/>
      <c r="QZT928" s="509"/>
      <c r="QZU928" s="509"/>
      <c r="QZV928" s="509"/>
      <c r="QZW928" s="69"/>
      <c r="QZX928" s="509"/>
      <c r="QZY928" s="380"/>
      <c r="QZZ928" s="381"/>
      <c r="RAA928" s="509"/>
      <c r="RAB928" s="509"/>
      <c r="RAC928" s="509"/>
      <c r="RAD928" s="69"/>
      <c r="RAE928" s="509"/>
      <c r="RAF928" s="380"/>
      <c r="RAG928" s="381"/>
      <c r="RAH928" s="509"/>
      <c r="RAI928" s="509"/>
      <c r="RAJ928" s="509"/>
      <c r="RAK928" s="69"/>
      <c r="RAL928" s="509"/>
      <c r="RAM928" s="380"/>
      <c r="RAN928" s="381"/>
      <c r="RAO928" s="509"/>
      <c r="RAP928" s="509"/>
      <c r="RAQ928" s="509"/>
      <c r="RAR928" s="69"/>
      <c r="RAS928" s="509"/>
      <c r="RAT928" s="380"/>
      <c r="RAU928" s="381"/>
      <c r="RAV928" s="509"/>
      <c r="RAW928" s="509"/>
      <c r="RAX928" s="509"/>
      <c r="RAY928" s="69"/>
      <c r="RAZ928" s="509"/>
      <c r="RBA928" s="380"/>
      <c r="RBB928" s="381"/>
      <c r="RBC928" s="509"/>
      <c r="RBD928" s="509"/>
      <c r="RBE928" s="509"/>
      <c r="RBF928" s="69"/>
      <c r="RBG928" s="509"/>
      <c r="RBH928" s="380"/>
      <c r="RBI928" s="381"/>
      <c r="RBJ928" s="509"/>
      <c r="RBK928" s="509"/>
      <c r="RBL928" s="509"/>
      <c r="RBM928" s="69"/>
      <c r="RBN928" s="509"/>
      <c r="RBO928" s="380"/>
      <c r="RBP928" s="381"/>
      <c r="RBQ928" s="509"/>
      <c r="RBR928" s="509"/>
      <c r="RBS928" s="509"/>
      <c r="RBT928" s="69"/>
      <c r="RBU928" s="509"/>
      <c r="RBV928" s="380"/>
      <c r="RBW928" s="381"/>
      <c r="RBX928" s="509"/>
      <c r="RBY928" s="509"/>
      <c r="RBZ928" s="509"/>
      <c r="RCA928" s="69"/>
      <c r="RCB928" s="509"/>
      <c r="RCC928" s="380"/>
      <c r="RCD928" s="381"/>
      <c r="RCE928" s="509"/>
      <c r="RCF928" s="509"/>
      <c r="RCG928" s="509"/>
      <c r="RCH928" s="69"/>
      <c r="RCI928" s="509"/>
      <c r="RCJ928" s="380"/>
      <c r="RCK928" s="381"/>
      <c r="RCL928" s="509"/>
      <c r="RCM928" s="509"/>
      <c r="RCN928" s="509"/>
      <c r="RCO928" s="69"/>
      <c r="RCP928" s="509"/>
      <c r="RCQ928" s="380"/>
      <c r="RCR928" s="381"/>
      <c r="RCS928" s="509"/>
      <c r="RCT928" s="509"/>
      <c r="RCU928" s="509"/>
      <c r="RCV928" s="69"/>
      <c r="RCW928" s="509"/>
      <c r="RCX928" s="380"/>
      <c r="RCY928" s="381"/>
      <c r="RCZ928" s="509"/>
      <c r="RDA928" s="509"/>
      <c r="RDB928" s="509"/>
      <c r="RDC928" s="69"/>
      <c r="RDD928" s="509"/>
      <c r="RDE928" s="380"/>
      <c r="RDF928" s="381"/>
      <c r="RDG928" s="509"/>
      <c r="RDH928" s="509"/>
      <c r="RDI928" s="509"/>
      <c r="RDJ928" s="69"/>
      <c r="RDK928" s="509"/>
      <c r="RDL928" s="380"/>
      <c r="RDM928" s="381"/>
      <c r="RDN928" s="509"/>
      <c r="RDO928" s="509"/>
      <c r="RDP928" s="509"/>
      <c r="RDQ928" s="69"/>
      <c r="RDR928" s="509"/>
      <c r="RDS928" s="380"/>
      <c r="RDT928" s="381"/>
      <c r="RDU928" s="509"/>
      <c r="RDV928" s="509"/>
      <c r="RDW928" s="509"/>
      <c r="RDX928" s="69"/>
      <c r="RDY928" s="509"/>
      <c r="RDZ928" s="380"/>
      <c r="REA928" s="381"/>
      <c r="REB928" s="509"/>
      <c r="REC928" s="509"/>
      <c r="RED928" s="509"/>
      <c r="REE928" s="69"/>
      <c r="REF928" s="509"/>
      <c r="REG928" s="380"/>
      <c r="REH928" s="381"/>
      <c r="REI928" s="509"/>
      <c r="REJ928" s="509"/>
      <c r="REK928" s="509"/>
      <c r="REL928" s="69"/>
      <c r="REM928" s="509"/>
      <c r="REN928" s="380"/>
      <c r="REO928" s="381"/>
      <c r="REP928" s="509"/>
      <c r="REQ928" s="509"/>
      <c r="RER928" s="509"/>
      <c r="RES928" s="69"/>
      <c r="RET928" s="509"/>
      <c r="REU928" s="380"/>
      <c r="REV928" s="381"/>
      <c r="REW928" s="509"/>
      <c r="REX928" s="509"/>
      <c r="REY928" s="509"/>
      <c r="REZ928" s="69"/>
      <c r="RFA928" s="509"/>
      <c r="RFB928" s="380"/>
      <c r="RFC928" s="381"/>
      <c r="RFD928" s="509"/>
      <c r="RFE928" s="509"/>
      <c r="RFF928" s="509"/>
      <c r="RFG928" s="69"/>
      <c r="RFH928" s="509"/>
      <c r="RFI928" s="380"/>
      <c r="RFJ928" s="381"/>
      <c r="RFK928" s="509"/>
      <c r="RFL928" s="509"/>
      <c r="RFM928" s="509"/>
      <c r="RFN928" s="69"/>
      <c r="RFO928" s="509"/>
      <c r="RFP928" s="380"/>
      <c r="RFQ928" s="381"/>
      <c r="RFR928" s="509"/>
      <c r="RFS928" s="509"/>
      <c r="RFT928" s="509"/>
      <c r="RFU928" s="69"/>
      <c r="RFV928" s="509"/>
      <c r="RFW928" s="380"/>
      <c r="RFX928" s="381"/>
      <c r="RFY928" s="509"/>
      <c r="RFZ928" s="509"/>
      <c r="RGA928" s="509"/>
      <c r="RGB928" s="69"/>
      <c r="RGC928" s="509"/>
      <c r="RGD928" s="380"/>
      <c r="RGE928" s="381"/>
      <c r="RGF928" s="509"/>
      <c r="RGG928" s="509"/>
      <c r="RGH928" s="509"/>
      <c r="RGI928" s="69"/>
      <c r="RGJ928" s="509"/>
      <c r="RGK928" s="380"/>
      <c r="RGL928" s="381"/>
      <c r="RGM928" s="509"/>
      <c r="RGN928" s="509"/>
      <c r="RGO928" s="509"/>
      <c r="RGP928" s="69"/>
      <c r="RGQ928" s="509"/>
      <c r="RGR928" s="380"/>
      <c r="RGS928" s="381"/>
      <c r="RGT928" s="509"/>
      <c r="RGU928" s="509"/>
      <c r="RGV928" s="509"/>
      <c r="RGW928" s="69"/>
      <c r="RGX928" s="509"/>
      <c r="RGY928" s="380"/>
      <c r="RGZ928" s="381"/>
      <c r="RHA928" s="509"/>
      <c r="RHB928" s="509"/>
      <c r="RHC928" s="509"/>
      <c r="RHD928" s="69"/>
      <c r="RHE928" s="509"/>
      <c r="RHF928" s="380"/>
      <c r="RHG928" s="381"/>
      <c r="RHH928" s="509"/>
      <c r="RHI928" s="509"/>
      <c r="RHJ928" s="509"/>
      <c r="RHK928" s="69"/>
      <c r="RHL928" s="509"/>
      <c r="RHM928" s="380"/>
      <c r="RHN928" s="381"/>
      <c r="RHO928" s="509"/>
      <c r="RHP928" s="509"/>
      <c r="RHQ928" s="509"/>
      <c r="RHR928" s="69"/>
      <c r="RHS928" s="509"/>
      <c r="RHT928" s="380"/>
      <c r="RHU928" s="381"/>
      <c r="RHV928" s="509"/>
      <c r="RHW928" s="509"/>
      <c r="RHX928" s="509"/>
      <c r="RHY928" s="69"/>
      <c r="RHZ928" s="509"/>
      <c r="RIA928" s="380"/>
      <c r="RIB928" s="381"/>
      <c r="RIC928" s="509"/>
      <c r="RID928" s="509"/>
      <c r="RIE928" s="509"/>
      <c r="RIF928" s="69"/>
      <c r="RIG928" s="509"/>
      <c r="RIH928" s="380"/>
      <c r="RII928" s="381"/>
      <c r="RIJ928" s="509"/>
      <c r="RIK928" s="509"/>
      <c r="RIL928" s="509"/>
      <c r="RIM928" s="69"/>
      <c r="RIN928" s="509"/>
      <c r="RIO928" s="380"/>
      <c r="RIP928" s="381"/>
      <c r="RIQ928" s="509"/>
      <c r="RIR928" s="509"/>
      <c r="RIS928" s="509"/>
      <c r="RIT928" s="69"/>
      <c r="RIU928" s="509"/>
      <c r="RIV928" s="380"/>
      <c r="RIW928" s="381"/>
      <c r="RIX928" s="509"/>
      <c r="RIY928" s="509"/>
      <c r="RIZ928" s="509"/>
      <c r="RJA928" s="69"/>
      <c r="RJB928" s="509"/>
      <c r="RJC928" s="380"/>
      <c r="RJD928" s="381"/>
      <c r="RJE928" s="509"/>
      <c r="RJF928" s="509"/>
      <c r="RJG928" s="509"/>
      <c r="RJH928" s="69"/>
      <c r="RJI928" s="509"/>
      <c r="RJJ928" s="380"/>
      <c r="RJK928" s="381"/>
      <c r="RJL928" s="509"/>
      <c r="RJM928" s="509"/>
      <c r="RJN928" s="509"/>
      <c r="RJO928" s="69"/>
      <c r="RJP928" s="509"/>
      <c r="RJQ928" s="380"/>
      <c r="RJR928" s="381"/>
      <c r="RJS928" s="509"/>
      <c r="RJT928" s="509"/>
      <c r="RJU928" s="509"/>
      <c r="RJV928" s="69"/>
      <c r="RJW928" s="509"/>
      <c r="RJX928" s="380"/>
      <c r="RJY928" s="381"/>
      <c r="RJZ928" s="509"/>
      <c r="RKA928" s="509"/>
      <c r="RKB928" s="509"/>
      <c r="RKC928" s="69"/>
      <c r="RKD928" s="509"/>
      <c r="RKE928" s="380"/>
      <c r="RKF928" s="381"/>
      <c r="RKG928" s="509"/>
      <c r="RKH928" s="509"/>
      <c r="RKI928" s="509"/>
      <c r="RKJ928" s="69"/>
      <c r="RKK928" s="509"/>
      <c r="RKL928" s="380"/>
      <c r="RKM928" s="381"/>
      <c r="RKN928" s="509"/>
      <c r="RKO928" s="509"/>
      <c r="RKP928" s="509"/>
      <c r="RKQ928" s="69"/>
      <c r="RKR928" s="509"/>
      <c r="RKS928" s="380"/>
      <c r="RKT928" s="381"/>
      <c r="RKU928" s="509"/>
      <c r="RKV928" s="509"/>
      <c r="RKW928" s="509"/>
      <c r="RKX928" s="69"/>
      <c r="RKY928" s="509"/>
      <c r="RKZ928" s="380"/>
      <c r="RLA928" s="381"/>
      <c r="RLB928" s="509"/>
      <c r="RLC928" s="509"/>
      <c r="RLD928" s="509"/>
      <c r="RLE928" s="69"/>
      <c r="RLF928" s="509"/>
      <c r="RLG928" s="380"/>
      <c r="RLH928" s="381"/>
      <c r="RLI928" s="509"/>
      <c r="RLJ928" s="509"/>
      <c r="RLK928" s="509"/>
      <c r="RLL928" s="69"/>
      <c r="RLM928" s="509"/>
      <c r="RLN928" s="380"/>
      <c r="RLO928" s="381"/>
      <c r="RLP928" s="509"/>
      <c r="RLQ928" s="509"/>
      <c r="RLR928" s="509"/>
      <c r="RLS928" s="69"/>
      <c r="RLT928" s="509"/>
      <c r="RLU928" s="380"/>
      <c r="RLV928" s="381"/>
      <c r="RLW928" s="509"/>
      <c r="RLX928" s="509"/>
      <c r="RLY928" s="509"/>
      <c r="RLZ928" s="69"/>
      <c r="RMA928" s="509"/>
      <c r="RMB928" s="380"/>
      <c r="RMC928" s="381"/>
      <c r="RMD928" s="509"/>
      <c r="RME928" s="509"/>
      <c r="RMF928" s="509"/>
      <c r="RMG928" s="69"/>
      <c r="RMH928" s="509"/>
      <c r="RMI928" s="380"/>
      <c r="RMJ928" s="381"/>
      <c r="RMK928" s="509"/>
      <c r="RML928" s="509"/>
      <c r="RMM928" s="509"/>
      <c r="RMN928" s="69"/>
      <c r="RMO928" s="509"/>
      <c r="RMP928" s="380"/>
      <c r="RMQ928" s="381"/>
      <c r="RMR928" s="509"/>
      <c r="RMS928" s="509"/>
      <c r="RMT928" s="509"/>
      <c r="RMU928" s="69"/>
      <c r="RMV928" s="509"/>
      <c r="RMW928" s="380"/>
      <c r="RMX928" s="381"/>
      <c r="RMY928" s="509"/>
      <c r="RMZ928" s="509"/>
      <c r="RNA928" s="509"/>
      <c r="RNB928" s="69"/>
      <c r="RNC928" s="509"/>
      <c r="RND928" s="380"/>
      <c r="RNE928" s="381"/>
      <c r="RNF928" s="509"/>
      <c r="RNG928" s="509"/>
      <c r="RNH928" s="509"/>
      <c r="RNI928" s="69"/>
      <c r="RNJ928" s="509"/>
      <c r="RNK928" s="380"/>
      <c r="RNL928" s="381"/>
      <c r="RNM928" s="509"/>
      <c r="RNN928" s="509"/>
      <c r="RNO928" s="509"/>
      <c r="RNP928" s="69"/>
      <c r="RNQ928" s="509"/>
      <c r="RNR928" s="380"/>
      <c r="RNS928" s="381"/>
      <c r="RNT928" s="509"/>
      <c r="RNU928" s="509"/>
      <c r="RNV928" s="509"/>
      <c r="RNW928" s="69"/>
      <c r="RNX928" s="509"/>
      <c r="RNY928" s="380"/>
      <c r="RNZ928" s="381"/>
      <c r="ROA928" s="509"/>
      <c r="ROB928" s="509"/>
      <c r="ROC928" s="509"/>
      <c r="ROD928" s="69"/>
      <c r="ROE928" s="509"/>
      <c r="ROF928" s="380"/>
      <c r="ROG928" s="381"/>
      <c r="ROH928" s="509"/>
      <c r="ROI928" s="509"/>
      <c r="ROJ928" s="509"/>
      <c r="ROK928" s="69"/>
      <c r="ROL928" s="509"/>
      <c r="ROM928" s="380"/>
      <c r="RON928" s="381"/>
      <c r="ROO928" s="509"/>
      <c r="ROP928" s="509"/>
      <c r="ROQ928" s="509"/>
      <c r="ROR928" s="69"/>
      <c r="ROS928" s="509"/>
      <c r="ROT928" s="380"/>
      <c r="ROU928" s="381"/>
      <c r="ROV928" s="509"/>
      <c r="ROW928" s="509"/>
      <c r="ROX928" s="509"/>
      <c r="ROY928" s="69"/>
      <c r="ROZ928" s="509"/>
      <c r="RPA928" s="380"/>
      <c r="RPB928" s="381"/>
      <c r="RPC928" s="509"/>
      <c r="RPD928" s="509"/>
      <c r="RPE928" s="509"/>
      <c r="RPF928" s="69"/>
      <c r="RPG928" s="509"/>
      <c r="RPH928" s="380"/>
      <c r="RPI928" s="381"/>
      <c r="RPJ928" s="509"/>
      <c r="RPK928" s="509"/>
      <c r="RPL928" s="509"/>
      <c r="RPM928" s="69"/>
      <c r="RPN928" s="509"/>
      <c r="RPO928" s="380"/>
      <c r="RPP928" s="381"/>
      <c r="RPQ928" s="509"/>
      <c r="RPR928" s="509"/>
      <c r="RPS928" s="509"/>
      <c r="RPT928" s="69"/>
      <c r="RPU928" s="509"/>
      <c r="RPV928" s="380"/>
      <c r="RPW928" s="381"/>
      <c r="RPX928" s="509"/>
      <c r="RPY928" s="509"/>
      <c r="RPZ928" s="509"/>
      <c r="RQA928" s="69"/>
      <c r="RQB928" s="509"/>
      <c r="RQC928" s="380"/>
      <c r="RQD928" s="381"/>
      <c r="RQE928" s="509"/>
      <c r="RQF928" s="509"/>
      <c r="RQG928" s="509"/>
      <c r="RQH928" s="69"/>
      <c r="RQI928" s="509"/>
      <c r="RQJ928" s="380"/>
      <c r="RQK928" s="381"/>
      <c r="RQL928" s="509"/>
      <c r="RQM928" s="509"/>
      <c r="RQN928" s="509"/>
      <c r="RQO928" s="69"/>
      <c r="RQP928" s="509"/>
      <c r="RQQ928" s="380"/>
      <c r="RQR928" s="381"/>
      <c r="RQS928" s="509"/>
      <c r="RQT928" s="509"/>
      <c r="RQU928" s="509"/>
      <c r="RQV928" s="69"/>
      <c r="RQW928" s="509"/>
      <c r="RQX928" s="380"/>
      <c r="RQY928" s="381"/>
      <c r="RQZ928" s="509"/>
      <c r="RRA928" s="509"/>
      <c r="RRB928" s="509"/>
      <c r="RRC928" s="69"/>
      <c r="RRD928" s="509"/>
      <c r="RRE928" s="380"/>
      <c r="RRF928" s="381"/>
      <c r="RRG928" s="509"/>
      <c r="RRH928" s="509"/>
      <c r="RRI928" s="509"/>
      <c r="RRJ928" s="69"/>
      <c r="RRK928" s="509"/>
      <c r="RRL928" s="380"/>
      <c r="RRM928" s="381"/>
      <c r="RRN928" s="509"/>
      <c r="RRO928" s="509"/>
      <c r="RRP928" s="509"/>
      <c r="RRQ928" s="69"/>
      <c r="RRR928" s="509"/>
      <c r="RRS928" s="380"/>
      <c r="RRT928" s="381"/>
      <c r="RRU928" s="509"/>
      <c r="RRV928" s="509"/>
      <c r="RRW928" s="509"/>
      <c r="RRX928" s="69"/>
      <c r="RRY928" s="509"/>
      <c r="RRZ928" s="380"/>
      <c r="RSA928" s="381"/>
      <c r="RSB928" s="509"/>
      <c r="RSC928" s="509"/>
      <c r="RSD928" s="509"/>
      <c r="RSE928" s="69"/>
      <c r="RSF928" s="509"/>
      <c r="RSG928" s="380"/>
      <c r="RSH928" s="381"/>
      <c r="RSI928" s="509"/>
      <c r="RSJ928" s="509"/>
      <c r="RSK928" s="509"/>
      <c r="RSL928" s="69"/>
      <c r="RSM928" s="509"/>
      <c r="RSN928" s="380"/>
      <c r="RSO928" s="381"/>
      <c r="RSP928" s="509"/>
      <c r="RSQ928" s="509"/>
      <c r="RSR928" s="509"/>
      <c r="RSS928" s="69"/>
      <c r="RST928" s="509"/>
      <c r="RSU928" s="380"/>
      <c r="RSV928" s="381"/>
      <c r="RSW928" s="509"/>
      <c r="RSX928" s="509"/>
      <c r="RSY928" s="509"/>
      <c r="RSZ928" s="69"/>
      <c r="RTA928" s="509"/>
      <c r="RTB928" s="380"/>
      <c r="RTC928" s="381"/>
      <c r="RTD928" s="509"/>
      <c r="RTE928" s="509"/>
      <c r="RTF928" s="509"/>
      <c r="RTG928" s="69"/>
      <c r="RTH928" s="509"/>
      <c r="RTI928" s="380"/>
      <c r="RTJ928" s="381"/>
      <c r="RTK928" s="509"/>
      <c r="RTL928" s="509"/>
      <c r="RTM928" s="509"/>
      <c r="RTN928" s="69"/>
      <c r="RTO928" s="509"/>
      <c r="RTP928" s="380"/>
      <c r="RTQ928" s="381"/>
      <c r="RTR928" s="509"/>
      <c r="RTS928" s="509"/>
      <c r="RTT928" s="509"/>
      <c r="RTU928" s="69"/>
      <c r="RTV928" s="509"/>
      <c r="RTW928" s="380"/>
      <c r="RTX928" s="381"/>
      <c r="RTY928" s="509"/>
      <c r="RTZ928" s="509"/>
      <c r="RUA928" s="509"/>
      <c r="RUB928" s="69"/>
      <c r="RUC928" s="509"/>
      <c r="RUD928" s="380"/>
      <c r="RUE928" s="381"/>
      <c r="RUF928" s="509"/>
      <c r="RUG928" s="509"/>
      <c r="RUH928" s="509"/>
      <c r="RUI928" s="69"/>
      <c r="RUJ928" s="509"/>
      <c r="RUK928" s="380"/>
      <c r="RUL928" s="381"/>
      <c r="RUM928" s="509"/>
      <c r="RUN928" s="509"/>
      <c r="RUO928" s="509"/>
      <c r="RUP928" s="69"/>
      <c r="RUQ928" s="509"/>
      <c r="RUR928" s="380"/>
      <c r="RUS928" s="381"/>
      <c r="RUT928" s="509"/>
      <c r="RUU928" s="509"/>
      <c r="RUV928" s="509"/>
      <c r="RUW928" s="69"/>
      <c r="RUX928" s="509"/>
      <c r="RUY928" s="380"/>
      <c r="RUZ928" s="381"/>
      <c r="RVA928" s="509"/>
      <c r="RVB928" s="509"/>
      <c r="RVC928" s="509"/>
      <c r="RVD928" s="69"/>
      <c r="RVE928" s="509"/>
      <c r="RVF928" s="380"/>
      <c r="RVG928" s="381"/>
      <c r="RVH928" s="509"/>
      <c r="RVI928" s="509"/>
      <c r="RVJ928" s="509"/>
      <c r="RVK928" s="69"/>
      <c r="RVL928" s="509"/>
      <c r="RVM928" s="380"/>
      <c r="RVN928" s="381"/>
      <c r="RVO928" s="509"/>
      <c r="RVP928" s="509"/>
      <c r="RVQ928" s="509"/>
      <c r="RVR928" s="69"/>
      <c r="RVS928" s="509"/>
      <c r="RVT928" s="380"/>
      <c r="RVU928" s="381"/>
      <c r="RVV928" s="509"/>
      <c r="RVW928" s="509"/>
      <c r="RVX928" s="509"/>
      <c r="RVY928" s="69"/>
      <c r="RVZ928" s="509"/>
      <c r="RWA928" s="380"/>
      <c r="RWB928" s="381"/>
      <c r="RWC928" s="509"/>
      <c r="RWD928" s="509"/>
      <c r="RWE928" s="509"/>
      <c r="RWF928" s="69"/>
      <c r="RWG928" s="509"/>
      <c r="RWH928" s="380"/>
      <c r="RWI928" s="381"/>
      <c r="RWJ928" s="509"/>
      <c r="RWK928" s="509"/>
      <c r="RWL928" s="509"/>
      <c r="RWM928" s="69"/>
      <c r="RWN928" s="509"/>
      <c r="RWO928" s="380"/>
      <c r="RWP928" s="381"/>
      <c r="RWQ928" s="509"/>
      <c r="RWR928" s="509"/>
      <c r="RWS928" s="509"/>
      <c r="RWT928" s="69"/>
      <c r="RWU928" s="509"/>
      <c r="RWV928" s="380"/>
      <c r="RWW928" s="381"/>
      <c r="RWX928" s="509"/>
      <c r="RWY928" s="509"/>
      <c r="RWZ928" s="509"/>
      <c r="RXA928" s="69"/>
      <c r="RXB928" s="509"/>
      <c r="RXC928" s="380"/>
      <c r="RXD928" s="381"/>
      <c r="RXE928" s="509"/>
      <c r="RXF928" s="509"/>
      <c r="RXG928" s="509"/>
      <c r="RXH928" s="69"/>
      <c r="RXI928" s="509"/>
      <c r="RXJ928" s="380"/>
      <c r="RXK928" s="381"/>
      <c r="RXL928" s="509"/>
      <c r="RXM928" s="509"/>
      <c r="RXN928" s="509"/>
      <c r="RXO928" s="69"/>
      <c r="RXP928" s="509"/>
      <c r="RXQ928" s="380"/>
      <c r="RXR928" s="381"/>
      <c r="RXS928" s="509"/>
      <c r="RXT928" s="509"/>
      <c r="RXU928" s="509"/>
      <c r="RXV928" s="69"/>
      <c r="RXW928" s="509"/>
      <c r="RXX928" s="380"/>
      <c r="RXY928" s="381"/>
      <c r="RXZ928" s="509"/>
      <c r="RYA928" s="509"/>
      <c r="RYB928" s="509"/>
      <c r="RYC928" s="69"/>
      <c r="RYD928" s="509"/>
      <c r="RYE928" s="380"/>
      <c r="RYF928" s="381"/>
      <c r="RYG928" s="509"/>
      <c r="RYH928" s="509"/>
      <c r="RYI928" s="509"/>
      <c r="RYJ928" s="69"/>
      <c r="RYK928" s="509"/>
      <c r="RYL928" s="380"/>
      <c r="RYM928" s="381"/>
      <c r="RYN928" s="509"/>
      <c r="RYO928" s="509"/>
      <c r="RYP928" s="509"/>
      <c r="RYQ928" s="69"/>
      <c r="RYR928" s="509"/>
      <c r="RYS928" s="380"/>
      <c r="RYT928" s="381"/>
      <c r="RYU928" s="509"/>
      <c r="RYV928" s="509"/>
      <c r="RYW928" s="509"/>
      <c r="RYX928" s="69"/>
      <c r="RYY928" s="509"/>
      <c r="RYZ928" s="380"/>
      <c r="RZA928" s="381"/>
      <c r="RZB928" s="509"/>
      <c r="RZC928" s="509"/>
      <c r="RZD928" s="509"/>
      <c r="RZE928" s="69"/>
      <c r="RZF928" s="509"/>
      <c r="RZG928" s="380"/>
      <c r="RZH928" s="381"/>
      <c r="RZI928" s="509"/>
      <c r="RZJ928" s="509"/>
      <c r="RZK928" s="509"/>
      <c r="RZL928" s="69"/>
      <c r="RZM928" s="509"/>
      <c r="RZN928" s="380"/>
      <c r="RZO928" s="381"/>
      <c r="RZP928" s="509"/>
      <c r="RZQ928" s="509"/>
      <c r="RZR928" s="509"/>
      <c r="RZS928" s="69"/>
      <c r="RZT928" s="509"/>
      <c r="RZU928" s="380"/>
      <c r="RZV928" s="381"/>
      <c r="RZW928" s="509"/>
      <c r="RZX928" s="509"/>
      <c r="RZY928" s="509"/>
      <c r="RZZ928" s="69"/>
      <c r="SAA928" s="509"/>
      <c r="SAB928" s="380"/>
      <c r="SAC928" s="381"/>
      <c r="SAD928" s="509"/>
      <c r="SAE928" s="509"/>
      <c r="SAF928" s="509"/>
      <c r="SAG928" s="69"/>
      <c r="SAH928" s="509"/>
      <c r="SAI928" s="380"/>
      <c r="SAJ928" s="381"/>
      <c r="SAK928" s="509"/>
      <c r="SAL928" s="509"/>
      <c r="SAM928" s="509"/>
      <c r="SAN928" s="69"/>
      <c r="SAO928" s="509"/>
      <c r="SAP928" s="380"/>
      <c r="SAQ928" s="381"/>
      <c r="SAR928" s="509"/>
      <c r="SAS928" s="509"/>
      <c r="SAT928" s="509"/>
      <c r="SAU928" s="69"/>
      <c r="SAV928" s="509"/>
      <c r="SAW928" s="380"/>
      <c r="SAX928" s="381"/>
      <c r="SAY928" s="509"/>
      <c r="SAZ928" s="509"/>
      <c r="SBA928" s="509"/>
      <c r="SBB928" s="69"/>
      <c r="SBC928" s="509"/>
      <c r="SBD928" s="380"/>
      <c r="SBE928" s="381"/>
      <c r="SBF928" s="509"/>
      <c r="SBG928" s="509"/>
      <c r="SBH928" s="509"/>
      <c r="SBI928" s="69"/>
      <c r="SBJ928" s="509"/>
      <c r="SBK928" s="380"/>
      <c r="SBL928" s="381"/>
      <c r="SBM928" s="509"/>
      <c r="SBN928" s="509"/>
      <c r="SBO928" s="509"/>
      <c r="SBP928" s="69"/>
      <c r="SBQ928" s="509"/>
      <c r="SBR928" s="380"/>
      <c r="SBS928" s="381"/>
      <c r="SBT928" s="509"/>
      <c r="SBU928" s="509"/>
      <c r="SBV928" s="509"/>
      <c r="SBW928" s="69"/>
      <c r="SBX928" s="509"/>
      <c r="SBY928" s="380"/>
      <c r="SBZ928" s="381"/>
      <c r="SCA928" s="509"/>
      <c r="SCB928" s="509"/>
      <c r="SCC928" s="509"/>
      <c r="SCD928" s="69"/>
      <c r="SCE928" s="509"/>
      <c r="SCF928" s="380"/>
      <c r="SCG928" s="381"/>
      <c r="SCH928" s="509"/>
      <c r="SCI928" s="509"/>
      <c r="SCJ928" s="509"/>
      <c r="SCK928" s="69"/>
      <c r="SCL928" s="509"/>
      <c r="SCM928" s="380"/>
      <c r="SCN928" s="381"/>
      <c r="SCO928" s="509"/>
      <c r="SCP928" s="509"/>
      <c r="SCQ928" s="509"/>
      <c r="SCR928" s="69"/>
      <c r="SCS928" s="509"/>
      <c r="SCT928" s="380"/>
      <c r="SCU928" s="381"/>
      <c r="SCV928" s="509"/>
      <c r="SCW928" s="509"/>
      <c r="SCX928" s="509"/>
      <c r="SCY928" s="69"/>
      <c r="SCZ928" s="509"/>
      <c r="SDA928" s="380"/>
      <c r="SDB928" s="381"/>
      <c r="SDC928" s="509"/>
      <c r="SDD928" s="509"/>
      <c r="SDE928" s="509"/>
      <c r="SDF928" s="69"/>
      <c r="SDG928" s="509"/>
      <c r="SDH928" s="380"/>
      <c r="SDI928" s="381"/>
      <c r="SDJ928" s="509"/>
      <c r="SDK928" s="509"/>
      <c r="SDL928" s="509"/>
      <c r="SDM928" s="69"/>
      <c r="SDN928" s="509"/>
      <c r="SDO928" s="380"/>
      <c r="SDP928" s="381"/>
      <c r="SDQ928" s="509"/>
      <c r="SDR928" s="509"/>
      <c r="SDS928" s="509"/>
      <c r="SDT928" s="69"/>
      <c r="SDU928" s="509"/>
      <c r="SDV928" s="380"/>
      <c r="SDW928" s="381"/>
      <c r="SDX928" s="509"/>
      <c r="SDY928" s="509"/>
      <c r="SDZ928" s="509"/>
      <c r="SEA928" s="69"/>
      <c r="SEB928" s="509"/>
      <c r="SEC928" s="380"/>
      <c r="SED928" s="381"/>
      <c r="SEE928" s="509"/>
      <c r="SEF928" s="509"/>
      <c r="SEG928" s="509"/>
      <c r="SEH928" s="69"/>
      <c r="SEI928" s="509"/>
      <c r="SEJ928" s="380"/>
      <c r="SEK928" s="381"/>
      <c r="SEL928" s="509"/>
      <c r="SEM928" s="509"/>
      <c r="SEN928" s="509"/>
      <c r="SEO928" s="69"/>
      <c r="SEP928" s="509"/>
      <c r="SEQ928" s="380"/>
      <c r="SER928" s="381"/>
      <c r="SES928" s="509"/>
      <c r="SET928" s="509"/>
      <c r="SEU928" s="509"/>
      <c r="SEV928" s="69"/>
      <c r="SEW928" s="509"/>
      <c r="SEX928" s="380"/>
      <c r="SEY928" s="381"/>
      <c r="SEZ928" s="509"/>
      <c r="SFA928" s="509"/>
      <c r="SFB928" s="509"/>
      <c r="SFC928" s="69"/>
      <c r="SFD928" s="509"/>
      <c r="SFE928" s="380"/>
      <c r="SFF928" s="381"/>
      <c r="SFG928" s="509"/>
      <c r="SFH928" s="509"/>
      <c r="SFI928" s="509"/>
      <c r="SFJ928" s="69"/>
      <c r="SFK928" s="509"/>
      <c r="SFL928" s="380"/>
      <c r="SFM928" s="381"/>
      <c r="SFN928" s="509"/>
      <c r="SFO928" s="509"/>
      <c r="SFP928" s="509"/>
      <c r="SFQ928" s="69"/>
      <c r="SFR928" s="509"/>
      <c r="SFS928" s="380"/>
      <c r="SFT928" s="381"/>
      <c r="SFU928" s="509"/>
      <c r="SFV928" s="509"/>
      <c r="SFW928" s="509"/>
      <c r="SFX928" s="69"/>
      <c r="SFY928" s="509"/>
      <c r="SFZ928" s="380"/>
      <c r="SGA928" s="381"/>
      <c r="SGB928" s="509"/>
      <c r="SGC928" s="509"/>
      <c r="SGD928" s="509"/>
      <c r="SGE928" s="69"/>
      <c r="SGF928" s="509"/>
      <c r="SGG928" s="380"/>
      <c r="SGH928" s="381"/>
      <c r="SGI928" s="509"/>
      <c r="SGJ928" s="509"/>
      <c r="SGK928" s="509"/>
      <c r="SGL928" s="69"/>
      <c r="SGM928" s="509"/>
      <c r="SGN928" s="380"/>
      <c r="SGO928" s="381"/>
      <c r="SGP928" s="509"/>
      <c r="SGQ928" s="509"/>
      <c r="SGR928" s="509"/>
      <c r="SGS928" s="69"/>
      <c r="SGT928" s="509"/>
      <c r="SGU928" s="380"/>
      <c r="SGV928" s="381"/>
      <c r="SGW928" s="509"/>
      <c r="SGX928" s="509"/>
      <c r="SGY928" s="509"/>
      <c r="SGZ928" s="69"/>
      <c r="SHA928" s="509"/>
      <c r="SHB928" s="380"/>
      <c r="SHC928" s="381"/>
      <c r="SHD928" s="509"/>
      <c r="SHE928" s="509"/>
      <c r="SHF928" s="509"/>
      <c r="SHG928" s="69"/>
      <c r="SHH928" s="509"/>
      <c r="SHI928" s="380"/>
      <c r="SHJ928" s="381"/>
      <c r="SHK928" s="509"/>
      <c r="SHL928" s="509"/>
      <c r="SHM928" s="509"/>
      <c r="SHN928" s="69"/>
      <c r="SHO928" s="509"/>
      <c r="SHP928" s="380"/>
      <c r="SHQ928" s="381"/>
      <c r="SHR928" s="509"/>
      <c r="SHS928" s="509"/>
      <c r="SHT928" s="509"/>
      <c r="SHU928" s="69"/>
      <c r="SHV928" s="509"/>
      <c r="SHW928" s="380"/>
      <c r="SHX928" s="381"/>
      <c r="SHY928" s="509"/>
      <c r="SHZ928" s="509"/>
      <c r="SIA928" s="509"/>
      <c r="SIB928" s="69"/>
      <c r="SIC928" s="509"/>
      <c r="SID928" s="380"/>
      <c r="SIE928" s="381"/>
      <c r="SIF928" s="509"/>
      <c r="SIG928" s="509"/>
      <c r="SIH928" s="509"/>
      <c r="SII928" s="69"/>
      <c r="SIJ928" s="509"/>
      <c r="SIK928" s="380"/>
      <c r="SIL928" s="381"/>
      <c r="SIM928" s="509"/>
      <c r="SIN928" s="509"/>
      <c r="SIO928" s="509"/>
      <c r="SIP928" s="69"/>
      <c r="SIQ928" s="509"/>
      <c r="SIR928" s="380"/>
      <c r="SIS928" s="381"/>
      <c r="SIT928" s="509"/>
      <c r="SIU928" s="509"/>
      <c r="SIV928" s="509"/>
      <c r="SIW928" s="69"/>
      <c r="SIX928" s="509"/>
      <c r="SIY928" s="380"/>
      <c r="SIZ928" s="381"/>
      <c r="SJA928" s="509"/>
      <c r="SJB928" s="509"/>
      <c r="SJC928" s="509"/>
      <c r="SJD928" s="69"/>
      <c r="SJE928" s="509"/>
      <c r="SJF928" s="380"/>
      <c r="SJG928" s="381"/>
      <c r="SJH928" s="509"/>
      <c r="SJI928" s="509"/>
      <c r="SJJ928" s="509"/>
      <c r="SJK928" s="69"/>
      <c r="SJL928" s="509"/>
      <c r="SJM928" s="380"/>
      <c r="SJN928" s="381"/>
      <c r="SJO928" s="509"/>
      <c r="SJP928" s="509"/>
      <c r="SJQ928" s="509"/>
      <c r="SJR928" s="69"/>
      <c r="SJS928" s="509"/>
      <c r="SJT928" s="380"/>
      <c r="SJU928" s="381"/>
      <c r="SJV928" s="509"/>
      <c r="SJW928" s="509"/>
      <c r="SJX928" s="509"/>
      <c r="SJY928" s="69"/>
      <c r="SJZ928" s="509"/>
      <c r="SKA928" s="380"/>
      <c r="SKB928" s="381"/>
      <c r="SKC928" s="509"/>
      <c r="SKD928" s="509"/>
      <c r="SKE928" s="509"/>
      <c r="SKF928" s="69"/>
      <c r="SKG928" s="509"/>
      <c r="SKH928" s="380"/>
      <c r="SKI928" s="381"/>
      <c r="SKJ928" s="509"/>
      <c r="SKK928" s="509"/>
      <c r="SKL928" s="509"/>
      <c r="SKM928" s="69"/>
      <c r="SKN928" s="509"/>
      <c r="SKO928" s="380"/>
      <c r="SKP928" s="381"/>
      <c r="SKQ928" s="509"/>
      <c r="SKR928" s="509"/>
      <c r="SKS928" s="509"/>
      <c r="SKT928" s="69"/>
      <c r="SKU928" s="509"/>
      <c r="SKV928" s="380"/>
      <c r="SKW928" s="381"/>
      <c r="SKX928" s="509"/>
      <c r="SKY928" s="509"/>
      <c r="SKZ928" s="509"/>
      <c r="SLA928" s="69"/>
      <c r="SLB928" s="509"/>
      <c r="SLC928" s="380"/>
      <c r="SLD928" s="381"/>
      <c r="SLE928" s="509"/>
      <c r="SLF928" s="509"/>
      <c r="SLG928" s="509"/>
      <c r="SLH928" s="69"/>
      <c r="SLI928" s="509"/>
      <c r="SLJ928" s="380"/>
      <c r="SLK928" s="381"/>
      <c r="SLL928" s="509"/>
      <c r="SLM928" s="509"/>
      <c r="SLN928" s="509"/>
      <c r="SLO928" s="69"/>
      <c r="SLP928" s="509"/>
      <c r="SLQ928" s="380"/>
      <c r="SLR928" s="381"/>
      <c r="SLS928" s="509"/>
      <c r="SLT928" s="509"/>
      <c r="SLU928" s="509"/>
      <c r="SLV928" s="69"/>
      <c r="SLW928" s="509"/>
      <c r="SLX928" s="380"/>
      <c r="SLY928" s="381"/>
      <c r="SLZ928" s="509"/>
      <c r="SMA928" s="509"/>
      <c r="SMB928" s="509"/>
      <c r="SMC928" s="69"/>
      <c r="SMD928" s="509"/>
      <c r="SME928" s="380"/>
      <c r="SMF928" s="381"/>
      <c r="SMG928" s="509"/>
      <c r="SMH928" s="509"/>
      <c r="SMI928" s="509"/>
      <c r="SMJ928" s="69"/>
      <c r="SMK928" s="509"/>
      <c r="SML928" s="380"/>
      <c r="SMM928" s="381"/>
      <c r="SMN928" s="509"/>
      <c r="SMO928" s="509"/>
      <c r="SMP928" s="509"/>
      <c r="SMQ928" s="69"/>
      <c r="SMR928" s="509"/>
      <c r="SMS928" s="380"/>
      <c r="SMT928" s="381"/>
      <c r="SMU928" s="509"/>
      <c r="SMV928" s="509"/>
      <c r="SMW928" s="509"/>
      <c r="SMX928" s="69"/>
      <c r="SMY928" s="509"/>
      <c r="SMZ928" s="380"/>
      <c r="SNA928" s="381"/>
      <c r="SNB928" s="509"/>
      <c r="SNC928" s="509"/>
      <c r="SND928" s="509"/>
      <c r="SNE928" s="69"/>
      <c r="SNF928" s="509"/>
      <c r="SNG928" s="380"/>
      <c r="SNH928" s="381"/>
      <c r="SNI928" s="509"/>
      <c r="SNJ928" s="509"/>
      <c r="SNK928" s="509"/>
      <c r="SNL928" s="69"/>
      <c r="SNM928" s="509"/>
      <c r="SNN928" s="380"/>
      <c r="SNO928" s="381"/>
      <c r="SNP928" s="509"/>
      <c r="SNQ928" s="509"/>
      <c r="SNR928" s="509"/>
      <c r="SNS928" s="69"/>
      <c r="SNT928" s="509"/>
      <c r="SNU928" s="380"/>
      <c r="SNV928" s="381"/>
      <c r="SNW928" s="509"/>
      <c r="SNX928" s="509"/>
      <c r="SNY928" s="509"/>
      <c r="SNZ928" s="69"/>
      <c r="SOA928" s="509"/>
      <c r="SOB928" s="380"/>
      <c r="SOC928" s="381"/>
      <c r="SOD928" s="509"/>
      <c r="SOE928" s="509"/>
      <c r="SOF928" s="509"/>
      <c r="SOG928" s="69"/>
      <c r="SOH928" s="509"/>
      <c r="SOI928" s="380"/>
      <c r="SOJ928" s="381"/>
      <c r="SOK928" s="509"/>
      <c r="SOL928" s="509"/>
      <c r="SOM928" s="509"/>
      <c r="SON928" s="69"/>
      <c r="SOO928" s="509"/>
      <c r="SOP928" s="380"/>
      <c r="SOQ928" s="381"/>
      <c r="SOR928" s="509"/>
      <c r="SOS928" s="509"/>
      <c r="SOT928" s="509"/>
      <c r="SOU928" s="69"/>
      <c r="SOV928" s="509"/>
      <c r="SOW928" s="380"/>
      <c r="SOX928" s="381"/>
      <c r="SOY928" s="509"/>
      <c r="SOZ928" s="509"/>
      <c r="SPA928" s="509"/>
      <c r="SPB928" s="69"/>
      <c r="SPC928" s="509"/>
      <c r="SPD928" s="380"/>
      <c r="SPE928" s="381"/>
      <c r="SPF928" s="509"/>
      <c r="SPG928" s="509"/>
      <c r="SPH928" s="509"/>
      <c r="SPI928" s="69"/>
      <c r="SPJ928" s="509"/>
      <c r="SPK928" s="380"/>
      <c r="SPL928" s="381"/>
      <c r="SPM928" s="509"/>
      <c r="SPN928" s="509"/>
      <c r="SPO928" s="509"/>
      <c r="SPP928" s="69"/>
      <c r="SPQ928" s="509"/>
      <c r="SPR928" s="380"/>
      <c r="SPS928" s="381"/>
      <c r="SPT928" s="509"/>
      <c r="SPU928" s="509"/>
      <c r="SPV928" s="509"/>
      <c r="SPW928" s="69"/>
      <c r="SPX928" s="509"/>
      <c r="SPY928" s="380"/>
      <c r="SPZ928" s="381"/>
      <c r="SQA928" s="509"/>
      <c r="SQB928" s="509"/>
      <c r="SQC928" s="509"/>
      <c r="SQD928" s="69"/>
      <c r="SQE928" s="509"/>
      <c r="SQF928" s="380"/>
      <c r="SQG928" s="381"/>
      <c r="SQH928" s="509"/>
      <c r="SQI928" s="509"/>
      <c r="SQJ928" s="509"/>
      <c r="SQK928" s="69"/>
      <c r="SQL928" s="509"/>
      <c r="SQM928" s="380"/>
      <c r="SQN928" s="381"/>
      <c r="SQO928" s="509"/>
      <c r="SQP928" s="509"/>
      <c r="SQQ928" s="509"/>
      <c r="SQR928" s="69"/>
      <c r="SQS928" s="509"/>
      <c r="SQT928" s="380"/>
      <c r="SQU928" s="381"/>
      <c r="SQV928" s="509"/>
      <c r="SQW928" s="509"/>
      <c r="SQX928" s="509"/>
      <c r="SQY928" s="69"/>
      <c r="SQZ928" s="509"/>
      <c r="SRA928" s="380"/>
      <c r="SRB928" s="381"/>
      <c r="SRC928" s="509"/>
      <c r="SRD928" s="509"/>
      <c r="SRE928" s="509"/>
      <c r="SRF928" s="69"/>
      <c r="SRG928" s="509"/>
      <c r="SRH928" s="380"/>
      <c r="SRI928" s="381"/>
      <c r="SRJ928" s="509"/>
      <c r="SRK928" s="509"/>
      <c r="SRL928" s="509"/>
      <c r="SRM928" s="69"/>
      <c r="SRN928" s="509"/>
      <c r="SRO928" s="380"/>
      <c r="SRP928" s="381"/>
      <c r="SRQ928" s="509"/>
      <c r="SRR928" s="509"/>
      <c r="SRS928" s="509"/>
      <c r="SRT928" s="69"/>
      <c r="SRU928" s="509"/>
      <c r="SRV928" s="380"/>
      <c r="SRW928" s="381"/>
      <c r="SRX928" s="509"/>
      <c r="SRY928" s="509"/>
      <c r="SRZ928" s="509"/>
      <c r="SSA928" s="69"/>
      <c r="SSB928" s="509"/>
      <c r="SSC928" s="380"/>
      <c r="SSD928" s="381"/>
      <c r="SSE928" s="509"/>
      <c r="SSF928" s="509"/>
      <c r="SSG928" s="509"/>
      <c r="SSH928" s="69"/>
      <c r="SSI928" s="509"/>
      <c r="SSJ928" s="380"/>
      <c r="SSK928" s="381"/>
      <c r="SSL928" s="509"/>
      <c r="SSM928" s="509"/>
      <c r="SSN928" s="509"/>
      <c r="SSO928" s="69"/>
      <c r="SSP928" s="509"/>
      <c r="SSQ928" s="380"/>
      <c r="SSR928" s="381"/>
      <c r="SSS928" s="509"/>
      <c r="SST928" s="509"/>
      <c r="SSU928" s="509"/>
      <c r="SSV928" s="69"/>
      <c r="SSW928" s="509"/>
      <c r="SSX928" s="380"/>
      <c r="SSY928" s="381"/>
      <c r="SSZ928" s="509"/>
      <c r="STA928" s="509"/>
      <c r="STB928" s="509"/>
      <c r="STC928" s="69"/>
      <c r="STD928" s="509"/>
      <c r="STE928" s="380"/>
      <c r="STF928" s="381"/>
      <c r="STG928" s="509"/>
      <c r="STH928" s="509"/>
      <c r="STI928" s="509"/>
      <c r="STJ928" s="69"/>
      <c r="STK928" s="509"/>
      <c r="STL928" s="380"/>
      <c r="STM928" s="381"/>
      <c r="STN928" s="509"/>
      <c r="STO928" s="509"/>
      <c r="STP928" s="509"/>
      <c r="STQ928" s="69"/>
      <c r="STR928" s="509"/>
      <c r="STS928" s="380"/>
      <c r="STT928" s="381"/>
      <c r="STU928" s="509"/>
      <c r="STV928" s="509"/>
      <c r="STW928" s="509"/>
      <c r="STX928" s="69"/>
      <c r="STY928" s="509"/>
      <c r="STZ928" s="380"/>
      <c r="SUA928" s="381"/>
      <c r="SUB928" s="509"/>
      <c r="SUC928" s="509"/>
      <c r="SUD928" s="509"/>
      <c r="SUE928" s="69"/>
      <c r="SUF928" s="509"/>
      <c r="SUG928" s="380"/>
      <c r="SUH928" s="381"/>
      <c r="SUI928" s="509"/>
      <c r="SUJ928" s="509"/>
      <c r="SUK928" s="509"/>
      <c r="SUL928" s="69"/>
      <c r="SUM928" s="509"/>
      <c r="SUN928" s="380"/>
      <c r="SUO928" s="381"/>
      <c r="SUP928" s="509"/>
      <c r="SUQ928" s="509"/>
      <c r="SUR928" s="509"/>
      <c r="SUS928" s="69"/>
      <c r="SUT928" s="509"/>
      <c r="SUU928" s="380"/>
      <c r="SUV928" s="381"/>
      <c r="SUW928" s="509"/>
      <c r="SUX928" s="509"/>
      <c r="SUY928" s="509"/>
      <c r="SUZ928" s="69"/>
      <c r="SVA928" s="509"/>
      <c r="SVB928" s="380"/>
      <c r="SVC928" s="381"/>
      <c r="SVD928" s="509"/>
      <c r="SVE928" s="509"/>
      <c r="SVF928" s="509"/>
      <c r="SVG928" s="69"/>
      <c r="SVH928" s="509"/>
      <c r="SVI928" s="380"/>
      <c r="SVJ928" s="381"/>
      <c r="SVK928" s="509"/>
      <c r="SVL928" s="509"/>
      <c r="SVM928" s="509"/>
      <c r="SVN928" s="69"/>
      <c r="SVO928" s="509"/>
      <c r="SVP928" s="380"/>
      <c r="SVQ928" s="381"/>
      <c r="SVR928" s="509"/>
      <c r="SVS928" s="509"/>
      <c r="SVT928" s="509"/>
      <c r="SVU928" s="69"/>
      <c r="SVV928" s="509"/>
      <c r="SVW928" s="380"/>
      <c r="SVX928" s="381"/>
      <c r="SVY928" s="509"/>
      <c r="SVZ928" s="509"/>
      <c r="SWA928" s="509"/>
      <c r="SWB928" s="69"/>
      <c r="SWC928" s="509"/>
      <c r="SWD928" s="380"/>
      <c r="SWE928" s="381"/>
      <c r="SWF928" s="509"/>
      <c r="SWG928" s="509"/>
      <c r="SWH928" s="509"/>
      <c r="SWI928" s="69"/>
      <c r="SWJ928" s="509"/>
      <c r="SWK928" s="380"/>
      <c r="SWL928" s="381"/>
      <c r="SWM928" s="509"/>
      <c r="SWN928" s="509"/>
      <c r="SWO928" s="509"/>
      <c r="SWP928" s="69"/>
      <c r="SWQ928" s="509"/>
      <c r="SWR928" s="380"/>
      <c r="SWS928" s="381"/>
      <c r="SWT928" s="509"/>
      <c r="SWU928" s="509"/>
      <c r="SWV928" s="509"/>
      <c r="SWW928" s="69"/>
      <c r="SWX928" s="509"/>
      <c r="SWY928" s="380"/>
      <c r="SWZ928" s="381"/>
      <c r="SXA928" s="509"/>
      <c r="SXB928" s="509"/>
      <c r="SXC928" s="509"/>
      <c r="SXD928" s="69"/>
      <c r="SXE928" s="509"/>
      <c r="SXF928" s="380"/>
      <c r="SXG928" s="381"/>
      <c r="SXH928" s="509"/>
      <c r="SXI928" s="509"/>
      <c r="SXJ928" s="509"/>
      <c r="SXK928" s="69"/>
      <c r="SXL928" s="509"/>
      <c r="SXM928" s="380"/>
      <c r="SXN928" s="381"/>
      <c r="SXO928" s="509"/>
      <c r="SXP928" s="509"/>
      <c r="SXQ928" s="509"/>
      <c r="SXR928" s="69"/>
      <c r="SXS928" s="509"/>
      <c r="SXT928" s="380"/>
      <c r="SXU928" s="381"/>
      <c r="SXV928" s="509"/>
      <c r="SXW928" s="509"/>
      <c r="SXX928" s="509"/>
      <c r="SXY928" s="69"/>
      <c r="SXZ928" s="509"/>
      <c r="SYA928" s="380"/>
      <c r="SYB928" s="381"/>
      <c r="SYC928" s="509"/>
      <c r="SYD928" s="509"/>
      <c r="SYE928" s="509"/>
      <c r="SYF928" s="69"/>
      <c r="SYG928" s="509"/>
      <c r="SYH928" s="380"/>
      <c r="SYI928" s="381"/>
      <c r="SYJ928" s="509"/>
      <c r="SYK928" s="509"/>
      <c r="SYL928" s="509"/>
      <c r="SYM928" s="69"/>
      <c r="SYN928" s="509"/>
      <c r="SYO928" s="380"/>
      <c r="SYP928" s="381"/>
      <c r="SYQ928" s="509"/>
      <c r="SYR928" s="509"/>
      <c r="SYS928" s="509"/>
      <c r="SYT928" s="69"/>
      <c r="SYU928" s="509"/>
      <c r="SYV928" s="380"/>
      <c r="SYW928" s="381"/>
      <c r="SYX928" s="509"/>
      <c r="SYY928" s="509"/>
      <c r="SYZ928" s="509"/>
      <c r="SZA928" s="69"/>
      <c r="SZB928" s="509"/>
      <c r="SZC928" s="380"/>
      <c r="SZD928" s="381"/>
      <c r="SZE928" s="509"/>
      <c r="SZF928" s="509"/>
      <c r="SZG928" s="509"/>
      <c r="SZH928" s="69"/>
      <c r="SZI928" s="509"/>
      <c r="SZJ928" s="380"/>
      <c r="SZK928" s="381"/>
      <c r="SZL928" s="509"/>
      <c r="SZM928" s="509"/>
      <c r="SZN928" s="509"/>
      <c r="SZO928" s="69"/>
      <c r="SZP928" s="509"/>
      <c r="SZQ928" s="380"/>
      <c r="SZR928" s="381"/>
      <c r="SZS928" s="509"/>
      <c r="SZT928" s="509"/>
      <c r="SZU928" s="509"/>
      <c r="SZV928" s="69"/>
      <c r="SZW928" s="509"/>
      <c r="SZX928" s="380"/>
      <c r="SZY928" s="381"/>
      <c r="SZZ928" s="509"/>
      <c r="TAA928" s="509"/>
      <c r="TAB928" s="509"/>
      <c r="TAC928" s="69"/>
      <c r="TAD928" s="509"/>
      <c r="TAE928" s="380"/>
      <c r="TAF928" s="381"/>
      <c r="TAG928" s="509"/>
      <c r="TAH928" s="509"/>
      <c r="TAI928" s="509"/>
      <c r="TAJ928" s="69"/>
      <c r="TAK928" s="509"/>
      <c r="TAL928" s="380"/>
      <c r="TAM928" s="381"/>
      <c r="TAN928" s="509"/>
      <c r="TAO928" s="509"/>
      <c r="TAP928" s="509"/>
      <c r="TAQ928" s="69"/>
      <c r="TAR928" s="509"/>
      <c r="TAS928" s="380"/>
      <c r="TAT928" s="381"/>
      <c r="TAU928" s="509"/>
      <c r="TAV928" s="509"/>
      <c r="TAW928" s="509"/>
      <c r="TAX928" s="69"/>
      <c r="TAY928" s="509"/>
      <c r="TAZ928" s="380"/>
      <c r="TBA928" s="381"/>
      <c r="TBB928" s="509"/>
      <c r="TBC928" s="509"/>
      <c r="TBD928" s="509"/>
      <c r="TBE928" s="69"/>
      <c r="TBF928" s="509"/>
      <c r="TBG928" s="380"/>
      <c r="TBH928" s="381"/>
      <c r="TBI928" s="509"/>
      <c r="TBJ928" s="509"/>
      <c r="TBK928" s="509"/>
      <c r="TBL928" s="69"/>
      <c r="TBM928" s="509"/>
      <c r="TBN928" s="380"/>
      <c r="TBO928" s="381"/>
      <c r="TBP928" s="509"/>
      <c r="TBQ928" s="509"/>
      <c r="TBR928" s="509"/>
      <c r="TBS928" s="69"/>
      <c r="TBT928" s="509"/>
      <c r="TBU928" s="380"/>
      <c r="TBV928" s="381"/>
      <c r="TBW928" s="509"/>
      <c r="TBX928" s="509"/>
      <c r="TBY928" s="509"/>
      <c r="TBZ928" s="69"/>
      <c r="TCA928" s="509"/>
      <c r="TCB928" s="380"/>
      <c r="TCC928" s="381"/>
      <c r="TCD928" s="509"/>
      <c r="TCE928" s="509"/>
      <c r="TCF928" s="509"/>
      <c r="TCG928" s="69"/>
      <c r="TCH928" s="509"/>
      <c r="TCI928" s="380"/>
      <c r="TCJ928" s="381"/>
      <c r="TCK928" s="509"/>
      <c r="TCL928" s="509"/>
      <c r="TCM928" s="509"/>
      <c r="TCN928" s="69"/>
      <c r="TCO928" s="509"/>
      <c r="TCP928" s="380"/>
      <c r="TCQ928" s="381"/>
      <c r="TCR928" s="509"/>
      <c r="TCS928" s="509"/>
      <c r="TCT928" s="509"/>
      <c r="TCU928" s="69"/>
      <c r="TCV928" s="509"/>
      <c r="TCW928" s="380"/>
      <c r="TCX928" s="381"/>
      <c r="TCY928" s="509"/>
      <c r="TCZ928" s="509"/>
      <c r="TDA928" s="509"/>
      <c r="TDB928" s="69"/>
      <c r="TDC928" s="509"/>
      <c r="TDD928" s="380"/>
      <c r="TDE928" s="381"/>
      <c r="TDF928" s="509"/>
      <c r="TDG928" s="509"/>
      <c r="TDH928" s="509"/>
      <c r="TDI928" s="69"/>
      <c r="TDJ928" s="509"/>
      <c r="TDK928" s="380"/>
      <c r="TDL928" s="381"/>
      <c r="TDM928" s="509"/>
      <c r="TDN928" s="509"/>
      <c r="TDO928" s="509"/>
      <c r="TDP928" s="69"/>
      <c r="TDQ928" s="509"/>
      <c r="TDR928" s="380"/>
      <c r="TDS928" s="381"/>
      <c r="TDT928" s="509"/>
      <c r="TDU928" s="509"/>
      <c r="TDV928" s="509"/>
      <c r="TDW928" s="69"/>
      <c r="TDX928" s="509"/>
      <c r="TDY928" s="380"/>
      <c r="TDZ928" s="381"/>
      <c r="TEA928" s="509"/>
      <c r="TEB928" s="509"/>
      <c r="TEC928" s="509"/>
      <c r="TED928" s="69"/>
      <c r="TEE928" s="509"/>
      <c r="TEF928" s="380"/>
      <c r="TEG928" s="381"/>
      <c r="TEH928" s="509"/>
      <c r="TEI928" s="509"/>
      <c r="TEJ928" s="509"/>
      <c r="TEK928" s="69"/>
      <c r="TEL928" s="509"/>
      <c r="TEM928" s="380"/>
      <c r="TEN928" s="381"/>
      <c r="TEO928" s="509"/>
      <c r="TEP928" s="509"/>
      <c r="TEQ928" s="509"/>
      <c r="TER928" s="69"/>
      <c r="TES928" s="509"/>
      <c r="TET928" s="380"/>
      <c r="TEU928" s="381"/>
      <c r="TEV928" s="509"/>
      <c r="TEW928" s="509"/>
      <c r="TEX928" s="509"/>
      <c r="TEY928" s="69"/>
      <c r="TEZ928" s="509"/>
      <c r="TFA928" s="380"/>
      <c r="TFB928" s="381"/>
      <c r="TFC928" s="509"/>
      <c r="TFD928" s="509"/>
      <c r="TFE928" s="509"/>
      <c r="TFF928" s="69"/>
      <c r="TFG928" s="509"/>
      <c r="TFH928" s="380"/>
      <c r="TFI928" s="381"/>
      <c r="TFJ928" s="509"/>
      <c r="TFK928" s="509"/>
      <c r="TFL928" s="509"/>
      <c r="TFM928" s="69"/>
      <c r="TFN928" s="509"/>
      <c r="TFO928" s="380"/>
      <c r="TFP928" s="381"/>
      <c r="TFQ928" s="509"/>
      <c r="TFR928" s="509"/>
      <c r="TFS928" s="509"/>
      <c r="TFT928" s="69"/>
      <c r="TFU928" s="509"/>
      <c r="TFV928" s="380"/>
      <c r="TFW928" s="381"/>
      <c r="TFX928" s="509"/>
      <c r="TFY928" s="509"/>
      <c r="TFZ928" s="509"/>
      <c r="TGA928" s="69"/>
      <c r="TGB928" s="509"/>
      <c r="TGC928" s="380"/>
      <c r="TGD928" s="381"/>
      <c r="TGE928" s="509"/>
      <c r="TGF928" s="509"/>
      <c r="TGG928" s="509"/>
      <c r="TGH928" s="69"/>
      <c r="TGI928" s="509"/>
      <c r="TGJ928" s="380"/>
      <c r="TGK928" s="381"/>
      <c r="TGL928" s="509"/>
      <c r="TGM928" s="509"/>
      <c r="TGN928" s="509"/>
      <c r="TGO928" s="69"/>
      <c r="TGP928" s="509"/>
      <c r="TGQ928" s="380"/>
      <c r="TGR928" s="381"/>
      <c r="TGS928" s="509"/>
      <c r="TGT928" s="509"/>
      <c r="TGU928" s="509"/>
      <c r="TGV928" s="69"/>
      <c r="TGW928" s="509"/>
      <c r="TGX928" s="380"/>
      <c r="TGY928" s="381"/>
      <c r="TGZ928" s="509"/>
      <c r="THA928" s="509"/>
      <c r="THB928" s="509"/>
      <c r="THC928" s="69"/>
      <c r="THD928" s="509"/>
      <c r="THE928" s="380"/>
      <c r="THF928" s="381"/>
      <c r="THG928" s="509"/>
      <c r="THH928" s="509"/>
      <c r="THI928" s="509"/>
      <c r="THJ928" s="69"/>
      <c r="THK928" s="509"/>
      <c r="THL928" s="380"/>
      <c r="THM928" s="381"/>
      <c r="THN928" s="509"/>
      <c r="THO928" s="509"/>
      <c r="THP928" s="509"/>
      <c r="THQ928" s="69"/>
      <c r="THR928" s="509"/>
      <c r="THS928" s="380"/>
      <c r="THT928" s="381"/>
      <c r="THU928" s="509"/>
      <c r="THV928" s="509"/>
      <c r="THW928" s="509"/>
      <c r="THX928" s="69"/>
      <c r="THY928" s="509"/>
      <c r="THZ928" s="380"/>
      <c r="TIA928" s="381"/>
      <c r="TIB928" s="509"/>
      <c r="TIC928" s="509"/>
      <c r="TID928" s="509"/>
      <c r="TIE928" s="69"/>
      <c r="TIF928" s="509"/>
      <c r="TIG928" s="380"/>
      <c r="TIH928" s="381"/>
      <c r="TII928" s="509"/>
      <c r="TIJ928" s="509"/>
      <c r="TIK928" s="509"/>
      <c r="TIL928" s="69"/>
      <c r="TIM928" s="509"/>
      <c r="TIN928" s="380"/>
      <c r="TIO928" s="381"/>
      <c r="TIP928" s="509"/>
      <c r="TIQ928" s="509"/>
      <c r="TIR928" s="509"/>
      <c r="TIS928" s="69"/>
      <c r="TIT928" s="509"/>
      <c r="TIU928" s="380"/>
      <c r="TIV928" s="381"/>
      <c r="TIW928" s="509"/>
      <c r="TIX928" s="509"/>
      <c r="TIY928" s="509"/>
      <c r="TIZ928" s="69"/>
      <c r="TJA928" s="509"/>
      <c r="TJB928" s="380"/>
      <c r="TJC928" s="381"/>
      <c r="TJD928" s="509"/>
      <c r="TJE928" s="509"/>
      <c r="TJF928" s="509"/>
      <c r="TJG928" s="69"/>
      <c r="TJH928" s="509"/>
      <c r="TJI928" s="380"/>
      <c r="TJJ928" s="381"/>
      <c r="TJK928" s="509"/>
      <c r="TJL928" s="509"/>
      <c r="TJM928" s="509"/>
      <c r="TJN928" s="69"/>
      <c r="TJO928" s="509"/>
      <c r="TJP928" s="380"/>
      <c r="TJQ928" s="381"/>
      <c r="TJR928" s="509"/>
      <c r="TJS928" s="509"/>
      <c r="TJT928" s="509"/>
      <c r="TJU928" s="69"/>
      <c r="TJV928" s="509"/>
      <c r="TJW928" s="380"/>
      <c r="TJX928" s="381"/>
      <c r="TJY928" s="509"/>
      <c r="TJZ928" s="509"/>
      <c r="TKA928" s="509"/>
      <c r="TKB928" s="69"/>
      <c r="TKC928" s="509"/>
      <c r="TKD928" s="380"/>
      <c r="TKE928" s="381"/>
      <c r="TKF928" s="509"/>
      <c r="TKG928" s="509"/>
      <c r="TKH928" s="509"/>
      <c r="TKI928" s="69"/>
      <c r="TKJ928" s="509"/>
      <c r="TKK928" s="380"/>
      <c r="TKL928" s="381"/>
      <c r="TKM928" s="509"/>
      <c r="TKN928" s="509"/>
      <c r="TKO928" s="509"/>
      <c r="TKP928" s="69"/>
      <c r="TKQ928" s="509"/>
      <c r="TKR928" s="380"/>
      <c r="TKS928" s="381"/>
      <c r="TKT928" s="509"/>
      <c r="TKU928" s="509"/>
      <c r="TKV928" s="509"/>
      <c r="TKW928" s="69"/>
      <c r="TKX928" s="509"/>
      <c r="TKY928" s="380"/>
      <c r="TKZ928" s="381"/>
      <c r="TLA928" s="509"/>
      <c r="TLB928" s="509"/>
      <c r="TLC928" s="509"/>
      <c r="TLD928" s="69"/>
      <c r="TLE928" s="509"/>
      <c r="TLF928" s="380"/>
      <c r="TLG928" s="381"/>
      <c r="TLH928" s="509"/>
      <c r="TLI928" s="509"/>
      <c r="TLJ928" s="509"/>
      <c r="TLK928" s="69"/>
      <c r="TLL928" s="509"/>
      <c r="TLM928" s="380"/>
      <c r="TLN928" s="381"/>
      <c r="TLO928" s="509"/>
      <c r="TLP928" s="509"/>
      <c r="TLQ928" s="509"/>
      <c r="TLR928" s="69"/>
      <c r="TLS928" s="509"/>
      <c r="TLT928" s="380"/>
      <c r="TLU928" s="381"/>
      <c r="TLV928" s="509"/>
      <c r="TLW928" s="509"/>
      <c r="TLX928" s="509"/>
      <c r="TLY928" s="69"/>
      <c r="TLZ928" s="509"/>
      <c r="TMA928" s="380"/>
      <c r="TMB928" s="381"/>
      <c r="TMC928" s="509"/>
      <c r="TMD928" s="509"/>
      <c r="TME928" s="509"/>
      <c r="TMF928" s="69"/>
      <c r="TMG928" s="509"/>
      <c r="TMH928" s="380"/>
      <c r="TMI928" s="381"/>
      <c r="TMJ928" s="509"/>
      <c r="TMK928" s="509"/>
      <c r="TML928" s="509"/>
      <c r="TMM928" s="69"/>
      <c r="TMN928" s="509"/>
      <c r="TMO928" s="380"/>
      <c r="TMP928" s="381"/>
      <c r="TMQ928" s="509"/>
      <c r="TMR928" s="509"/>
      <c r="TMS928" s="509"/>
      <c r="TMT928" s="69"/>
      <c r="TMU928" s="509"/>
      <c r="TMV928" s="380"/>
      <c r="TMW928" s="381"/>
      <c r="TMX928" s="509"/>
      <c r="TMY928" s="509"/>
      <c r="TMZ928" s="509"/>
      <c r="TNA928" s="69"/>
      <c r="TNB928" s="509"/>
      <c r="TNC928" s="380"/>
      <c r="TND928" s="381"/>
      <c r="TNE928" s="509"/>
      <c r="TNF928" s="509"/>
      <c r="TNG928" s="509"/>
      <c r="TNH928" s="69"/>
      <c r="TNI928" s="509"/>
      <c r="TNJ928" s="380"/>
      <c r="TNK928" s="381"/>
      <c r="TNL928" s="509"/>
      <c r="TNM928" s="509"/>
      <c r="TNN928" s="509"/>
      <c r="TNO928" s="69"/>
      <c r="TNP928" s="509"/>
      <c r="TNQ928" s="380"/>
      <c r="TNR928" s="381"/>
      <c r="TNS928" s="509"/>
      <c r="TNT928" s="509"/>
      <c r="TNU928" s="509"/>
      <c r="TNV928" s="69"/>
      <c r="TNW928" s="509"/>
      <c r="TNX928" s="380"/>
      <c r="TNY928" s="381"/>
      <c r="TNZ928" s="509"/>
      <c r="TOA928" s="509"/>
      <c r="TOB928" s="509"/>
      <c r="TOC928" s="69"/>
      <c r="TOD928" s="509"/>
      <c r="TOE928" s="380"/>
      <c r="TOF928" s="381"/>
      <c r="TOG928" s="509"/>
      <c r="TOH928" s="509"/>
      <c r="TOI928" s="509"/>
      <c r="TOJ928" s="69"/>
      <c r="TOK928" s="509"/>
      <c r="TOL928" s="380"/>
      <c r="TOM928" s="381"/>
      <c r="TON928" s="509"/>
      <c r="TOO928" s="509"/>
      <c r="TOP928" s="509"/>
      <c r="TOQ928" s="69"/>
      <c r="TOR928" s="509"/>
      <c r="TOS928" s="380"/>
      <c r="TOT928" s="381"/>
      <c r="TOU928" s="509"/>
      <c r="TOV928" s="509"/>
      <c r="TOW928" s="509"/>
      <c r="TOX928" s="69"/>
      <c r="TOY928" s="509"/>
      <c r="TOZ928" s="380"/>
      <c r="TPA928" s="381"/>
      <c r="TPB928" s="509"/>
      <c r="TPC928" s="509"/>
      <c r="TPD928" s="509"/>
      <c r="TPE928" s="69"/>
      <c r="TPF928" s="509"/>
      <c r="TPG928" s="380"/>
      <c r="TPH928" s="381"/>
      <c r="TPI928" s="509"/>
      <c r="TPJ928" s="509"/>
      <c r="TPK928" s="509"/>
      <c r="TPL928" s="69"/>
      <c r="TPM928" s="509"/>
      <c r="TPN928" s="380"/>
      <c r="TPO928" s="381"/>
      <c r="TPP928" s="509"/>
      <c r="TPQ928" s="509"/>
      <c r="TPR928" s="509"/>
      <c r="TPS928" s="69"/>
      <c r="TPT928" s="509"/>
      <c r="TPU928" s="380"/>
      <c r="TPV928" s="381"/>
      <c r="TPW928" s="509"/>
      <c r="TPX928" s="509"/>
      <c r="TPY928" s="509"/>
      <c r="TPZ928" s="69"/>
      <c r="TQA928" s="509"/>
      <c r="TQB928" s="380"/>
      <c r="TQC928" s="381"/>
      <c r="TQD928" s="509"/>
      <c r="TQE928" s="509"/>
      <c r="TQF928" s="509"/>
      <c r="TQG928" s="69"/>
      <c r="TQH928" s="509"/>
      <c r="TQI928" s="380"/>
      <c r="TQJ928" s="381"/>
      <c r="TQK928" s="509"/>
      <c r="TQL928" s="509"/>
      <c r="TQM928" s="509"/>
      <c r="TQN928" s="69"/>
      <c r="TQO928" s="509"/>
      <c r="TQP928" s="380"/>
      <c r="TQQ928" s="381"/>
      <c r="TQR928" s="509"/>
      <c r="TQS928" s="509"/>
      <c r="TQT928" s="509"/>
      <c r="TQU928" s="69"/>
      <c r="TQV928" s="509"/>
      <c r="TQW928" s="380"/>
      <c r="TQX928" s="381"/>
      <c r="TQY928" s="509"/>
      <c r="TQZ928" s="509"/>
      <c r="TRA928" s="509"/>
      <c r="TRB928" s="69"/>
      <c r="TRC928" s="509"/>
      <c r="TRD928" s="380"/>
      <c r="TRE928" s="381"/>
      <c r="TRF928" s="509"/>
      <c r="TRG928" s="509"/>
      <c r="TRH928" s="509"/>
      <c r="TRI928" s="69"/>
      <c r="TRJ928" s="509"/>
      <c r="TRK928" s="380"/>
      <c r="TRL928" s="381"/>
      <c r="TRM928" s="509"/>
      <c r="TRN928" s="509"/>
      <c r="TRO928" s="509"/>
      <c r="TRP928" s="69"/>
      <c r="TRQ928" s="509"/>
      <c r="TRR928" s="380"/>
      <c r="TRS928" s="381"/>
      <c r="TRT928" s="509"/>
      <c r="TRU928" s="509"/>
      <c r="TRV928" s="509"/>
      <c r="TRW928" s="69"/>
      <c r="TRX928" s="509"/>
      <c r="TRY928" s="380"/>
      <c r="TRZ928" s="381"/>
      <c r="TSA928" s="509"/>
      <c r="TSB928" s="509"/>
      <c r="TSC928" s="509"/>
      <c r="TSD928" s="69"/>
      <c r="TSE928" s="509"/>
      <c r="TSF928" s="380"/>
      <c r="TSG928" s="381"/>
      <c r="TSH928" s="509"/>
      <c r="TSI928" s="509"/>
      <c r="TSJ928" s="509"/>
      <c r="TSK928" s="69"/>
      <c r="TSL928" s="509"/>
      <c r="TSM928" s="380"/>
      <c r="TSN928" s="381"/>
      <c r="TSO928" s="509"/>
      <c r="TSP928" s="509"/>
      <c r="TSQ928" s="509"/>
      <c r="TSR928" s="69"/>
      <c r="TSS928" s="509"/>
      <c r="TST928" s="380"/>
      <c r="TSU928" s="381"/>
      <c r="TSV928" s="509"/>
      <c r="TSW928" s="509"/>
      <c r="TSX928" s="509"/>
      <c r="TSY928" s="69"/>
      <c r="TSZ928" s="509"/>
      <c r="TTA928" s="380"/>
      <c r="TTB928" s="381"/>
      <c r="TTC928" s="509"/>
      <c r="TTD928" s="509"/>
      <c r="TTE928" s="509"/>
      <c r="TTF928" s="69"/>
      <c r="TTG928" s="509"/>
      <c r="TTH928" s="380"/>
      <c r="TTI928" s="381"/>
      <c r="TTJ928" s="509"/>
      <c r="TTK928" s="509"/>
      <c r="TTL928" s="509"/>
      <c r="TTM928" s="69"/>
      <c r="TTN928" s="509"/>
      <c r="TTO928" s="380"/>
      <c r="TTP928" s="381"/>
      <c r="TTQ928" s="509"/>
      <c r="TTR928" s="509"/>
      <c r="TTS928" s="509"/>
      <c r="TTT928" s="69"/>
      <c r="TTU928" s="509"/>
      <c r="TTV928" s="380"/>
      <c r="TTW928" s="381"/>
      <c r="TTX928" s="509"/>
      <c r="TTY928" s="509"/>
      <c r="TTZ928" s="509"/>
      <c r="TUA928" s="69"/>
      <c r="TUB928" s="509"/>
      <c r="TUC928" s="380"/>
      <c r="TUD928" s="381"/>
      <c r="TUE928" s="509"/>
      <c r="TUF928" s="509"/>
      <c r="TUG928" s="509"/>
      <c r="TUH928" s="69"/>
      <c r="TUI928" s="509"/>
      <c r="TUJ928" s="380"/>
      <c r="TUK928" s="381"/>
      <c r="TUL928" s="509"/>
      <c r="TUM928" s="509"/>
      <c r="TUN928" s="509"/>
      <c r="TUO928" s="69"/>
      <c r="TUP928" s="509"/>
      <c r="TUQ928" s="380"/>
      <c r="TUR928" s="381"/>
      <c r="TUS928" s="509"/>
      <c r="TUT928" s="509"/>
      <c r="TUU928" s="509"/>
      <c r="TUV928" s="69"/>
      <c r="TUW928" s="509"/>
      <c r="TUX928" s="380"/>
      <c r="TUY928" s="381"/>
      <c r="TUZ928" s="509"/>
      <c r="TVA928" s="509"/>
      <c r="TVB928" s="509"/>
      <c r="TVC928" s="69"/>
      <c r="TVD928" s="509"/>
      <c r="TVE928" s="380"/>
      <c r="TVF928" s="381"/>
      <c r="TVG928" s="509"/>
      <c r="TVH928" s="509"/>
      <c r="TVI928" s="509"/>
      <c r="TVJ928" s="69"/>
      <c r="TVK928" s="509"/>
      <c r="TVL928" s="380"/>
      <c r="TVM928" s="381"/>
      <c r="TVN928" s="509"/>
      <c r="TVO928" s="509"/>
      <c r="TVP928" s="509"/>
      <c r="TVQ928" s="69"/>
      <c r="TVR928" s="509"/>
      <c r="TVS928" s="380"/>
      <c r="TVT928" s="381"/>
      <c r="TVU928" s="509"/>
      <c r="TVV928" s="509"/>
      <c r="TVW928" s="509"/>
      <c r="TVX928" s="69"/>
      <c r="TVY928" s="509"/>
      <c r="TVZ928" s="380"/>
      <c r="TWA928" s="381"/>
      <c r="TWB928" s="509"/>
      <c r="TWC928" s="509"/>
      <c r="TWD928" s="509"/>
      <c r="TWE928" s="69"/>
      <c r="TWF928" s="509"/>
      <c r="TWG928" s="380"/>
      <c r="TWH928" s="381"/>
      <c r="TWI928" s="509"/>
      <c r="TWJ928" s="509"/>
      <c r="TWK928" s="509"/>
      <c r="TWL928" s="69"/>
      <c r="TWM928" s="509"/>
      <c r="TWN928" s="380"/>
      <c r="TWO928" s="381"/>
      <c r="TWP928" s="509"/>
      <c r="TWQ928" s="509"/>
      <c r="TWR928" s="509"/>
      <c r="TWS928" s="69"/>
      <c r="TWT928" s="509"/>
      <c r="TWU928" s="380"/>
      <c r="TWV928" s="381"/>
      <c r="TWW928" s="509"/>
      <c r="TWX928" s="509"/>
      <c r="TWY928" s="509"/>
      <c r="TWZ928" s="69"/>
      <c r="TXA928" s="509"/>
      <c r="TXB928" s="380"/>
      <c r="TXC928" s="381"/>
      <c r="TXD928" s="509"/>
      <c r="TXE928" s="509"/>
      <c r="TXF928" s="509"/>
      <c r="TXG928" s="69"/>
      <c r="TXH928" s="509"/>
      <c r="TXI928" s="380"/>
      <c r="TXJ928" s="381"/>
      <c r="TXK928" s="509"/>
      <c r="TXL928" s="509"/>
      <c r="TXM928" s="509"/>
      <c r="TXN928" s="69"/>
      <c r="TXO928" s="509"/>
      <c r="TXP928" s="380"/>
      <c r="TXQ928" s="381"/>
      <c r="TXR928" s="509"/>
      <c r="TXS928" s="509"/>
      <c r="TXT928" s="509"/>
      <c r="TXU928" s="69"/>
      <c r="TXV928" s="509"/>
      <c r="TXW928" s="380"/>
      <c r="TXX928" s="381"/>
      <c r="TXY928" s="509"/>
      <c r="TXZ928" s="509"/>
      <c r="TYA928" s="509"/>
      <c r="TYB928" s="69"/>
      <c r="TYC928" s="509"/>
      <c r="TYD928" s="380"/>
      <c r="TYE928" s="381"/>
      <c r="TYF928" s="509"/>
      <c r="TYG928" s="509"/>
      <c r="TYH928" s="509"/>
      <c r="TYI928" s="69"/>
      <c r="TYJ928" s="509"/>
      <c r="TYK928" s="380"/>
      <c r="TYL928" s="381"/>
      <c r="TYM928" s="509"/>
      <c r="TYN928" s="509"/>
      <c r="TYO928" s="509"/>
      <c r="TYP928" s="69"/>
      <c r="TYQ928" s="509"/>
      <c r="TYR928" s="380"/>
      <c r="TYS928" s="381"/>
      <c r="TYT928" s="509"/>
      <c r="TYU928" s="509"/>
      <c r="TYV928" s="509"/>
      <c r="TYW928" s="69"/>
      <c r="TYX928" s="509"/>
      <c r="TYY928" s="380"/>
      <c r="TYZ928" s="381"/>
      <c r="TZA928" s="509"/>
      <c r="TZB928" s="509"/>
      <c r="TZC928" s="509"/>
      <c r="TZD928" s="69"/>
      <c r="TZE928" s="509"/>
      <c r="TZF928" s="380"/>
      <c r="TZG928" s="381"/>
      <c r="TZH928" s="509"/>
      <c r="TZI928" s="509"/>
      <c r="TZJ928" s="509"/>
      <c r="TZK928" s="69"/>
      <c r="TZL928" s="509"/>
      <c r="TZM928" s="380"/>
      <c r="TZN928" s="381"/>
      <c r="TZO928" s="509"/>
      <c r="TZP928" s="509"/>
      <c r="TZQ928" s="509"/>
      <c r="TZR928" s="69"/>
      <c r="TZS928" s="509"/>
      <c r="TZT928" s="380"/>
      <c r="TZU928" s="381"/>
      <c r="TZV928" s="509"/>
      <c r="TZW928" s="509"/>
      <c r="TZX928" s="509"/>
      <c r="TZY928" s="69"/>
      <c r="TZZ928" s="509"/>
      <c r="UAA928" s="380"/>
      <c r="UAB928" s="381"/>
      <c r="UAC928" s="509"/>
      <c r="UAD928" s="509"/>
      <c r="UAE928" s="509"/>
      <c r="UAF928" s="69"/>
      <c r="UAG928" s="509"/>
      <c r="UAH928" s="380"/>
      <c r="UAI928" s="381"/>
      <c r="UAJ928" s="509"/>
      <c r="UAK928" s="509"/>
      <c r="UAL928" s="509"/>
      <c r="UAM928" s="69"/>
      <c r="UAN928" s="509"/>
      <c r="UAO928" s="380"/>
      <c r="UAP928" s="381"/>
      <c r="UAQ928" s="509"/>
      <c r="UAR928" s="509"/>
      <c r="UAS928" s="509"/>
      <c r="UAT928" s="69"/>
      <c r="UAU928" s="509"/>
      <c r="UAV928" s="380"/>
      <c r="UAW928" s="381"/>
      <c r="UAX928" s="509"/>
      <c r="UAY928" s="509"/>
      <c r="UAZ928" s="509"/>
      <c r="UBA928" s="69"/>
      <c r="UBB928" s="509"/>
      <c r="UBC928" s="380"/>
      <c r="UBD928" s="381"/>
      <c r="UBE928" s="509"/>
      <c r="UBF928" s="509"/>
      <c r="UBG928" s="509"/>
      <c r="UBH928" s="69"/>
      <c r="UBI928" s="509"/>
      <c r="UBJ928" s="380"/>
      <c r="UBK928" s="381"/>
      <c r="UBL928" s="509"/>
      <c r="UBM928" s="509"/>
      <c r="UBN928" s="509"/>
      <c r="UBO928" s="69"/>
      <c r="UBP928" s="509"/>
      <c r="UBQ928" s="380"/>
      <c r="UBR928" s="381"/>
      <c r="UBS928" s="509"/>
      <c r="UBT928" s="509"/>
      <c r="UBU928" s="509"/>
      <c r="UBV928" s="69"/>
      <c r="UBW928" s="509"/>
      <c r="UBX928" s="380"/>
      <c r="UBY928" s="381"/>
      <c r="UBZ928" s="509"/>
      <c r="UCA928" s="509"/>
      <c r="UCB928" s="509"/>
      <c r="UCC928" s="69"/>
      <c r="UCD928" s="509"/>
      <c r="UCE928" s="380"/>
      <c r="UCF928" s="381"/>
      <c r="UCG928" s="509"/>
      <c r="UCH928" s="509"/>
      <c r="UCI928" s="509"/>
      <c r="UCJ928" s="69"/>
      <c r="UCK928" s="509"/>
      <c r="UCL928" s="380"/>
      <c r="UCM928" s="381"/>
      <c r="UCN928" s="509"/>
      <c r="UCO928" s="509"/>
      <c r="UCP928" s="509"/>
      <c r="UCQ928" s="69"/>
      <c r="UCR928" s="509"/>
      <c r="UCS928" s="380"/>
      <c r="UCT928" s="381"/>
      <c r="UCU928" s="509"/>
      <c r="UCV928" s="509"/>
      <c r="UCW928" s="509"/>
      <c r="UCX928" s="69"/>
      <c r="UCY928" s="509"/>
      <c r="UCZ928" s="380"/>
      <c r="UDA928" s="381"/>
      <c r="UDB928" s="509"/>
      <c r="UDC928" s="509"/>
      <c r="UDD928" s="509"/>
      <c r="UDE928" s="69"/>
      <c r="UDF928" s="509"/>
      <c r="UDG928" s="380"/>
      <c r="UDH928" s="381"/>
      <c r="UDI928" s="509"/>
      <c r="UDJ928" s="509"/>
      <c r="UDK928" s="509"/>
      <c r="UDL928" s="69"/>
      <c r="UDM928" s="509"/>
      <c r="UDN928" s="380"/>
      <c r="UDO928" s="381"/>
      <c r="UDP928" s="509"/>
      <c r="UDQ928" s="509"/>
      <c r="UDR928" s="509"/>
      <c r="UDS928" s="69"/>
      <c r="UDT928" s="509"/>
      <c r="UDU928" s="380"/>
      <c r="UDV928" s="381"/>
      <c r="UDW928" s="509"/>
      <c r="UDX928" s="509"/>
      <c r="UDY928" s="509"/>
      <c r="UDZ928" s="69"/>
      <c r="UEA928" s="509"/>
      <c r="UEB928" s="380"/>
      <c r="UEC928" s="381"/>
      <c r="UED928" s="509"/>
      <c r="UEE928" s="509"/>
      <c r="UEF928" s="509"/>
      <c r="UEG928" s="69"/>
      <c r="UEH928" s="509"/>
      <c r="UEI928" s="380"/>
      <c r="UEJ928" s="381"/>
      <c r="UEK928" s="509"/>
      <c r="UEL928" s="509"/>
      <c r="UEM928" s="509"/>
      <c r="UEN928" s="69"/>
      <c r="UEO928" s="509"/>
      <c r="UEP928" s="380"/>
      <c r="UEQ928" s="381"/>
      <c r="UER928" s="509"/>
      <c r="UES928" s="509"/>
      <c r="UET928" s="509"/>
      <c r="UEU928" s="69"/>
      <c r="UEV928" s="509"/>
      <c r="UEW928" s="380"/>
      <c r="UEX928" s="381"/>
      <c r="UEY928" s="509"/>
      <c r="UEZ928" s="509"/>
      <c r="UFA928" s="509"/>
      <c r="UFB928" s="69"/>
      <c r="UFC928" s="509"/>
      <c r="UFD928" s="380"/>
      <c r="UFE928" s="381"/>
      <c r="UFF928" s="509"/>
      <c r="UFG928" s="509"/>
      <c r="UFH928" s="509"/>
      <c r="UFI928" s="69"/>
      <c r="UFJ928" s="509"/>
      <c r="UFK928" s="380"/>
      <c r="UFL928" s="381"/>
      <c r="UFM928" s="509"/>
      <c r="UFN928" s="509"/>
      <c r="UFO928" s="509"/>
      <c r="UFP928" s="69"/>
      <c r="UFQ928" s="509"/>
      <c r="UFR928" s="380"/>
      <c r="UFS928" s="381"/>
      <c r="UFT928" s="509"/>
      <c r="UFU928" s="509"/>
      <c r="UFV928" s="509"/>
      <c r="UFW928" s="69"/>
      <c r="UFX928" s="509"/>
      <c r="UFY928" s="380"/>
      <c r="UFZ928" s="381"/>
      <c r="UGA928" s="509"/>
      <c r="UGB928" s="509"/>
      <c r="UGC928" s="509"/>
      <c r="UGD928" s="69"/>
      <c r="UGE928" s="509"/>
      <c r="UGF928" s="380"/>
      <c r="UGG928" s="381"/>
      <c r="UGH928" s="509"/>
      <c r="UGI928" s="509"/>
      <c r="UGJ928" s="509"/>
      <c r="UGK928" s="69"/>
      <c r="UGL928" s="509"/>
      <c r="UGM928" s="380"/>
      <c r="UGN928" s="381"/>
      <c r="UGO928" s="509"/>
      <c r="UGP928" s="509"/>
      <c r="UGQ928" s="509"/>
      <c r="UGR928" s="69"/>
      <c r="UGS928" s="509"/>
      <c r="UGT928" s="380"/>
      <c r="UGU928" s="381"/>
      <c r="UGV928" s="509"/>
      <c r="UGW928" s="509"/>
      <c r="UGX928" s="509"/>
      <c r="UGY928" s="69"/>
      <c r="UGZ928" s="509"/>
      <c r="UHA928" s="380"/>
      <c r="UHB928" s="381"/>
      <c r="UHC928" s="509"/>
      <c r="UHD928" s="509"/>
      <c r="UHE928" s="509"/>
      <c r="UHF928" s="69"/>
      <c r="UHG928" s="509"/>
      <c r="UHH928" s="380"/>
      <c r="UHI928" s="381"/>
      <c r="UHJ928" s="509"/>
      <c r="UHK928" s="509"/>
      <c r="UHL928" s="509"/>
      <c r="UHM928" s="69"/>
      <c r="UHN928" s="509"/>
      <c r="UHO928" s="380"/>
      <c r="UHP928" s="381"/>
      <c r="UHQ928" s="509"/>
      <c r="UHR928" s="509"/>
      <c r="UHS928" s="509"/>
      <c r="UHT928" s="69"/>
      <c r="UHU928" s="509"/>
      <c r="UHV928" s="380"/>
      <c r="UHW928" s="381"/>
      <c r="UHX928" s="509"/>
      <c r="UHY928" s="509"/>
      <c r="UHZ928" s="509"/>
      <c r="UIA928" s="69"/>
      <c r="UIB928" s="509"/>
      <c r="UIC928" s="380"/>
      <c r="UID928" s="381"/>
      <c r="UIE928" s="509"/>
      <c r="UIF928" s="509"/>
      <c r="UIG928" s="509"/>
      <c r="UIH928" s="69"/>
      <c r="UII928" s="509"/>
      <c r="UIJ928" s="380"/>
      <c r="UIK928" s="381"/>
      <c r="UIL928" s="509"/>
      <c r="UIM928" s="509"/>
      <c r="UIN928" s="509"/>
      <c r="UIO928" s="69"/>
      <c r="UIP928" s="509"/>
      <c r="UIQ928" s="380"/>
      <c r="UIR928" s="381"/>
      <c r="UIS928" s="509"/>
      <c r="UIT928" s="509"/>
      <c r="UIU928" s="509"/>
      <c r="UIV928" s="69"/>
      <c r="UIW928" s="509"/>
      <c r="UIX928" s="380"/>
      <c r="UIY928" s="381"/>
      <c r="UIZ928" s="509"/>
      <c r="UJA928" s="509"/>
      <c r="UJB928" s="509"/>
      <c r="UJC928" s="69"/>
      <c r="UJD928" s="509"/>
      <c r="UJE928" s="380"/>
      <c r="UJF928" s="381"/>
      <c r="UJG928" s="509"/>
      <c r="UJH928" s="509"/>
      <c r="UJI928" s="509"/>
      <c r="UJJ928" s="69"/>
      <c r="UJK928" s="509"/>
      <c r="UJL928" s="380"/>
      <c r="UJM928" s="381"/>
      <c r="UJN928" s="509"/>
      <c r="UJO928" s="509"/>
      <c r="UJP928" s="509"/>
      <c r="UJQ928" s="69"/>
      <c r="UJR928" s="509"/>
      <c r="UJS928" s="380"/>
      <c r="UJT928" s="381"/>
      <c r="UJU928" s="509"/>
      <c r="UJV928" s="509"/>
      <c r="UJW928" s="509"/>
      <c r="UJX928" s="69"/>
      <c r="UJY928" s="509"/>
      <c r="UJZ928" s="380"/>
      <c r="UKA928" s="381"/>
      <c r="UKB928" s="509"/>
      <c r="UKC928" s="509"/>
      <c r="UKD928" s="509"/>
      <c r="UKE928" s="69"/>
      <c r="UKF928" s="509"/>
      <c r="UKG928" s="380"/>
      <c r="UKH928" s="381"/>
      <c r="UKI928" s="509"/>
      <c r="UKJ928" s="509"/>
      <c r="UKK928" s="509"/>
      <c r="UKL928" s="69"/>
      <c r="UKM928" s="509"/>
      <c r="UKN928" s="380"/>
      <c r="UKO928" s="381"/>
      <c r="UKP928" s="509"/>
      <c r="UKQ928" s="509"/>
      <c r="UKR928" s="509"/>
      <c r="UKS928" s="69"/>
      <c r="UKT928" s="509"/>
      <c r="UKU928" s="380"/>
      <c r="UKV928" s="381"/>
      <c r="UKW928" s="509"/>
      <c r="UKX928" s="509"/>
      <c r="UKY928" s="509"/>
      <c r="UKZ928" s="69"/>
      <c r="ULA928" s="509"/>
      <c r="ULB928" s="380"/>
      <c r="ULC928" s="381"/>
      <c r="ULD928" s="509"/>
      <c r="ULE928" s="509"/>
      <c r="ULF928" s="509"/>
      <c r="ULG928" s="69"/>
      <c r="ULH928" s="509"/>
      <c r="ULI928" s="380"/>
      <c r="ULJ928" s="381"/>
      <c r="ULK928" s="509"/>
      <c r="ULL928" s="509"/>
      <c r="ULM928" s="509"/>
      <c r="ULN928" s="69"/>
      <c r="ULO928" s="509"/>
      <c r="ULP928" s="380"/>
      <c r="ULQ928" s="381"/>
      <c r="ULR928" s="509"/>
      <c r="ULS928" s="509"/>
      <c r="ULT928" s="509"/>
      <c r="ULU928" s="69"/>
      <c r="ULV928" s="509"/>
      <c r="ULW928" s="380"/>
      <c r="ULX928" s="381"/>
      <c r="ULY928" s="509"/>
      <c r="ULZ928" s="509"/>
      <c r="UMA928" s="509"/>
      <c r="UMB928" s="69"/>
      <c r="UMC928" s="509"/>
      <c r="UMD928" s="380"/>
      <c r="UME928" s="381"/>
      <c r="UMF928" s="509"/>
      <c r="UMG928" s="509"/>
      <c r="UMH928" s="509"/>
      <c r="UMI928" s="69"/>
      <c r="UMJ928" s="509"/>
      <c r="UMK928" s="380"/>
      <c r="UML928" s="381"/>
      <c r="UMM928" s="509"/>
      <c r="UMN928" s="509"/>
      <c r="UMO928" s="509"/>
      <c r="UMP928" s="69"/>
      <c r="UMQ928" s="509"/>
      <c r="UMR928" s="380"/>
      <c r="UMS928" s="381"/>
      <c r="UMT928" s="509"/>
      <c r="UMU928" s="509"/>
      <c r="UMV928" s="509"/>
      <c r="UMW928" s="69"/>
      <c r="UMX928" s="509"/>
      <c r="UMY928" s="380"/>
      <c r="UMZ928" s="381"/>
      <c r="UNA928" s="509"/>
      <c r="UNB928" s="509"/>
      <c r="UNC928" s="509"/>
      <c r="UND928" s="69"/>
      <c r="UNE928" s="509"/>
      <c r="UNF928" s="380"/>
      <c r="UNG928" s="381"/>
      <c r="UNH928" s="509"/>
      <c r="UNI928" s="509"/>
      <c r="UNJ928" s="509"/>
      <c r="UNK928" s="69"/>
      <c r="UNL928" s="509"/>
      <c r="UNM928" s="380"/>
      <c r="UNN928" s="381"/>
      <c r="UNO928" s="509"/>
      <c r="UNP928" s="509"/>
      <c r="UNQ928" s="509"/>
      <c r="UNR928" s="69"/>
      <c r="UNS928" s="509"/>
      <c r="UNT928" s="380"/>
      <c r="UNU928" s="381"/>
      <c r="UNV928" s="509"/>
      <c r="UNW928" s="509"/>
      <c r="UNX928" s="509"/>
      <c r="UNY928" s="69"/>
      <c r="UNZ928" s="509"/>
      <c r="UOA928" s="380"/>
      <c r="UOB928" s="381"/>
      <c r="UOC928" s="509"/>
      <c r="UOD928" s="509"/>
      <c r="UOE928" s="509"/>
      <c r="UOF928" s="69"/>
      <c r="UOG928" s="509"/>
      <c r="UOH928" s="380"/>
      <c r="UOI928" s="381"/>
      <c r="UOJ928" s="509"/>
      <c r="UOK928" s="509"/>
      <c r="UOL928" s="509"/>
      <c r="UOM928" s="69"/>
      <c r="UON928" s="509"/>
      <c r="UOO928" s="380"/>
      <c r="UOP928" s="381"/>
      <c r="UOQ928" s="509"/>
      <c r="UOR928" s="509"/>
      <c r="UOS928" s="509"/>
      <c r="UOT928" s="69"/>
      <c r="UOU928" s="509"/>
      <c r="UOV928" s="380"/>
      <c r="UOW928" s="381"/>
      <c r="UOX928" s="509"/>
      <c r="UOY928" s="509"/>
      <c r="UOZ928" s="509"/>
      <c r="UPA928" s="69"/>
      <c r="UPB928" s="509"/>
      <c r="UPC928" s="380"/>
      <c r="UPD928" s="381"/>
      <c r="UPE928" s="509"/>
      <c r="UPF928" s="509"/>
      <c r="UPG928" s="509"/>
      <c r="UPH928" s="69"/>
      <c r="UPI928" s="509"/>
      <c r="UPJ928" s="380"/>
      <c r="UPK928" s="381"/>
      <c r="UPL928" s="509"/>
      <c r="UPM928" s="509"/>
      <c r="UPN928" s="509"/>
      <c r="UPO928" s="69"/>
      <c r="UPP928" s="509"/>
      <c r="UPQ928" s="380"/>
      <c r="UPR928" s="381"/>
      <c r="UPS928" s="509"/>
      <c r="UPT928" s="509"/>
      <c r="UPU928" s="509"/>
      <c r="UPV928" s="69"/>
      <c r="UPW928" s="509"/>
      <c r="UPX928" s="380"/>
      <c r="UPY928" s="381"/>
      <c r="UPZ928" s="509"/>
      <c r="UQA928" s="509"/>
      <c r="UQB928" s="509"/>
      <c r="UQC928" s="69"/>
      <c r="UQD928" s="509"/>
      <c r="UQE928" s="380"/>
      <c r="UQF928" s="381"/>
      <c r="UQG928" s="509"/>
      <c r="UQH928" s="509"/>
      <c r="UQI928" s="509"/>
      <c r="UQJ928" s="69"/>
      <c r="UQK928" s="509"/>
      <c r="UQL928" s="380"/>
      <c r="UQM928" s="381"/>
      <c r="UQN928" s="509"/>
      <c r="UQO928" s="509"/>
      <c r="UQP928" s="509"/>
      <c r="UQQ928" s="69"/>
      <c r="UQR928" s="509"/>
      <c r="UQS928" s="380"/>
      <c r="UQT928" s="381"/>
      <c r="UQU928" s="509"/>
      <c r="UQV928" s="509"/>
      <c r="UQW928" s="509"/>
      <c r="UQX928" s="69"/>
      <c r="UQY928" s="509"/>
      <c r="UQZ928" s="380"/>
      <c r="URA928" s="381"/>
      <c r="URB928" s="509"/>
      <c r="URC928" s="509"/>
      <c r="URD928" s="509"/>
      <c r="URE928" s="69"/>
      <c r="URF928" s="509"/>
      <c r="URG928" s="380"/>
      <c r="URH928" s="381"/>
      <c r="URI928" s="509"/>
      <c r="URJ928" s="509"/>
      <c r="URK928" s="509"/>
      <c r="URL928" s="69"/>
      <c r="URM928" s="509"/>
      <c r="URN928" s="380"/>
      <c r="URO928" s="381"/>
      <c r="URP928" s="509"/>
      <c r="URQ928" s="509"/>
      <c r="URR928" s="509"/>
      <c r="URS928" s="69"/>
      <c r="URT928" s="509"/>
      <c r="URU928" s="380"/>
      <c r="URV928" s="381"/>
      <c r="URW928" s="509"/>
      <c r="URX928" s="509"/>
      <c r="URY928" s="509"/>
      <c r="URZ928" s="69"/>
      <c r="USA928" s="509"/>
      <c r="USB928" s="380"/>
      <c r="USC928" s="381"/>
      <c r="USD928" s="509"/>
      <c r="USE928" s="509"/>
      <c r="USF928" s="509"/>
      <c r="USG928" s="69"/>
      <c r="USH928" s="509"/>
      <c r="USI928" s="380"/>
      <c r="USJ928" s="381"/>
      <c r="USK928" s="509"/>
      <c r="USL928" s="509"/>
      <c r="USM928" s="509"/>
      <c r="USN928" s="69"/>
      <c r="USO928" s="509"/>
      <c r="USP928" s="380"/>
      <c r="USQ928" s="381"/>
      <c r="USR928" s="509"/>
      <c r="USS928" s="509"/>
      <c r="UST928" s="509"/>
      <c r="USU928" s="69"/>
      <c r="USV928" s="509"/>
      <c r="USW928" s="380"/>
      <c r="USX928" s="381"/>
      <c r="USY928" s="509"/>
      <c r="USZ928" s="509"/>
      <c r="UTA928" s="509"/>
      <c r="UTB928" s="69"/>
      <c r="UTC928" s="509"/>
      <c r="UTD928" s="380"/>
      <c r="UTE928" s="381"/>
      <c r="UTF928" s="509"/>
      <c r="UTG928" s="509"/>
      <c r="UTH928" s="509"/>
      <c r="UTI928" s="69"/>
      <c r="UTJ928" s="509"/>
      <c r="UTK928" s="380"/>
      <c r="UTL928" s="381"/>
      <c r="UTM928" s="509"/>
      <c r="UTN928" s="509"/>
      <c r="UTO928" s="509"/>
      <c r="UTP928" s="69"/>
      <c r="UTQ928" s="509"/>
      <c r="UTR928" s="380"/>
      <c r="UTS928" s="381"/>
      <c r="UTT928" s="509"/>
      <c r="UTU928" s="509"/>
      <c r="UTV928" s="509"/>
      <c r="UTW928" s="69"/>
      <c r="UTX928" s="509"/>
      <c r="UTY928" s="380"/>
      <c r="UTZ928" s="381"/>
      <c r="UUA928" s="509"/>
      <c r="UUB928" s="509"/>
      <c r="UUC928" s="509"/>
      <c r="UUD928" s="69"/>
      <c r="UUE928" s="509"/>
      <c r="UUF928" s="380"/>
      <c r="UUG928" s="381"/>
      <c r="UUH928" s="509"/>
      <c r="UUI928" s="509"/>
      <c r="UUJ928" s="509"/>
      <c r="UUK928" s="69"/>
      <c r="UUL928" s="509"/>
      <c r="UUM928" s="380"/>
      <c r="UUN928" s="381"/>
      <c r="UUO928" s="509"/>
      <c r="UUP928" s="509"/>
      <c r="UUQ928" s="509"/>
      <c r="UUR928" s="69"/>
      <c r="UUS928" s="509"/>
      <c r="UUT928" s="380"/>
      <c r="UUU928" s="381"/>
      <c r="UUV928" s="509"/>
      <c r="UUW928" s="509"/>
      <c r="UUX928" s="509"/>
      <c r="UUY928" s="69"/>
      <c r="UUZ928" s="509"/>
      <c r="UVA928" s="380"/>
      <c r="UVB928" s="381"/>
      <c r="UVC928" s="509"/>
      <c r="UVD928" s="509"/>
      <c r="UVE928" s="509"/>
      <c r="UVF928" s="69"/>
      <c r="UVG928" s="509"/>
      <c r="UVH928" s="380"/>
      <c r="UVI928" s="381"/>
      <c r="UVJ928" s="509"/>
      <c r="UVK928" s="509"/>
      <c r="UVL928" s="509"/>
      <c r="UVM928" s="69"/>
      <c r="UVN928" s="509"/>
      <c r="UVO928" s="380"/>
      <c r="UVP928" s="381"/>
      <c r="UVQ928" s="509"/>
      <c r="UVR928" s="509"/>
      <c r="UVS928" s="509"/>
      <c r="UVT928" s="69"/>
      <c r="UVU928" s="509"/>
      <c r="UVV928" s="380"/>
      <c r="UVW928" s="381"/>
      <c r="UVX928" s="509"/>
      <c r="UVY928" s="509"/>
      <c r="UVZ928" s="509"/>
      <c r="UWA928" s="69"/>
      <c r="UWB928" s="509"/>
      <c r="UWC928" s="380"/>
      <c r="UWD928" s="381"/>
      <c r="UWE928" s="509"/>
      <c r="UWF928" s="509"/>
      <c r="UWG928" s="509"/>
      <c r="UWH928" s="69"/>
      <c r="UWI928" s="509"/>
      <c r="UWJ928" s="380"/>
      <c r="UWK928" s="381"/>
      <c r="UWL928" s="509"/>
      <c r="UWM928" s="509"/>
      <c r="UWN928" s="509"/>
      <c r="UWO928" s="69"/>
      <c r="UWP928" s="509"/>
      <c r="UWQ928" s="380"/>
      <c r="UWR928" s="381"/>
      <c r="UWS928" s="509"/>
      <c r="UWT928" s="509"/>
      <c r="UWU928" s="509"/>
      <c r="UWV928" s="69"/>
      <c r="UWW928" s="509"/>
      <c r="UWX928" s="380"/>
      <c r="UWY928" s="381"/>
      <c r="UWZ928" s="509"/>
      <c r="UXA928" s="509"/>
      <c r="UXB928" s="509"/>
      <c r="UXC928" s="69"/>
      <c r="UXD928" s="509"/>
      <c r="UXE928" s="380"/>
      <c r="UXF928" s="381"/>
      <c r="UXG928" s="509"/>
      <c r="UXH928" s="509"/>
      <c r="UXI928" s="509"/>
      <c r="UXJ928" s="69"/>
      <c r="UXK928" s="509"/>
      <c r="UXL928" s="380"/>
      <c r="UXM928" s="381"/>
      <c r="UXN928" s="509"/>
      <c r="UXO928" s="509"/>
      <c r="UXP928" s="509"/>
      <c r="UXQ928" s="69"/>
      <c r="UXR928" s="509"/>
      <c r="UXS928" s="380"/>
      <c r="UXT928" s="381"/>
      <c r="UXU928" s="509"/>
      <c r="UXV928" s="509"/>
      <c r="UXW928" s="509"/>
      <c r="UXX928" s="69"/>
      <c r="UXY928" s="509"/>
      <c r="UXZ928" s="380"/>
      <c r="UYA928" s="381"/>
      <c r="UYB928" s="509"/>
      <c r="UYC928" s="509"/>
      <c r="UYD928" s="509"/>
      <c r="UYE928" s="69"/>
      <c r="UYF928" s="509"/>
      <c r="UYG928" s="380"/>
      <c r="UYH928" s="381"/>
      <c r="UYI928" s="509"/>
      <c r="UYJ928" s="509"/>
      <c r="UYK928" s="509"/>
      <c r="UYL928" s="69"/>
      <c r="UYM928" s="509"/>
      <c r="UYN928" s="380"/>
      <c r="UYO928" s="381"/>
      <c r="UYP928" s="509"/>
      <c r="UYQ928" s="509"/>
      <c r="UYR928" s="509"/>
      <c r="UYS928" s="69"/>
      <c r="UYT928" s="509"/>
      <c r="UYU928" s="380"/>
      <c r="UYV928" s="381"/>
      <c r="UYW928" s="509"/>
      <c r="UYX928" s="509"/>
      <c r="UYY928" s="509"/>
      <c r="UYZ928" s="69"/>
      <c r="UZA928" s="509"/>
      <c r="UZB928" s="380"/>
      <c r="UZC928" s="381"/>
      <c r="UZD928" s="509"/>
      <c r="UZE928" s="509"/>
      <c r="UZF928" s="509"/>
      <c r="UZG928" s="69"/>
      <c r="UZH928" s="509"/>
      <c r="UZI928" s="380"/>
      <c r="UZJ928" s="381"/>
      <c r="UZK928" s="509"/>
      <c r="UZL928" s="509"/>
      <c r="UZM928" s="509"/>
      <c r="UZN928" s="69"/>
      <c r="UZO928" s="509"/>
      <c r="UZP928" s="380"/>
      <c r="UZQ928" s="381"/>
      <c r="UZR928" s="509"/>
      <c r="UZS928" s="509"/>
      <c r="UZT928" s="509"/>
      <c r="UZU928" s="69"/>
      <c r="UZV928" s="509"/>
      <c r="UZW928" s="380"/>
      <c r="UZX928" s="381"/>
      <c r="UZY928" s="509"/>
      <c r="UZZ928" s="509"/>
      <c r="VAA928" s="509"/>
      <c r="VAB928" s="69"/>
      <c r="VAC928" s="509"/>
      <c r="VAD928" s="380"/>
      <c r="VAE928" s="381"/>
      <c r="VAF928" s="509"/>
      <c r="VAG928" s="509"/>
      <c r="VAH928" s="509"/>
      <c r="VAI928" s="69"/>
      <c r="VAJ928" s="509"/>
      <c r="VAK928" s="380"/>
      <c r="VAL928" s="381"/>
      <c r="VAM928" s="509"/>
      <c r="VAN928" s="509"/>
      <c r="VAO928" s="509"/>
      <c r="VAP928" s="69"/>
      <c r="VAQ928" s="509"/>
      <c r="VAR928" s="380"/>
      <c r="VAS928" s="381"/>
      <c r="VAT928" s="509"/>
      <c r="VAU928" s="509"/>
      <c r="VAV928" s="509"/>
      <c r="VAW928" s="69"/>
      <c r="VAX928" s="509"/>
      <c r="VAY928" s="380"/>
      <c r="VAZ928" s="381"/>
      <c r="VBA928" s="509"/>
      <c r="VBB928" s="509"/>
      <c r="VBC928" s="509"/>
      <c r="VBD928" s="69"/>
      <c r="VBE928" s="509"/>
      <c r="VBF928" s="380"/>
      <c r="VBG928" s="381"/>
      <c r="VBH928" s="509"/>
      <c r="VBI928" s="509"/>
      <c r="VBJ928" s="509"/>
      <c r="VBK928" s="69"/>
      <c r="VBL928" s="509"/>
      <c r="VBM928" s="380"/>
      <c r="VBN928" s="381"/>
      <c r="VBO928" s="509"/>
      <c r="VBP928" s="509"/>
      <c r="VBQ928" s="509"/>
      <c r="VBR928" s="69"/>
      <c r="VBS928" s="509"/>
      <c r="VBT928" s="380"/>
      <c r="VBU928" s="381"/>
      <c r="VBV928" s="509"/>
      <c r="VBW928" s="509"/>
      <c r="VBX928" s="509"/>
      <c r="VBY928" s="69"/>
      <c r="VBZ928" s="509"/>
      <c r="VCA928" s="380"/>
      <c r="VCB928" s="381"/>
      <c r="VCC928" s="509"/>
      <c r="VCD928" s="509"/>
      <c r="VCE928" s="509"/>
      <c r="VCF928" s="69"/>
      <c r="VCG928" s="509"/>
      <c r="VCH928" s="380"/>
      <c r="VCI928" s="381"/>
      <c r="VCJ928" s="509"/>
      <c r="VCK928" s="509"/>
      <c r="VCL928" s="509"/>
      <c r="VCM928" s="69"/>
      <c r="VCN928" s="509"/>
      <c r="VCO928" s="380"/>
      <c r="VCP928" s="381"/>
      <c r="VCQ928" s="509"/>
      <c r="VCR928" s="509"/>
      <c r="VCS928" s="509"/>
      <c r="VCT928" s="69"/>
      <c r="VCU928" s="509"/>
      <c r="VCV928" s="380"/>
      <c r="VCW928" s="381"/>
      <c r="VCX928" s="509"/>
      <c r="VCY928" s="509"/>
      <c r="VCZ928" s="509"/>
      <c r="VDA928" s="69"/>
      <c r="VDB928" s="509"/>
      <c r="VDC928" s="380"/>
      <c r="VDD928" s="381"/>
      <c r="VDE928" s="509"/>
      <c r="VDF928" s="509"/>
      <c r="VDG928" s="509"/>
      <c r="VDH928" s="69"/>
      <c r="VDI928" s="509"/>
      <c r="VDJ928" s="380"/>
      <c r="VDK928" s="381"/>
      <c r="VDL928" s="509"/>
      <c r="VDM928" s="509"/>
      <c r="VDN928" s="509"/>
      <c r="VDO928" s="69"/>
      <c r="VDP928" s="509"/>
      <c r="VDQ928" s="380"/>
      <c r="VDR928" s="381"/>
      <c r="VDS928" s="509"/>
      <c r="VDT928" s="509"/>
      <c r="VDU928" s="509"/>
      <c r="VDV928" s="69"/>
      <c r="VDW928" s="509"/>
      <c r="VDX928" s="380"/>
      <c r="VDY928" s="381"/>
      <c r="VDZ928" s="509"/>
      <c r="VEA928" s="509"/>
      <c r="VEB928" s="509"/>
      <c r="VEC928" s="69"/>
      <c r="VED928" s="509"/>
      <c r="VEE928" s="380"/>
      <c r="VEF928" s="381"/>
      <c r="VEG928" s="509"/>
      <c r="VEH928" s="509"/>
      <c r="VEI928" s="509"/>
      <c r="VEJ928" s="69"/>
      <c r="VEK928" s="509"/>
      <c r="VEL928" s="380"/>
      <c r="VEM928" s="381"/>
      <c r="VEN928" s="509"/>
      <c r="VEO928" s="509"/>
      <c r="VEP928" s="509"/>
      <c r="VEQ928" s="69"/>
      <c r="VER928" s="509"/>
      <c r="VES928" s="380"/>
      <c r="VET928" s="381"/>
      <c r="VEU928" s="509"/>
      <c r="VEV928" s="509"/>
      <c r="VEW928" s="509"/>
      <c r="VEX928" s="69"/>
      <c r="VEY928" s="509"/>
      <c r="VEZ928" s="380"/>
      <c r="VFA928" s="381"/>
      <c r="VFB928" s="509"/>
      <c r="VFC928" s="509"/>
      <c r="VFD928" s="509"/>
      <c r="VFE928" s="69"/>
      <c r="VFF928" s="509"/>
      <c r="VFG928" s="380"/>
      <c r="VFH928" s="381"/>
      <c r="VFI928" s="509"/>
      <c r="VFJ928" s="509"/>
      <c r="VFK928" s="509"/>
      <c r="VFL928" s="69"/>
      <c r="VFM928" s="509"/>
      <c r="VFN928" s="380"/>
      <c r="VFO928" s="381"/>
      <c r="VFP928" s="509"/>
      <c r="VFQ928" s="509"/>
      <c r="VFR928" s="509"/>
      <c r="VFS928" s="69"/>
      <c r="VFT928" s="509"/>
      <c r="VFU928" s="380"/>
      <c r="VFV928" s="381"/>
      <c r="VFW928" s="509"/>
      <c r="VFX928" s="509"/>
      <c r="VFY928" s="509"/>
      <c r="VFZ928" s="69"/>
      <c r="VGA928" s="509"/>
      <c r="VGB928" s="380"/>
      <c r="VGC928" s="381"/>
      <c r="VGD928" s="509"/>
      <c r="VGE928" s="509"/>
      <c r="VGF928" s="509"/>
      <c r="VGG928" s="69"/>
      <c r="VGH928" s="509"/>
      <c r="VGI928" s="380"/>
      <c r="VGJ928" s="381"/>
      <c r="VGK928" s="509"/>
      <c r="VGL928" s="509"/>
      <c r="VGM928" s="509"/>
      <c r="VGN928" s="69"/>
      <c r="VGO928" s="509"/>
      <c r="VGP928" s="380"/>
      <c r="VGQ928" s="381"/>
      <c r="VGR928" s="509"/>
      <c r="VGS928" s="509"/>
      <c r="VGT928" s="509"/>
      <c r="VGU928" s="69"/>
      <c r="VGV928" s="509"/>
      <c r="VGW928" s="380"/>
      <c r="VGX928" s="381"/>
      <c r="VGY928" s="509"/>
      <c r="VGZ928" s="509"/>
      <c r="VHA928" s="509"/>
      <c r="VHB928" s="69"/>
      <c r="VHC928" s="509"/>
      <c r="VHD928" s="380"/>
      <c r="VHE928" s="381"/>
      <c r="VHF928" s="509"/>
      <c r="VHG928" s="509"/>
      <c r="VHH928" s="509"/>
      <c r="VHI928" s="69"/>
      <c r="VHJ928" s="509"/>
      <c r="VHK928" s="380"/>
      <c r="VHL928" s="381"/>
      <c r="VHM928" s="509"/>
      <c r="VHN928" s="509"/>
      <c r="VHO928" s="509"/>
      <c r="VHP928" s="69"/>
      <c r="VHQ928" s="509"/>
      <c r="VHR928" s="380"/>
      <c r="VHS928" s="381"/>
      <c r="VHT928" s="509"/>
      <c r="VHU928" s="509"/>
      <c r="VHV928" s="509"/>
      <c r="VHW928" s="69"/>
      <c r="VHX928" s="509"/>
      <c r="VHY928" s="380"/>
      <c r="VHZ928" s="381"/>
      <c r="VIA928" s="509"/>
      <c r="VIB928" s="509"/>
      <c r="VIC928" s="509"/>
      <c r="VID928" s="69"/>
      <c r="VIE928" s="509"/>
      <c r="VIF928" s="380"/>
      <c r="VIG928" s="381"/>
      <c r="VIH928" s="509"/>
      <c r="VII928" s="509"/>
      <c r="VIJ928" s="509"/>
      <c r="VIK928" s="69"/>
      <c r="VIL928" s="509"/>
      <c r="VIM928" s="380"/>
      <c r="VIN928" s="381"/>
      <c r="VIO928" s="509"/>
      <c r="VIP928" s="509"/>
      <c r="VIQ928" s="509"/>
      <c r="VIR928" s="69"/>
      <c r="VIS928" s="509"/>
      <c r="VIT928" s="380"/>
      <c r="VIU928" s="381"/>
      <c r="VIV928" s="509"/>
      <c r="VIW928" s="509"/>
      <c r="VIX928" s="509"/>
      <c r="VIY928" s="69"/>
      <c r="VIZ928" s="509"/>
      <c r="VJA928" s="380"/>
      <c r="VJB928" s="381"/>
      <c r="VJC928" s="509"/>
      <c r="VJD928" s="509"/>
      <c r="VJE928" s="509"/>
      <c r="VJF928" s="69"/>
      <c r="VJG928" s="509"/>
      <c r="VJH928" s="380"/>
      <c r="VJI928" s="381"/>
      <c r="VJJ928" s="509"/>
      <c r="VJK928" s="509"/>
      <c r="VJL928" s="509"/>
      <c r="VJM928" s="69"/>
      <c r="VJN928" s="509"/>
      <c r="VJO928" s="380"/>
      <c r="VJP928" s="381"/>
      <c r="VJQ928" s="509"/>
      <c r="VJR928" s="509"/>
      <c r="VJS928" s="509"/>
      <c r="VJT928" s="69"/>
      <c r="VJU928" s="509"/>
      <c r="VJV928" s="380"/>
      <c r="VJW928" s="381"/>
      <c r="VJX928" s="509"/>
      <c r="VJY928" s="509"/>
      <c r="VJZ928" s="509"/>
      <c r="VKA928" s="69"/>
      <c r="VKB928" s="509"/>
      <c r="VKC928" s="380"/>
      <c r="VKD928" s="381"/>
      <c r="VKE928" s="509"/>
      <c r="VKF928" s="509"/>
      <c r="VKG928" s="509"/>
      <c r="VKH928" s="69"/>
      <c r="VKI928" s="509"/>
      <c r="VKJ928" s="380"/>
      <c r="VKK928" s="381"/>
      <c r="VKL928" s="509"/>
      <c r="VKM928" s="509"/>
      <c r="VKN928" s="509"/>
      <c r="VKO928" s="69"/>
      <c r="VKP928" s="509"/>
      <c r="VKQ928" s="380"/>
      <c r="VKR928" s="381"/>
      <c r="VKS928" s="509"/>
      <c r="VKT928" s="509"/>
      <c r="VKU928" s="509"/>
      <c r="VKV928" s="69"/>
      <c r="VKW928" s="509"/>
      <c r="VKX928" s="380"/>
      <c r="VKY928" s="381"/>
      <c r="VKZ928" s="509"/>
      <c r="VLA928" s="509"/>
      <c r="VLB928" s="509"/>
      <c r="VLC928" s="69"/>
      <c r="VLD928" s="509"/>
      <c r="VLE928" s="380"/>
      <c r="VLF928" s="381"/>
      <c r="VLG928" s="509"/>
      <c r="VLH928" s="509"/>
      <c r="VLI928" s="509"/>
      <c r="VLJ928" s="69"/>
      <c r="VLK928" s="509"/>
      <c r="VLL928" s="380"/>
      <c r="VLM928" s="381"/>
      <c r="VLN928" s="509"/>
      <c r="VLO928" s="509"/>
      <c r="VLP928" s="509"/>
      <c r="VLQ928" s="69"/>
      <c r="VLR928" s="509"/>
      <c r="VLS928" s="380"/>
      <c r="VLT928" s="381"/>
      <c r="VLU928" s="509"/>
      <c r="VLV928" s="509"/>
      <c r="VLW928" s="509"/>
      <c r="VLX928" s="69"/>
      <c r="VLY928" s="509"/>
      <c r="VLZ928" s="380"/>
      <c r="VMA928" s="381"/>
      <c r="VMB928" s="509"/>
      <c r="VMC928" s="509"/>
      <c r="VMD928" s="509"/>
      <c r="VME928" s="69"/>
      <c r="VMF928" s="509"/>
      <c r="VMG928" s="380"/>
      <c r="VMH928" s="381"/>
      <c r="VMI928" s="509"/>
      <c r="VMJ928" s="509"/>
      <c r="VMK928" s="509"/>
      <c r="VML928" s="69"/>
      <c r="VMM928" s="509"/>
      <c r="VMN928" s="380"/>
      <c r="VMO928" s="381"/>
      <c r="VMP928" s="509"/>
      <c r="VMQ928" s="509"/>
      <c r="VMR928" s="509"/>
      <c r="VMS928" s="69"/>
      <c r="VMT928" s="509"/>
      <c r="VMU928" s="380"/>
      <c r="VMV928" s="381"/>
      <c r="VMW928" s="509"/>
      <c r="VMX928" s="509"/>
      <c r="VMY928" s="509"/>
      <c r="VMZ928" s="69"/>
      <c r="VNA928" s="509"/>
      <c r="VNB928" s="380"/>
      <c r="VNC928" s="381"/>
      <c r="VND928" s="509"/>
      <c r="VNE928" s="509"/>
      <c r="VNF928" s="509"/>
      <c r="VNG928" s="69"/>
      <c r="VNH928" s="509"/>
      <c r="VNI928" s="380"/>
      <c r="VNJ928" s="381"/>
      <c r="VNK928" s="509"/>
      <c r="VNL928" s="509"/>
      <c r="VNM928" s="509"/>
      <c r="VNN928" s="69"/>
      <c r="VNO928" s="509"/>
      <c r="VNP928" s="380"/>
      <c r="VNQ928" s="381"/>
      <c r="VNR928" s="509"/>
      <c r="VNS928" s="509"/>
      <c r="VNT928" s="509"/>
      <c r="VNU928" s="69"/>
      <c r="VNV928" s="509"/>
      <c r="VNW928" s="380"/>
      <c r="VNX928" s="381"/>
      <c r="VNY928" s="509"/>
      <c r="VNZ928" s="509"/>
      <c r="VOA928" s="509"/>
      <c r="VOB928" s="69"/>
      <c r="VOC928" s="509"/>
      <c r="VOD928" s="380"/>
      <c r="VOE928" s="381"/>
      <c r="VOF928" s="509"/>
      <c r="VOG928" s="509"/>
      <c r="VOH928" s="509"/>
      <c r="VOI928" s="69"/>
      <c r="VOJ928" s="509"/>
      <c r="VOK928" s="380"/>
      <c r="VOL928" s="381"/>
      <c r="VOM928" s="509"/>
      <c r="VON928" s="509"/>
      <c r="VOO928" s="509"/>
      <c r="VOP928" s="69"/>
      <c r="VOQ928" s="509"/>
      <c r="VOR928" s="380"/>
      <c r="VOS928" s="381"/>
      <c r="VOT928" s="509"/>
      <c r="VOU928" s="509"/>
      <c r="VOV928" s="509"/>
      <c r="VOW928" s="69"/>
      <c r="VOX928" s="509"/>
      <c r="VOY928" s="380"/>
      <c r="VOZ928" s="381"/>
      <c r="VPA928" s="509"/>
      <c r="VPB928" s="509"/>
      <c r="VPC928" s="509"/>
      <c r="VPD928" s="69"/>
      <c r="VPE928" s="509"/>
      <c r="VPF928" s="380"/>
      <c r="VPG928" s="381"/>
      <c r="VPH928" s="509"/>
      <c r="VPI928" s="509"/>
      <c r="VPJ928" s="509"/>
      <c r="VPK928" s="69"/>
      <c r="VPL928" s="509"/>
      <c r="VPM928" s="380"/>
      <c r="VPN928" s="381"/>
      <c r="VPO928" s="509"/>
      <c r="VPP928" s="509"/>
      <c r="VPQ928" s="509"/>
      <c r="VPR928" s="69"/>
      <c r="VPS928" s="509"/>
      <c r="VPT928" s="380"/>
      <c r="VPU928" s="381"/>
      <c r="VPV928" s="509"/>
      <c r="VPW928" s="509"/>
      <c r="VPX928" s="509"/>
      <c r="VPY928" s="69"/>
      <c r="VPZ928" s="509"/>
      <c r="VQA928" s="380"/>
      <c r="VQB928" s="381"/>
      <c r="VQC928" s="509"/>
      <c r="VQD928" s="509"/>
      <c r="VQE928" s="509"/>
      <c r="VQF928" s="69"/>
      <c r="VQG928" s="509"/>
      <c r="VQH928" s="380"/>
      <c r="VQI928" s="381"/>
      <c r="VQJ928" s="509"/>
      <c r="VQK928" s="509"/>
      <c r="VQL928" s="509"/>
      <c r="VQM928" s="69"/>
      <c r="VQN928" s="509"/>
      <c r="VQO928" s="380"/>
      <c r="VQP928" s="381"/>
      <c r="VQQ928" s="509"/>
      <c r="VQR928" s="509"/>
      <c r="VQS928" s="509"/>
      <c r="VQT928" s="69"/>
      <c r="VQU928" s="509"/>
      <c r="VQV928" s="380"/>
      <c r="VQW928" s="381"/>
      <c r="VQX928" s="509"/>
      <c r="VQY928" s="509"/>
      <c r="VQZ928" s="509"/>
      <c r="VRA928" s="69"/>
      <c r="VRB928" s="509"/>
      <c r="VRC928" s="380"/>
      <c r="VRD928" s="381"/>
      <c r="VRE928" s="509"/>
      <c r="VRF928" s="509"/>
      <c r="VRG928" s="509"/>
      <c r="VRH928" s="69"/>
      <c r="VRI928" s="509"/>
      <c r="VRJ928" s="380"/>
      <c r="VRK928" s="381"/>
      <c r="VRL928" s="509"/>
      <c r="VRM928" s="509"/>
      <c r="VRN928" s="509"/>
      <c r="VRO928" s="69"/>
      <c r="VRP928" s="509"/>
      <c r="VRQ928" s="380"/>
      <c r="VRR928" s="381"/>
      <c r="VRS928" s="509"/>
      <c r="VRT928" s="509"/>
      <c r="VRU928" s="509"/>
      <c r="VRV928" s="69"/>
      <c r="VRW928" s="509"/>
      <c r="VRX928" s="380"/>
      <c r="VRY928" s="381"/>
      <c r="VRZ928" s="509"/>
      <c r="VSA928" s="509"/>
      <c r="VSB928" s="509"/>
      <c r="VSC928" s="69"/>
      <c r="VSD928" s="509"/>
      <c r="VSE928" s="380"/>
      <c r="VSF928" s="381"/>
      <c r="VSG928" s="509"/>
      <c r="VSH928" s="509"/>
      <c r="VSI928" s="509"/>
      <c r="VSJ928" s="69"/>
      <c r="VSK928" s="509"/>
      <c r="VSL928" s="380"/>
      <c r="VSM928" s="381"/>
      <c r="VSN928" s="509"/>
      <c r="VSO928" s="509"/>
      <c r="VSP928" s="509"/>
      <c r="VSQ928" s="69"/>
      <c r="VSR928" s="509"/>
      <c r="VSS928" s="380"/>
      <c r="VST928" s="381"/>
      <c r="VSU928" s="509"/>
      <c r="VSV928" s="509"/>
      <c r="VSW928" s="509"/>
      <c r="VSX928" s="69"/>
      <c r="VSY928" s="509"/>
      <c r="VSZ928" s="380"/>
      <c r="VTA928" s="381"/>
      <c r="VTB928" s="509"/>
      <c r="VTC928" s="509"/>
      <c r="VTD928" s="509"/>
      <c r="VTE928" s="69"/>
      <c r="VTF928" s="509"/>
      <c r="VTG928" s="380"/>
      <c r="VTH928" s="381"/>
      <c r="VTI928" s="509"/>
      <c r="VTJ928" s="509"/>
      <c r="VTK928" s="509"/>
      <c r="VTL928" s="69"/>
      <c r="VTM928" s="509"/>
      <c r="VTN928" s="380"/>
      <c r="VTO928" s="381"/>
      <c r="VTP928" s="509"/>
      <c r="VTQ928" s="509"/>
      <c r="VTR928" s="509"/>
      <c r="VTS928" s="69"/>
      <c r="VTT928" s="509"/>
      <c r="VTU928" s="380"/>
      <c r="VTV928" s="381"/>
      <c r="VTW928" s="509"/>
      <c r="VTX928" s="509"/>
      <c r="VTY928" s="509"/>
      <c r="VTZ928" s="69"/>
      <c r="VUA928" s="509"/>
      <c r="VUB928" s="380"/>
      <c r="VUC928" s="381"/>
      <c r="VUD928" s="509"/>
      <c r="VUE928" s="509"/>
      <c r="VUF928" s="509"/>
      <c r="VUG928" s="69"/>
      <c r="VUH928" s="509"/>
      <c r="VUI928" s="380"/>
      <c r="VUJ928" s="381"/>
      <c r="VUK928" s="509"/>
      <c r="VUL928" s="509"/>
      <c r="VUM928" s="509"/>
      <c r="VUN928" s="69"/>
      <c r="VUO928" s="509"/>
      <c r="VUP928" s="380"/>
      <c r="VUQ928" s="381"/>
      <c r="VUR928" s="509"/>
      <c r="VUS928" s="509"/>
      <c r="VUT928" s="509"/>
      <c r="VUU928" s="69"/>
      <c r="VUV928" s="509"/>
      <c r="VUW928" s="380"/>
      <c r="VUX928" s="381"/>
      <c r="VUY928" s="509"/>
      <c r="VUZ928" s="509"/>
      <c r="VVA928" s="509"/>
      <c r="VVB928" s="69"/>
      <c r="VVC928" s="509"/>
      <c r="VVD928" s="380"/>
      <c r="VVE928" s="381"/>
      <c r="VVF928" s="509"/>
      <c r="VVG928" s="509"/>
      <c r="VVH928" s="509"/>
      <c r="VVI928" s="69"/>
      <c r="VVJ928" s="509"/>
      <c r="VVK928" s="380"/>
      <c r="VVL928" s="381"/>
      <c r="VVM928" s="509"/>
      <c r="VVN928" s="509"/>
      <c r="VVO928" s="509"/>
      <c r="VVP928" s="69"/>
      <c r="VVQ928" s="509"/>
      <c r="VVR928" s="380"/>
      <c r="VVS928" s="381"/>
      <c r="VVT928" s="509"/>
      <c r="VVU928" s="509"/>
      <c r="VVV928" s="509"/>
      <c r="VVW928" s="69"/>
      <c r="VVX928" s="509"/>
      <c r="VVY928" s="380"/>
      <c r="VVZ928" s="381"/>
      <c r="VWA928" s="509"/>
      <c r="VWB928" s="509"/>
      <c r="VWC928" s="509"/>
      <c r="VWD928" s="69"/>
      <c r="VWE928" s="509"/>
      <c r="VWF928" s="380"/>
      <c r="VWG928" s="381"/>
      <c r="VWH928" s="509"/>
      <c r="VWI928" s="509"/>
      <c r="VWJ928" s="509"/>
      <c r="VWK928" s="69"/>
      <c r="VWL928" s="509"/>
      <c r="VWM928" s="380"/>
      <c r="VWN928" s="381"/>
      <c r="VWO928" s="509"/>
      <c r="VWP928" s="509"/>
      <c r="VWQ928" s="509"/>
      <c r="VWR928" s="69"/>
      <c r="VWS928" s="509"/>
      <c r="VWT928" s="380"/>
      <c r="VWU928" s="381"/>
      <c r="VWV928" s="509"/>
      <c r="VWW928" s="509"/>
      <c r="VWX928" s="509"/>
      <c r="VWY928" s="69"/>
      <c r="VWZ928" s="509"/>
      <c r="VXA928" s="380"/>
      <c r="VXB928" s="381"/>
      <c r="VXC928" s="509"/>
      <c r="VXD928" s="509"/>
      <c r="VXE928" s="509"/>
      <c r="VXF928" s="69"/>
      <c r="VXG928" s="509"/>
      <c r="VXH928" s="380"/>
      <c r="VXI928" s="381"/>
      <c r="VXJ928" s="509"/>
      <c r="VXK928" s="509"/>
      <c r="VXL928" s="509"/>
      <c r="VXM928" s="69"/>
      <c r="VXN928" s="509"/>
      <c r="VXO928" s="380"/>
      <c r="VXP928" s="381"/>
      <c r="VXQ928" s="509"/>
      <c r="VXR928" s="509"/>
      <c r="VXS928" s="509"/>
      <c r="VXT928" s="69"/>
      <c r="VXU928" s="509"/>
      <c r="VXV928" s="380"/>
      <c r="VXW928" s="381"/>
      <c r="VXX928" s="509"/>
      <c r="VXY928" s="509"/>
      <c r="VXZ928" s="509"/>
      <c r="VYA928" s="69"/>
      <c r="VYB928" s="509"/>
      <c r="VYC928" s="380"/>
      <c r="VYD928" s="381"/>
      <c r="VYE928" s="509"/>
      <c r="VYF928" s="509"/>
      <c r="VYG928" s="509"/>
      <c r="VYH928" s="69"/>
      <c r="VYI928" s="509"/>
      <c r="VYJ928" s="380"/>
      <c r="VYK928" s="381"/>
      <c r="VYL928" s="509"/>
      <c r="VYM928" s="509"/>
      <c r="VYN928" s="509"/>
      <c r="VYO928" s="69"/>
      <c r="VYP928" s="509"/>
      <c r="VYQ928" s="380"/>
      <c r="VYR928" s="381"/>
      <c r="VYS928" s="509"/>
      <c r="VYT928" s="509"/>
      <c r="VYU928" s="509"/>
      <c r="VYV928" s="69"/>
      <c r="VYW928" s="509"/>
      <c r="VYX928" s="380"/>
      <c r="VYY928" s="381"/>
      <c r="VYZ928" s="509"/>
      <c r="VZA928" s="509"/>
      <c r="VZB928" s="509"/>
      <c r="VZC928" s="69"/>
      <c r="VZD928" s="509"/>
      <c r="VZE928" s="380"/>
      <c r="VZF928" s="381"/>
      <c r="VZG928" s="509"/>
      <c r="VZH928" s="509"/>
      <c r="VZI928" s="509"/>
      <c r="VZJ928" s="69"/>
      <c r="VZK928" s="509"/>
      <c r="VZL928" s="380"/>
      <c r="VZM928" s="381"/>
      <c r="VZN928" s="509"/>
      <c r="VZO928" s="509"/>
      <c r="VZP928" s="509"/>
      <c r="VZQ928" s="69"/>
      <c r="VZR928" s="509"/>
      <c r="VZS928" s="380"/>
      <c r="VZT928" s="381"/>
      <c r="VZU928" s="509"/>
      <c r="VZV928" s="509"/>
      <c r="VZW928" s="509"/>
      <c r="VZX928" s="69"/>
      <c r="VZY928" s="509"/>
      <c r="VZZ928" s="380"/>
      <c r="WAA928" s="381"/>
      <c r="WAB928" s="509"/>
      <c r="WAC928" s="509"/>
      <c r="WAD928" s="509"/>
      <c r="WAE928" s="69"/>
      <c r="WAF928" s="509"/>
      <c r="WAG928" s="380"/>
      <c r="WAH928" s="381"/>
      <c r="WAI928" s="509"/>
      <c r="WAJ928" s="509"/>
      <c r="WAK928" s="509"/>
      <c r="WAL928" s="69"/>
      <c r="WAM928" s="509"/>
      <c r="WAN928" s="380"/>
      <c r="WAO928" s="381"/>
      <c r="WAP928" s="509"/>
      <c r="WAQ928" s="509"/>
      <c r="WAR928" s="509"/>
      <c r="WAS928" s="69"/>
      <c r="WAT928" s="509"/>
      <c r="WAU928" s="380"/>
      <c r="WAV928" s="381"/>
      <c r="WAW928" s="509"/>
      <c r="WAX928" s="509"/>
      <c r="WAY928" s="509"/>
      <c r="WAZ928" s="69"/>
      <c r="WBA928" s="509"/>
      <c r="WBB928" s="380"/>
      <c r="WBC928" s="381"/>
      <c r="WBD928" s="509"/>
      <c r="WBE928" s="509"/>
      <c r="WBF928" s="509"/>
      <c r="WBG928" s="69"/>
      <c r="WBH928" s="509"/>
      <c r="WBI928" s="380"/>
      <c r="WBJ928" s="381"/>
      <c r="WBK928" s="509"/>
      <c r="WBL928" s="509"/>
      <c r="WBM928" s="509"/>
      <c r="WBN928" s="69"/>
      <c r="WBO928" s="509"/>
      <c r="WBP928" s="380"/>
      <c r="WBQ928" s="381"/>
      <c r="WBR928" s="509"/>
      <c r="WBS928" s="509"/>
      <c r="WBT928" s="509"/>
      <c r="WBU928" s="69"/>
      <c r="WBV928" s="509"/>
      <c r="WBW928" s="380"/>
      <c r="WBX928" s="381"/>
      <c r="WBY928" s="509"/>
      <c r="WBZ928" s="509"/>
      <c r="WCA928" s="509"/>
      <c r="WCB928" s="69"/>
      <c r="WCC928" s="509"/>
      <c r="WCD928" s="380"/>
      <c r="WCE928" s="381"/>
      <c r="WCF928" s="509"/>
      <c r="WCG928" s="509"/>
      <c r="WCH928" s="509"/>
      <c r="WCI928" s="69"/>
      <c r="WCJ928" s="509"/>
      <c r="WCK928" s="380"/>
      <c r="WCL928" s="381"/>
      <c r="WCM928" s="509"/>
      <c r="WCN928" s="509"/>
      <c r="WCO928" s="509"/>
      <c r="WCP928" s="69"/>
      <c r="WCQ928" s="509"/>
      <c r="WCR928" s="380"/>
      <c r="WCS928" s="381"/>
      <c r="WCT928" s="509"/>
      <c r="WCU928" s="509"/>
      <c r="WCV928" s="509"/>
      <c r="WCW928" s="69"/>
      <c r="WCX928" s="509"/>
      <c r="WCY928" s="380"/>
      <c r="WCZ928" s="381"/>
      <c r="WDA928" s="509"/>
      <c r="WDB928" s="509"/>
      <c r="WDC928" s="509"/>
      <c r="WDD928" s="69"/>
      <c r="WDE928" s="509"/>
      <c r="WDF928" s="380"/>
      <c r="WDG928" s="381"/>
      <c r="WDH928" s="509"/>
      <c r="WDI928" s="509"/>
      <c r="WDJ928" s="509"/>
      <c r="WDK928" s="69"/>
      <c r="WDL928" s="509"/>
      <c r="WDM928" s="380"/>
      <c r="WDN928" s="381"/>
      <c r="WDO928" s="509"/>
      <c r="WDP928" s="509"/>
      <c r="WDQ928" s="509"/>
      <c r="WDR928" s="69"/>
      <c r="WDS928" s="509"/>
      <c r="WDT928" s="380"/>
      <c r="WDU928" s="381"/>
      <c r="WDV928" s="509"/>
      <c r="WDW928" s="509"/>
      <c r="WDX928" s="509"/>
      <c r="WDY928" s="69"/>
      <c r="WDZ928" s="509"/>
      <c r="WEA928" s="380"/>
      <c r="WEB928" s="381"/>
      <c r="WEC928" s="509"/>
      <c r="WED928" s="509"/>
      <c r="WEE928" s="509"/>
      <c r="WEF928" s="69"/>
      <c r="WEG928" s="509"/>
      <c r="WEH928" s="380"/>
      <c r="WEI928" s="381"/>
      <c r="WEJ928" s="509"/>
      <c r="WEK928" s="509"/>
      <c r="WEL928" s="509"/>
      <c r="WEM928" s="69"/>
      <c r="WEN928" s="509"/>
      <c r="WEO928" s="380"/>
      <c r="WEP928" s="381"/>
      <c r="WEQ928" s="509"/>
      <c r="WER928" s="509"/>
      <c r="WES928" s="509"/>
      <c r="WET928" s="69"/>
      <c r="WEU928" s="509"/>
      <c r="WEV928" s="380"/>
      <c r="WEW928" s="381"/>
      <c r="WEX928" s="509"/>
      <c r="WEY928" s="509"/>
      <c r="WEZ928" s="509"/>
      <c r="WFA928" s="69"/>
      <c r="WFB928" s="509"/>
      <c r="WFC928" s="380"/>
      <c r="WFD928" s="381"/>
      <c r="WFE928" s="509"/>
      <c r="WFF928" s="509"/>
      <c r="WFG928" s="509"/>
      <c r="WFH928" s="69"/>
      <c r="WFI928" s="509"/>
      <c r="WFJ928" s="380"/>
      <c r="WFK928" s="381"/>
      <c r="WFL928" s="509"/>
      <c r="WFM928" s="509"/>
      <c r="WFN928" s="509"/>
      <c r="WFO928" s="69"/>
      <c r="WFP928" s="509"/>
      <c r="WFQ928" s="380"/>
      <c r="WFR928" s="381"/>
      <c r="WFS928" s="509"/>
      <c r="WFT928" s="509"/>
      <c r="WFU928" s="509"/>
      <c r="WFV928" s="69"/>
      <c r="WFW928" s="509"/>
      <c r="WFX928" s="380"/>
      <c r="WFY928" s="381"/>
      <c r="WFZ928" s="509"/>
      <c r="WGA928" s="509"/>
      <c r="WGB928" s="509"/>
      <c r="WGC928" s="69"/>
      <c r="WGD928" s="509"/>
      <c r="WGE928" s="380"/>
      <c r="WGF928" s="381"/>
      <c r="WGG928" s="509"/>
      <c r="WGH928" s="509"/>
      <c r="WGI928" s="509"/>
      <c r="WGJ928" s="69"/>
      <c r="WGK928" s="509"/>
      <c r="WGL928" s="380"/>
      <c r="WGM928" s="381"/>
      <c r="WGN928" s="509"/>
      <c r="WGO928" s="509"/>
      <c r="WGP928" s="509"/>
      <c r="WGQ928" s="69"/>
      <c r="WGR928" s="509"/>
      <c r="WGS928" s="380"/>
      <c r="WGT928" s="381"/>
      <c r="WGU928" s="509"/>
      <c r="WGV928" s="509"/>
      <c r="WGW928" s="509"/>
      <c r="WGX928" s="69"/>
      <c r="WGY928" s="509"/>
      <c r="WGZ928" s="380"/>
      <c r="WHA928" s="381"/>
      <c r="WHB928" s="509"/>
      <c r="WHC928" s="509"/>
      <c r="WHD928" s="509"/>
      <c r="WHE928" s="69"/>
      <c r="WHF928" s="509"/>
      <c r="WHG928" s="380"/>
      <c r="WHH928" s="381"/>
      <c r="WHI928" s="509"/>
      <c r="WHJ928" s="509"/>
      <c r="WHK928" s="509"/>
      <c r="WHL928" s="69"/>
      <c r="WHM928" s="509"/>
      <c r="WHN928" s="380"/>
      <c r="WHO928" s="381"/>
      <c r="WHP928" s="509"/>
      <c r="WHQ928" s="509"/>
      <c r="WHR928" s="509"/>
      <c r="WHS928" s="69"/>
      <c r="WHT928" s="509"/>
      <c r="WHU928" s="380"/>
      <c r="WHV928" s="381"/>
      <c r="WHW928" s="509"/>
      <c r="WHX928" s="509"/>
      <c r="WHY928" s="509"/>
      <c r="WHZ928" s="69"/>
      <c r="WIA928" s="509"/>
      <c r="WIB928" s="380"/>
      <c r="WIC928" s="381"/>
      <c r="WID928" s="509"/>
      <c r="WIE928" s="509"/>
      <c r="WIF928" s="509"/>
      <c r="WIG928" s="69"/>
      <c r="WIH928" s="509"/>
      <c r="WII928" s="380"/>
      <c r="WIJ928" s="381"/>
      <c r="WIK928" s="509"/>
      <c r="WIL928" s="509"/>
      <c r="WIM928" s="509"/>
      <c r="WIN928" s="69"/>
      <c r="WIO928" s="509"/>
      <c r="WIP928" s="380"/>
      <c r="WIQ928" s="381"/>
      <c r="WIR928" s="509"/>
      <c r="WIS928" s="509"/>
      <c r="WIT928" s="509"/>
      <c r="WIU928" s="69"/>
      <c r="WIV928" s="509"/>
      <c r="WIW928" s="380"/>
      <c r="WIX928" s="381"/>
      <c r="WIY928" s="509"/>
      <c r="WIZ928" s="509"/>
      <c r="WJA928" s="509"/>
      <c r="WJB928" s="69"/>
      <c r="WJC928" s="509"/>
      <c r="WJD928" s="380"/>
      <c r="WJE928" s="381"/>
      <c r="WJF928" s="509"/>
      <c r="WJG928" s="509"/>
      <c r="WJH928" s="509"/>
      <c r="WJI928" s="69"/>
      <c r="WJJ928" s="509"/>
      <c r="WJK928" s="380"/>
      <c r="WJL928" s="381"/>
      <c r="WJM928" s="509"/>
      <c r="WJN928" s="509"/>
      <c r="WJO928" s="509"/>
      <c r="WJP928" s="69"/>
      <c r="WJQ928" s="509"/>
      <c r="WJR928" s="380"/>
      <c r="WJS928" s="381"/>
      <c r="WJT928" s="509"/>
      <c r="WJU928" s="509"/>
      <c r="WJV928" s="509"/>
      <c r="WJW928" s="69"/>
      <c r="WJX928" s="509"/>
      <c r="WJY928" s="380"/>
      <c r="WJZ928" s="381"/>
      <c r="WKA928" s="509"/>
      <c r="WKB928" s="509"/>
      <c r="WKC928" s="509"/>
      <c r="WKD928" s="69"/>
      <c r="WKE928" s="509"/>
      <c r="WKF928" s="380"/>
      <c r="WKG928" s="381"/>
      <c r="WKH928" s="509"/>
      <c r="WKI928" s="509"/>
      <c r="WKJ928" s="509"/>
      <c r="WKK928" s="69"/>
      <c r="WKL928" s="509"/>
      <c r="WKM928" s="380"/>
      <c r="WKN928" s="381"/>
      <c r="WKO928" s="509"/>
      <c r="WKP928" s="509"/>
      <c r="WKQ928" s="509"/>
      <c r="WKR928" s="69"/>
      <c r="WKS928" s="509"/>
      <c r="WKT928" s="380"/>
      <c r="WKU928" s="381"/>
      <c r="WKV928" s="509"/>
      <c r="WKW928" s="509"/>
      <c r="WKX928" s="509"/>
      <c r="WKY928" s="69"/>
      <c r="WKZ928" s="509"/>
      <c r="WLA928" s="380"/>
      <c r="WLB928" s="381"/>
      <c r="WLC928" s="509"/>
      <c r="WLD928" s="509"/>
      <c r="WLE928" s="509"/>
      <c r="WLF928" s="69"/>
      <c r="WLG928" s="509"/>
      <c r="WLH928" s="380"/>
      <c r="WLI928" s="381"/>
      <c r="WLJ928" s="509"/>
      <c r="WLK928" s="509"/>
      <c r="WLL928" s="509"/>
      <c r="WLM928" s="69"/>
      <c r="WLN928" s="509"/>
      <c r="WLO928" s="380"/>
      <c r="WLP928" s="381"/>
      <c r="WLQ928" s="509"/>
      <c r="WLR928" s="509"/>
      <c r="WLS928" s="509"/>
      <c r="WLT928" s="69"/>
      <c r="WLU928" s="509"/>
      <c r="WLV928" s="380"/>
      <c r="WLW928" s="381"/>
      <c r="WLX928" s="509"/>
      <c r="WLY928" s="509"/>
      <c r="WLZ928" s="509"/>
      <c r="WMA928" s="69"/>
      <c r="WMB928" s="509"/>
      <c r="WMC928" s="380"/>
      <c r="WMD928" s="381"/>
      <c r="WME928" s="509"/>
      <c r="WMF928" s="509"/>
      <c r="WMG928" s="509"/>
      <c r="WMH928" s="69"/>
      <c r="WMI928" s="509"/>
      <c r="WMJ928" s="380"/>
      <c r="WMK928" s="381"/>
      <c r="WML928" s="509"/>
      <c r="WMM928" s="509"/>
      <c r="WMN928" s="509"/>
      <c r="WMO928" s="69"/>
      <c r="WMP928" s="509"/>
      <c r="WMQ928" s="380"/>
      <c r="WMR928" s="381"/>
      <c r="WMS928" s="509"/>
      <c r="WMT928" s="509"/>
      <c r="WMU928" s="509"/>
      <c r="WMV928" s="69"/>
      <c r="WMW928" s="509"/>
      <c r="WMX928" s="380"/>
      <c r="WMY928" s="381"/>
      <c r="WMZ928" s="509"/>
      <c r="WNA928" s="509"/>
      <c r="WNB928" s="509"/>
      <c r="WNC928" s="69"/>
      <c r="WND928" s="509"/>
      <c r="WNE928" s="380"/>
      <c r="WNF928" s="381"/>
      <c r="WNG928" s="509"/>
      <c r="WNH928" s="509"/>
      <c r="WNI928" s="509"/>
      <c r="WNJ928" s="69"/>
      <c r="WNK928" s="509"/>
      <c r="WNL928" s="380"/>
      <c r="WNM928" s="381"/>
      <c r="WNN928" s="509"/>
      <c r="WNO928" s="509"/>
      <c r="WNP928" s="509"/>
      <c r="WNQ928" s="69"/>
      <c r="WNR928" s="509"/>
      <c r="WNS928" s="380"/>
      <c r="WNT928" s="381"/>
      <c r="WNU928" s="509"/>
      <c r="WNV928" s="509"/>
      <c r="WNW928" s="509"/>
      <c r="WNX928" s="69"/>
      <c r="WNY928" s="509"/>
      <c r="WNZ928" s="380"/>
      <c r="WOA928" s="381"/>
      <c r="WOB928" s="509"/>
      <c r="WOC928" s="509"/>
      <c r="WOD928" s="509"/>
      <c r="WOE928" s="69"/>
      <c r="WOF928" s="509"/>
      <c r="WOG928" s="380"/>
      <c r="WOH928" s="381"/>
      <c r="WOI928" s="509"/>
      <c r="WOJ928" s="509"/>
      <c r="WOK928" s="509"/>
      <c r="WOL928" s="69"/>
      <c r="WOM928" s="509"/>
      <c r="WON928" s="380"/>
      <c r="WOO928" s="381"/>
      <c r="WOP928" s="509"/>
      <c r="WOQ928" s="509"/>
      <c r="WOR928" s="509"/>
      <c r="WOS928" s="69"/>
      <c r="WOT928" s="509"/>
      <c r="WOU928" s="380"/>
      <c r="WOV928" s="381"/>
      <c r="WOW928" s="509"/>
      <c r="WOX928" s="509"/>
      <c r="WOY928" s="509"/>
      <c r="WOZ928" s="69"/>
      <c r="WPA928" s="509"/>
      <c r="WPB928" s="380"/>
      <c r="WPC928" s="381"/>
      <c r="WPD928" s="509"/>
      <c r="WPE928" s="509"/>
      <c r="WPF928" s="509"/>
      <c r="WPG928" s="69"/>
      <c r="WPH928" s="509"/>
      <c r="WPI928" s="380"/>
      <c r="WPJ928" s="381"/>
      <c r="WPK928" s="509"/>
      <c r="WPL928" s="509"/>
      <c r="WPM928" s="509"/>
      <c r="WPN928" s="69"/>
      <c r="WPO928" s="509"/>
      <c r="WPP928" s="380"/>
      <c r="WPQ928" s="381"/>
      <c r="WPR928" s="509"/>
      <c r="WPS928" s="509"/>
      <c r="WPT928" s="509"/>
      <c r="WPU928" s="69"/>
      <c r="WPV928" s="509"/>
      <c r="WPW928" s="380"/>
      <c r="WPX928" s="381"/>
      <c r="WPY928" s="509"/>
      <c r="WPZ928" s="509"/>
      <c r="WQA928" s="509"/>
      <c r="WQB928" s="69"/>
      <c r="WQC928" s="509"/>
      <c r="WQD928" s="380"/>
      <c r="WQE928" s="381"/>
      <c r="WQF928" s="509"/>
      <c r="WQG928" s="509"/>
      <c r="WQH928" s="509"/>
      <c r="WQI928" s="69"/>
      <c r="WQJ928" s="509"/>
      <c r="WQK928" s="380"/>
      <c r="WQL928" s="381"/>
      <c r="WQM928" s="509"/>
      <c r="WQN928" s="509"/>
      <c r="WQO928" s="509"/>
      <c r="WQP928" s="69"/>
      <c r="WQQ928" s="509"/>
      <c r="WQR928" s="380"/>
      <c r="WQS928" s="381"/>
      <c r="WQT928" s="509"/>
      <c r="WQU928" s="509"/>
      <c r="WQV928" s="509"/>
      <c r="WQW928" s="69"/>
      <c r="WQX928" s="509"/>
      <c r="WQY928" s="380"/>
      <c r="WQZ928" s="381"/>
      <c r="WRA928" s="509"/>
      <c r="WRB928" s="509"/>
      <c r="WRC928" s="509"/>
      <c r="WRD928" s="69"/>
      <c r="WRE928" s="509"/>
      <c r="WRF928" s="380"/>
      <c r="WRG928" s="381"/>
      <c r="WRH928" s="509"/>
      <c r="WRI928" s="509"/>
      <c r="WRJ928" s="509"/>
      <c r="WRK928" s="69"/>
      <c r="WRL928" s="509"/>
      <c r="WRM928" s="380"/>
      <c r="WRN928" s="381"/>
      <c r="WRO928" s="509"/>
      <c r="WRP928" s="509"/>
      <c r="WRQ928" s="509"/>
      <c r="WRR928" s="69"/>
      <c r="WRS928" s="509"/>
      <c r="WRT928" s="380"/>
      <c r="WRU928" s="381"/>
      <c r="WRV928" s="509"/>
      <c r="WRW928" s="509"/>
      <c r="WRX928" s="509"/>
      <c r="WRY928" s="69"/>
      <c r="WRZ928" s="509"/>
      <c r="WSA928" s="380"/>
      <c r="WSB928" s="381"/>
      <c r="WSC928" s="509"/>
      <c r="WSD928" s="509"/>
      <c r="WSE928" s="509"/>
      <c r="WSF928" s="69"/>
      <c r="WSG928" s="509"/>
      <c r="WSH928" s="380"/>
      <c r="WSI928" s="381"/>
      <c r="WSJ928" s="509"/>
      <c r="WSK928" s="509"/>
      <c r="WSL928" s="509"/>
      <c r="WSM928" s="69"/>
      <c r="WSN928" s="509"/>
      <c r="WSO928" s="380"/>
      <c r="WSP928" s="381"/>
      <c r="WSQ928" s="509"/>
      <c r="WSR928" s="509"/>
      <c r="WSS928" s="509"/>
      <c r="WST928" s="69"/>
      <c r="WSU928" s="509"/>
      <c r="WSV928" s="380"/>
      <c r="WSW928" s="381"/>
      <c r="WSX928" s="509"/>
      <c r="WSY928" s="509"/>
      <c r="WSZ928" s="509"/>
      <c r="WTA928" s="69"/>
      <c r="WTB928" s="509"/>
      <c r="WTC928" s="380"/>
      <c r="WTD928" s="381"/>
      <c r="WTE928" s="509"/>
      <c r="WTF928" s="509"/>
      <c r="WTG928" s="509"/>
      <c r="WTH928" s="69"/>
      <c r="WTI928" s="509"/>
      <c r="WTJ928" s="380"/>
      <c r="WTK928" s="381"/>
      <c r="WTL928" s="509"/>
      <c r="WTM928" s="509"/>
      <c r="WTN928" s="509"/>
      <c r="WTO928" s="69"/>
      <c r="WTP928" s="509"/>
      <c r="WTQ928" s="380"/>
      <c r="WTR928" s="381"/>
      <c r="WTS928" s="509"/>
      <c r="WTT928" s="509"/>
      <c r="WTU928" s="509"/>
      <c r="WTV928" s="69"/>
      <c r="WTW928" s="509"/>
      <c r="WTX928" s="380"/>
      <c r="WTY928" s="381"/>
      <c r="WTZ928" s="509"/>
      <c r="WUA928" s="509"/>
      <c r="WUB928" s="509"/>
      <c r="WUC928" s="69"/>
      <c r="WUD928" s="509"/>
      <c r="WUE928" s="380"/>
      <c r="WUF928" s="381"/>
      <c r="WUG928" s="509"/>
      <c r="WUH928" s="509"/>
      <c r="WUI928" s="509"/>
      <c r="WUJ928" s="69"/>
      <c r="WUK928" s="509"/>
      <c r="WUL928" s="380"/>
      <c r="WUM928" s="381"/>
      <c r="WUN928" s="509"/>
      <c r="WUO928" s="509"/>
      <c r="WUP928" s="509"/>
      <c r="WUQ928" s="69"/>
      <c r="WUR928" s="509"/>
      <c r="WUS928" s="380"/>
      <c r="WUT928" s="381"/>
      <c r="WUU928" s="509"/>
      <c r="WUV928" s="509"/>
      <c r="WUW928" s="509"/>
      <c r="WUX928" s="69"/>
      <c r="WUY928" s="509"/>
      <c r="WUZ928" s="380"/>
      <c r="WVA928" s="381"/>
      <c r="WVB928" s="509"/>
      <c r="WVC928" s="509"/>
      <c r="WVD928" s="509"/>
      <c r="WVE928" s="69"/>
      <c r="WVF928" s="509"/>
      <c r="WVG928" s="380"/>
      <c r="WVH928" s="381"/>
      <c r="WVI928" s="509"/>
      <c r="WVJ928" s="509"/>
      <c r="WVK928" s="509"/>
      <c r="WVL928" s="69"/>
      <c r="WVM928" s="509"/>
      <c r="WVN928" s="380"/>
      <c r="WVO928" s="381"/>
      <c r="WVP928" s="509"/>
      <c r="WVQ928" s="509"/>
      <c r="WVR928" s="509"/>
      <c r="WVS928" s="69"/>
      <c r="WVT928" s="509"/>
      <c r="WVU928" s="380"/>
      <c r="WVV928" s="381"/>
      <c r="WVW928" s="509"/>
      <c r="WVX928" s="509"/>
      <c r="WVY928" s="509"/>
      <c r="WVZ928" s="69"/>
      <c r="WWA928" s="509"/>
      <c r="WWB928" s="380"/>
      <c r="WWC928" s="381"/>
      <c r="WWD928" s="509"/>
      <c r="WWE928" s="509"/>
      <c r="WWF928" s="509"/>
      <c r="WWG928" s="69"/>
      <c r="WWH928" s="509"/>
      <c r="WWI928" s="380"/>
      <c r="WWJ928" s="381"/>
      <c r="WWK928" s="509"/>
      <c r="WWL928" s="509"/>
      <c r="WWM928" s="509"/>
      <c r="WWN928" s="69"/>
      <c r="WWO928" s="509"/>
      <c r="WWP928" s="380"/>
      <c r="WWQ928" s="381"/>
      <c r="WWR928" s="509"/>
      <c r="WWS928" s="509"/>
      <c r="WWT928" s="509"/>
      <c r="WWU928" s="69"/>
      <c r="WWV928" s="509"/>
      <c r="WWW928" s="380"/>
      <c r="WWX928" s="381"/>
      <c r="WWY928" s="509"/>
      <c r="WWZ928" s="509"/>
      <c r="WXA928" s="509"/>
      <c r="WXB928" s="69"/>
      <c r="WXC928" s="509"/>
      <c r="WXD928" s="380"/>
      <c r="WXE928" s="381"/>
      <c r="WXF928" s="509"/>
      <c r="WXG928" s="509"/>
      <c r="WXH928" s="509"/>
      <c r="WXI928" s="69"/>
      <c r="WXJ928" s="509"/>
      <c r="WXK928" s="380"/>
      <c r="WXL928" s="381"/>
      <c r="WXM928" s="509"/>
      <c r="WXN928" s="509"/>
      <c r="WXO928" s="509"/>
      <c r="WXP928" s="69"/>
      <c r="WXQ928" s="509"/>
      <c r="WXR928" s="380"/>
      <c r="WXS928" s="381"/>
      <c r="WXT928" s="509"/>
      <c r="WXU928" s="509"/>
      <c r="WXV928" s="509"/>
      <c r="WXW928" s="69"/>
      <c r="WXX928" s="509"/>
      <c r="WXY928" s="380"/>
      <c r="WXZ928" s="381"/>
      <c r="WYA928" s="509"/>
      <c r="WYB928" s="509"/>
      <c r="WYC928" s="509"/>
      <c r="WYD928" s="69"/>
      <c r="WYE928" s="509"/>
      <c r="WYF928" s="380"/>
      <c r="WYG928" s="381"/>
      <c r="WYH928" s="509"/>
      <c r="WYI928" s="509"/>
      <c r="WYJ928" s="509"/>
      <c r="WYK928" s="69"/>
      <c r="WYL928" s="509"/>
      <c r="WYM928" s="380"/>
      <c r="WYN928" s="381"/>
      <c r="WYO928" s="509"/>
      <c r="WYP928" s="509"/>
      <c r="WYQ928" s="509"/>
      <c r="WYR928" s="69"/>
      <c r="WYS928" s="509"/>
      <c r="WYT928" s="380"/>
      <c r="WYU928" s="381"/>
      <c r="WYV928" s="509"/>
      <c r="WYW928" s="509"/>
      <c r="WYX928" s="509"/>
      <c r="WYY928" s="69"/>
      <c r="WYZ928" s="509"/>
      <c r="WZA928" s="380"/>
      <c r="WZB928" s="381"/>
      <c r="WZC928" s="509"/>
      <c r="WZD928" s="509"/>
      <c r="WZE928" s="509"/>
      <c r="WZF928" s="69"/>
      <c r="WZG928" s="509"/>
      <c r="WZH928" s="380"/>
      <c r="WZI928" s="381"/>
      <c r="WZJ928" s="509"/>
      <c r="WZK928" s="509"/>
      <c r="WZL928" s="509"/>
      <c r="WZM928" s="69"/>
      <c r="WZN928" s="509"/>
      <c r="WZO928" s="380"/>
      <c r="WZP928" s="381"/>
      <c r="WZQ928" s="509"/>
      <c r="WZR928" s="509"/>
      <c r="WZS928" s="509"/>
      <c r="WZT928" s="69"/>
      <c r="WZU928" s="509"/>
      <c r="WZV928" s="380"/>
      <c r="WZW928" s="381"/>
      <c r="WZX928" s="509"/>
      <c r="WZY928" s="509"/>
      <c r="WZZ928" s="509"/>
      <c r="XAA928" s="69"/>
      <c r="XAB928" s="509"/>
      <c r="XAC928" s="380"/>
      <c r="XAD928" s="381"/>
      <c r="XAE928" s="509"/>
      <c r="XAF928" s="509"/>
      <c r="XAG928" s="509"/>
      <c r="XAH928" s="69"/>
      <c r="XAI928" s="509"/>
      <c r="XAJ928" s="380"/>
      <c r="XAK928" s="381"/>
      <c r="XAL928" s="509"/>
      <c r="XAM928" s="509"/>
      <c r="XAN928" s="509"/>
      <c r="XAO928" s="69"/>
      <c r="XAP928" s="509"/>
      <c r="XAQ928" s="380"/>
      <c r="XAR928" s="381"/>
      <c r="XAS928" s="509"/>
      <c r="XAT928" s="509"/>
      <c r="XAU928" s="509"/>
      <c r="XAV928" s="69"/>
      <c r="XAW928" s="509"/>
      <c r="XAX928" s="380"/>
      <c r="XAY928" s="381"/>
      <c r="XAZ928" s="509"/>
      <c r="XBA928" s="509"/>
      <c r="XBB928" s="509"/>
      <c r="XBC928" s="69"/>
      <c r="XBD928" s="509"/>
      <c r="XBE928" s="380"/>
      <c r="XBF928" s="381"/>
      <c r="XBG928" s="509"/>
      <c r="XBH928" s="509"/>
      <c r="XBI928" s="509"/>
      <c r="XBJ928" s="69"/>
      <c r="XBK928" s="509"/>
      <c r="XBL928" s="380"/>
      <c r="XBM928" s="381"/>
      <c r="XBN928" s="509"/>
      <c r="XBO928" s="509"/>
      <c r="XBP928" s="509"/>
      <c r="XBQ928" s="69"/>
      <c r="XBR928" s="509"/>
      <c r="XBS928" s="380"/>
      <c r="XBT928" s="381"/>
      <c r="XBU928" s="509"/>
      <c r="XBV928" s="509"/>
      <c r="XBW928" s="509"/>
      <c r="XBX928" s="69"/>
      <c r="XBY928" s="509"/>
      <c r="XBZ928" s="380"/>
      <c r="XCA928" s="381"/>
      <c r="XCB928" s="509"/>
      <c r="XCC928" s="509"/>
      <c r="XCD928" s="509"/>
      <c r="XCE928" s="69"/>
      <c r="XCF928" s="509"/>
      <c r="XCG928" s="380"/>
      <c r="XCH928" s="381"/>
      <c r="XCI928" s="509"/>
      <c r="XCJ928" s="509"/>
      <c r="XCK928" s="509"/>
      <c r="XCL928" s="69"/>
      <c r="XCM928" s="509"/>
      <c r="XCN928" s="380"/>
      <c r="XCO928" s="381"/>
      <c r="XCP928" s="509"/>
      <c r="XCQ928" s="509"/>
      <c r="XCR928" s="509"/>
      <c r="XCS928" s="69"/>
      <c r="XCT928" s="509"/>
      <c r="XCU928" s="380"/>
      <c r="XCV928" s="381"/>
      <c r="XCW928" s="509"/>
      <c r="XCX928" s="509"/>
      <c r="XCY928" s="509"/>
      <c r="XCZ928" s="69"/>
      <c r="XDA928" s="509"/>
      <c r="XDB928" s="380"/>
      <c r="XDC928" s="381"/>
      <c r="XDD928" s="509"/>
      <c r="XDE928" s="509"/>
      <c r="XDF928" s="509"/>
      <c r="XDG928" s="69"/>
      <c r="XDH928" s="509"/>
      <c r="XDI928" s="380"/>
      <c r="XDJ928" s="381"/>
      <c r="XDK928" s="509"/>
      <c r="XDL928" s="509"/>
      <c r="XDM928" s="509"/>
      <c r="XDN928" s="69"/>
      <c r="XDO928" s="509"/>
      <c r="XDP928" s="380"/>
      <c r="XDQ928" s="381"/>
      <c r="XDR928" s="509"/>
      <c r="XDS928" s="509"/>
      <c r="XDT928" s="509"/>
      <c r="XDU928" s="69"/>
      <c r="XDV928" s="509"/>
      <c r="XDW928" s="380"/>
      <c r="XDX928" s="381"/>
      <c r="XDY928" s="509"/>
      <c r="XDZ928" s="509"/>
      <c r="XEA928" s="509"/>
      <c r="XEB928" s="69"/>
      <c r="XEC928" s="509"/>
      <c r="XED928" s="380"/>
      <c r="XEE928" s="381"/>
      <c r="XEF928" s="509"/>
      <c r="XEG928" s="509"/>
      <c r="XEH928" s="509"/>
      <c r="XEI928" s="69"/>
      <c r="XEJ928" s="509"/>
      <c r="XEK928" s="380"/>
      <c r="XEL928" s="381"/>
      <c r="XEM928" s="509"/>
      <c r="XEN928" s="509"/>
      <c r="XEO928" s="509"/>
      <c r="XEP928" s="69"/>
      <c r="XEQ928" s="509"/>
      <c r="XER928" s="380"/>
      <c r="XES928" s="381"/>
      <c r="XET928" s="509"/>
      <c r="XEU928" s="509"/>
      <c r="XEV928" s="509"/>
      <c r="XEW928" s="69"/>
      <c r="XEX928" s="509"/>
      <c r="XEY928" s="380"/>
      <c r="XEZ928" s="381"/>
      <c r="XFA928" s="509"/>
      <c r="XFB928" s="509"/>
      <c r="XFC928" s="509"/>
      <c r="XFD928" s="69"/>
    </row>
    <row r="929" spans="1:7" ht="12.75">
      <c r="A929" s="509" t="s">
        <v>904</v>
      </c>
      <c r="B929" s="509" t="s">
        <v>1233</v>
      </c>
      <c r="C929" s="509" t="s">
        <v>1231</v>
      </c>
      <c r="D929" s="69" t="s">
        <v>1234</v>
      </c>
      <c r="E929" s="509" t="s">
        <v>1236</v>
      </c>
      <c r="F929" s="380" t="s">
        <v>31</v>
      </c>
      <c r="G929" s="381" t="s">
        <v>1238</v>
      </c>
    </row>
    <row r="930" spans="1:7" ht="12.75">
      <c r="A930" s="509" t="s">
        <v>904</v>
      </c>
      <c r="B930" s="509" t="s">
        <v>1233</v>
      </c>
      <c r="C930" s="509" t="s">
        <v>1232</v>
      </c>
      <c r="D930" s="69" t="s">
        <v>1235</v>
      </c>
      <c r="E930" s="509" t="s">
        <v>1237</v>
      </c>
      <c r="F930" s="380" t="s">
        <v>31</v>
      </c>
      <c r="G930" s="381" t="s">
        <v>1238</v>
      </c>
    </row>
  </sheetData>
  <autoFilter ref="A1:O930" xr:uid="{60E54B9C-4035-4948-8362-813CAC5C656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27"/>
  <sheetViews>
    <sheetView showGridLines="0" topLeftCell="D601" zoomScale="80" zoomScaleNormal="76" workbookViewId="0">
      <selection activeCell="A627" sqref="A627"/>
    </sheetView>
  </sheetViews>
  <sheetFormatPr defaultColWidth="10" defaultRowHeight="12"/>
  <cols>
    <col min="1" max="1" width="10" style="50"/>
    <col min="2" max="2" width="10.42578125" style="48" bestFit="1" customWidth="1"/>
    <col min="3" max="3" width="20.5703125" style="50" customWidth="1"/>
    <col min="4" max="4" width="10.42578125" style="48" customWidth="1"/>
    <col min="5" max="5" width="10.85546875" style="49" bestFit="1" customWidth="1"/>
    <col min="6" max="6" width="37.85546875" style="46" customWidth="1"/>
    <col min="7" max="7" width="10.42578125" style="50" customWidth="1"/>
    <col min="8" max="8" width="13.42578125" style="50" customWidth="1"/>
    <col min="9" max="10" width="13.140625" style="546" bestFit="1" customWidth="1"/>
    <col min="11" max="11" width="8.85546875" style="47" customWidth="1"/>
    <col min="12" max="12" width="11.85546875" style="546" bestFit="1" customWidth="1"/>
    <col min="13" max="13" width="13.42578125" style="544" bestFit="1" customWidth="1"/>
    <col min="14" max="14" width="15.85546875" style="546" bestFit="1" customWidth="1"/>
    <col min="15" max="15" width="17.28515625" style="546" bestFit="1" customWidth="1"/>
    <col min="16" max="16" width="14.42578125" style="48" bestFit="1" customWidth="1"/>
    <col min="17" max="17" width="13.42578125" style="48" bestFit="1" customWidth="1"/>
    <col min="18" max="18" width="11.85546875" style="46" customWidth="1"/>
    <col min="19" max="19" width="10" style="46"/>
    <col min="20" max="20" width="11.28515625" style="46" bestFit="1" customWidth="1"/>
    <col min="21" max="28" width="10" style="46"/>
    <col min="29" max="29" width="13.5703125" style="46" bestFit="1" customWidth="1"/>
    <col min="30" max="30" width="16.42578125" style="46" bestFit="1" customWidth="1"/>
    <col min="31" max="31" width="10.85546875" style="46" bestFit="1" customWidth="1"/>
    <col min="32" max="16384" width="10" style="46"/>
  </cols>
  <sheetData>
    <row r="1" spans="1:36">
      <c r="J1" s="550">
        <f>SUM(J3:J1048576)</f>
        <v>3542684</v>
      </c>
    </row>
    <row r="2" spans="1:36" s="329" customFormat="1" ht="36">
      <c r="A2" s="325" t="s">
        <v>3</v>
      </c>
      <c r="B2" s="325" t="s">
        <v>0</v>
      </c>
      <c r="C2" s="326" t="s">
        <v>1</v>
      </c>
      <c r="D2" s="325" t="s">
        <v>2</v>
      </c>
      <c r="E2" s="327" t="s">
        <v>3</v>
      </c>
      <c r="F2" s="326" t="s">
        <v>4</v>
      </c>
      <c r="G2" s="326" t="s">
        <v>5</v>
      </c>
      <c r="H2" s="326" t="s">
        <v>6</v>
      </c>
      <c r="I2" s="547" t="s">
        <v>1240</v>
      </c>
      <c r="J2" s="547" t="s">
        <v>7</v>
      </c>
      <c r="K2" s="328" t="s">
        <v>8</v>
      </c>
      <c r="L2" s="547" t="s">
        <v>9</v>
      </c>
      <c r="M2" s="545" t="s">
        <v>10</v>
      </c>
      <c r="N2" s="547" t="s">
        <v>11</v>
      </c>
      <c r="O2" s="547" t="s">
        <v>12</v>
      </c>
      <c r="P2" s="325" t="s">
        <v>116</v>
      </c>
      <c r="Q2" s="325" t="s">
        <v>117</v>
      </c>
      <c r="R2" s="325" t="s">
        <v>860</v>
      </c>
      <c r="T2" s="330">
        <f ca="1">TODAY()-1</f>
        <v>46166</v>
      </c>
      <c r="U2" s="331" t="str">
        <f ca="1">TEXT($T$2,"dd")</f>
        <v>24</v>
      </c>
      <c r="V2" s="332">
        <f ca="1">U2/30</f>
        <v>0.8</v>
      </c>
      <c r="W2" s="333">
        <f ca="1">V2-10%</f>
        <v>0.70000000000000007</v>
      </c>
      <c r="X2" s="334">
        <f ca="1">V2+10%</f>
        <v>0.9</v>
      </c>
    </row>
    <row r="3" spans="1:36" ht="15">
      <c r="A3" s="352" t="str">
        <f>B3&amp;D3</f>
        <v>430019690</v>
      </c>
      <c r="B3" s="354" t="s">
        <v>102</v>
      </c>
      <c r="C3" s="69" t="str">
        <f>_xlfn.XLOOKUP(B:B,Master!A:A,Master!B:B)</f>
        <v>RPSPL-DEL</v>
      </c>
      <c r="D3" s="354" t="s">
        <v>88</v>
      </c>
      <c r="E3" s="69" t="str">
        <f>B3&amp;D3</f>
        <v>430019690</v>
      </c>
      <c r="F3" s="356" t="s">
        <v>89</v>
      </c>
      <c r="G3" s="70" t="str">
        <f>VLOOKUP(D3,Master!C:G,4,)</f>
        <v>NFL</v>
      </c>
      <c r="H3" s="69" t="str">
        <f>VLOOKUP(D3,Master!C:G,5,)</f>
        <v>OS - Dry</v>
      </c>
      <c r="I3" s="548">
        <v>0</v>
      </c>
      <c r="J3" s="548">
        <v>0</v>
      </c>
      <c r="K3" s="71">
        <f>IFERROR(J3/I3,0)</f>
        <v>0</v>
      </c>
      <c r="L3" s="549">
        <v>0</v>
      </c>
      <c r="M3" s="510"/>
      <c r="N3" s="549">
        <v>0</v>
      </c>
      <c r="O3" s="549">
        <f>N3+L3</f>
        <v>0</v>
      </c>
      <c r="P3" s="72">
        <f>I3-J3-O3</f>
        <v>0</v>
      </c>
      <c r="Q3" s="72">
        <f>IFERROR(IF(D3=20250,O3/(#REF!/30),O3/(I3/30)),0)</f>
        <v>0</v>
      </c>
      <c r="R3" s="72">
        <f>IFERROR(N3/(I3/30),0)</f>
        <v>0</v>
      </c>
      <c r="U3" s="298"/>
      <c r="V3" s="299"/>
      <c r="AC3"/>
      <c r="AD3"/>
      <c r="AE3"/>
      <c r="AF3"/>
      <c r="AG3"/>
      <c r="AH3"/>
      <c r="AI3"/>
      <c r="AJ3"/>
    </row>
    <row r="4" spans="1:36" ht="15">
      <c r="A4" s="352" t="str">
        <f>B4&amp;D4</f>
        <v>410600189</v>
      </c>
      <c r="B4" s="354" t="s">
        <v>185</v>
      </c>
      <c r="C4" s="69" t="str">
        <f>_xlfn.XLOOKUP(B:B,Master!A:A,Master!B:B)</f>
        <v>RPSPL-KH</v>
      </c>
      <c r="D4" s="353" t="s">
        <v>51</v>
      </c>
      <c r="E4" s="69" t="str">
        <f>B4&amp;D4</f>
        <v>410600189</v>
      </c>
      <c r="F4" s="353" t="s">
        <v>903</v>
      </c>
      <c r="G4" s="70" t="str">
        <f>VLOOKUP(D4,Master!C:G,4,)</f>
        <v>T&amp;I</v>
      </c>
      <c r="H4" s="69" t="str">
        <f>VLOOKUP(D4,Master!C:G,5,)</f>
        <v>T&amp;I Comm-UF</v>
      </c>
      <c r="I4" s="548">
        <v>0</v>
      </c>
      <c r="J4" s="548">
        <v>0</v>
      </c>
      <c r="K4" s="71">
        <f>IFERROR(J4/I4,0)</f>
        <v>0</v>
      </c>
      <c r="L4" s="549">
        <v>0</v>
      </c>
      <c r="M4" s="510"/>
      <c r="N4" s="549">
        <v>0</v>
      </c>
      <c r="O4" s="549">
        <f t="shared" ref="O4" si="0">N4+L4</f>
        <v>0</v>
      </c>
      <c r="P4" s="72">
        <f t="shared" ref="P4" si="1">I4-J4-O4</f>
        <v>0</v>
      </c>
      <c r="Q4" s="72">
        <f>IFERROR(IF(D4=20250,O4/(#REF!/30),O4/(I4/30)),0)</f>
        <v>0</v>
      </c>
      <c r="R4" s="72">
        <f t="shared" ref="R4" si="2">IFERROR(N4/(I4/30),0)</f>
        <v>0</v>
      </c>
      <c r="U4" s="298"/>
      <c r="V4" s="299"/>
      <c r="AC4"/>
      <c r="AD4"/>
      <c r="AE4"/>
      <c r="AF4"/>
      <c r="AG4"/>
      <c r="AH4"/>
      <c r="AI4"/>
      <c r="AJ4"/>
    </row>
    <row r="5" spans="1:36" ht="15">
      <c r="A5" s="352" t="str">
        <f t="shared" ref="A5:A68" si="3">B5&amp;D5</f>
        <v>200000189</v>
      </c>
      <c r="B5" s="509" t="s">
        <v>13</v>
      </c>
      <c r="C5" s="619" t="str">
        <f>_xlfn.XLOOKUP(B:B,Master!A:A,Master!B:B)</f>
        <v>RPSPL-HP Factory</v>
      </c>
      <c r="D5" s="509" t="s">
        <v>51</v>
      </c>
      <c r="E5" s="69" t="str">
        <f t="shared" ref="E5:E68" si="4">B5&amp;D5</f>
        <v>200000189</v>
      </c>
      <c r="F5" s="509" t="s">
        <v>903</v>
      </c>
      <c r="G5" s="70" t="str">
        <f>VLOOKUP(D5,Master!C:G,4,)</f>
        <v>T&amp;I</v>
      </c>
      <c r="H5" s="69" t="str">
        <f>VLOOKUP(D5,Master!C:G,5,)</f>
        <v>T&amp;I Comm-UF</v>
      </c>
      <c r="I5" s="549">
        <v>6478.08</v>
      </c>
      <c r="J5" s="549">
        <v>0</v>
      </c>
      <c r="K5" s="71">
        <f t="shared" ref="K5:K68" si="5">IFERROR(J5/I5,0)</f>
        <v>0</v>
      </c>
      <c r="L5" s="549">
        <v>0</v>
      </c>
      <c r="M5" s="511"/>
      <c r="N5" s="549">
        <v>1212</v>
      </c>
      <c r="O5" s="549">
        <v>1212</v>
      </c>
      <c r="P5" s="72">
        <f t="shared" ref="P5:P68" si="6">I5-J5-O5</f>
        <v>5266.08</v>
      </c>
      <c r="Q5" s="72">
        <f>IFERROR(IF(D5=20250,O5/(#REF!/30),O5/(I5/30)),0)</f>
        <v>5.6127741553052752</v>
      </c>
      <c r="R5" s="72">
        <f t="shared" ref="R5:R68" si="7">IFERROR(N5/(I5/30),0)</f>
        <v>5.6127741553052752</v>
      </c>
      <c r="U5" s="298"/>
      <c r="V5" s="299"/>
      <c r="AC5"/>
      <c r="AD5"/>
      <c r="AE5"/>
      <c r="AF5"/>
      <c r="AG5"/>
      <c r="AH5"/>
      <c r="AI5"/>
      <c r="AJ5"/>
    </row>
    <row r="6" spans="1:36" ht="15">
      <c r="A6" s="352" t="str">
        <f t="shared" si="3"/>
        <v>200001296</v>
      </c>
      <c r="B6" s="509" t="s">
        <v>13</v>
      </c>
      <c r="C6" s="69" t="str">
        <f>_xlfn.XLOOKUP(B:B,Master!A:A,Master!B:B)</f>
        <v>RPSPL-HP Factory</v>
      </c>
      <c r="D6" s="509" t="s">
        <v>15</v>
      </c>
      <c r="E6" s="69" t="str">
        <f t="shared" si="4"/>
        <v>200001296</v>
      </c>
      <c r="F6" s="509" t="s">
        <v>16</v>
      </c>
      <c r="G6" s="70" t="str">
        <f>VLOOKUP(D6,Master!C:G,4,)</f>
        <v>T&amp;I</v>
      </c>
      <c r="H6" s="69" t="str">
        <f>VLOOKUP(D6,Master!C:G,5,)</f>
        <v>T&amp;I EX HP 2 KG</v>
      </c>
      <c r="I6" s="549">
        <v>550.20000000000005</v>
      </c>
      <c r="J6" s="549">
        <v>0</v>
      </c>
      <c r="K6" s="71">
        <f t="shared" si="5"/>
        <v>0</v>
      </c>
      <c r="L6" s="549">
        <v>0</v>
      </c>
      <c r="M6" s="511"/>
      <c r="N6" s="549">
        <v>0</v>
      </c>
      <c r="O6" s="549">
        <v>0</v>
      </c>
      <c r="P6" s="72">
        <f t="shared" si="6"/>
        <v>550.20000000000005</v>
      </c>
      <c r="Q6" s="72">
        <f>IFERROR(IF(D6=20250,O6/(#REF!/30),O6/(I6/30)),0)</f>
        <v>0</v>
      </c>
      <c r="R6" s="72">
        <f t="shared" si="7"/>
        <v>0</v>
      </c>
      <c r="AC6"/>
      <c r="AD6"/>
      <c r="AE6"/>
      <c r="AF6"/>
      <c r="AG6"/>
      <c r="AH6"/>
      <c r="AI6"/>
      <c r="AJ6"/>
    </row>
    <row r="7" spans="1:36" ht="15">
      <c r="A7" s="352" t="str">
        <f t="shared" si="3"/>
        <v>200002122</v>
      </c>
      <c r="B7" s="509" t="s">
        <v>13</v>
      </c>
      <c r="C7" s="69" t="str">
        <f>_xlfn.XLOOKUP(B:B,Master!A:A,Master!B:B)</f>
        <v>RPSPL-HP Factory</v>
      </c>
      <c r="D7" s="509" t="s">
        <v>55</v>
      </c>
      <c r="E7" s="69" t="str">
        <f t="shared" si="4"/>
        <v>200002122</v>
      </c>
      <c r="F7" s="509" t="s">
        <v>56</v>
      </c>
      <c r="G7" s="70" t="str">
        <f>VLOOKUP(D7,Master!C:G,4,)</f>
        <v>T&amp;I</v>
      </c>
      <c r="H7" s="69" t="str">
        <f>VLOOKUP(D7,Master!C:G,5,)</f>
        <v>T&amp;I EX HP 2 KG</v>
      </c>
      <c r="I7" s="549">
        <v>1122.3599999999999</v>
      </c>
      <c r="J7" s="549">
        <v>0</v>
      </c>
      <c r="K7" s="71">
        <f t="shared" si="5"/>
        <v>0</v>
      </c>
      <c r="L7" s="549">
        <v>0</v>
      </c>
      <c r="M7" s="511"/>
      <c r="N7" s="549">
        <v>1068</v>
      </c>
      <c r="O7" s="549">
        <v>1068</v>
      </c>
      <c r="P7" s="72">
        <f t="shared" si="6"/>
        <v>54.3599999999999</v>
      </c>
      <c r="Q7" s="72">
        <f>IFERROR(IF(D7=20250,O7/(#REF!/30),O7/(I7/30)),0)</f>
        <v>28.546990270501443</v>
      </c>
      <c r="R7" s="72">
        <f t="shared" si="7"/>
        <v>28.546990270501443</v>
      </c>
      <c r="AC7"/>
      <c r="AD7"/>
      <c r="AE7"/>
      <c r="AF7"/>
      <c r="AG7"/>
      <c r="AH7"/>
      <c r="AI7"/>
      <c r="AJ7"/>
    </row>
    <row r="8" spans="1:36" ht="15">
      <c r="A8" s="352" t="str">
        <f t="shared" si="3"/>
        <v>200005159</v>
      </c>
      <c r="B8" s="509" t="s">
        <v>13</v>
      </c>
      <c r="C8" s="69" t="str">
        <f>_xlfn.XLOOKUP(B:B,Master!A:A,Master!B:B)</f>
        <v>RPSPL-HP Factory</v>
      </c>
      <c r="D8" s="509" t="s">
        <v>57</v>
      </c>
      <c r="E8" s="69" t="str">
        <f t="shared" si="4"/>
        <v>200005159</v>
      </c>
      <c r="F8" s="509" t="s">
        <v>58</v>
      </c>
      <c r="G8" s="70" t="str">
        <f>VLOOKUP(D8,Master!C:G,4,)</f>
        <v>T&amp;I</v>
      </c>
      <c r="H8" s="69" t="str">
        <f>VLOOKUP(D8,Master!C:G,5,)</f>
        <v>T&amp;I EX HP</v>
      </c>
      <c r="I8" s="549">
        <v>0</v>
      </c>
      <c r="J8" s="549">
        <v>0</v>
      </c>
      <c r="K8" s="71">
        <f t="shared" si="5"/>
        <v>0</v>
      </c>
      <c r="L8" s="549">
        <v>0</v>
      </c>
      <c r="M8" s="511"/>
      <c r="N8" s="549">
        <v>3624</v>
      </c>
      <c r="O8" s="549">
        <v>3624</v>
      </c>
      <c r="P8" s="72">
        <f t="shared" si="6"/>
        <v>-3624</v>
      </c>
      <c r="Q8" s="72">
        <f>IFERROR(IF(D8=20250,O8/(#REF!/30),O8/(I8/30)),0)</f>
        <v>0</v>
      </c>
      <c r="R8" s="72">
        <f t="shared" si="7"/>
        <v>0</v>
      </c>
      <c r="AC8"/>
      <c r="AD8"/>
      <c r="AE8"/>
      <c r="AF8"/>
      <c r="AG8"/>
      <c r="AH8"/>
      <c r="AI8"/>
      <c r="AJ8"/>
    </row>
    <row r="9" spans="1:36" ht="15">
      <c r="A9" s="352" t="str">
        <f t="shared" si="3"/>
        <v>200007310</v>
      </c>
      <c r="B9" s="509" t="s">
        <v>13</v>
      </c>
      <c r="C9" s="69" t="str">
        <f>_xlfn.XLOOKUP(B:B,Master!A:A,Master!B:B)</f>
        <v>RPSPL-HP Factory</v>
      </c>
      <c r="D9" s="509" t="s">
        <v>19</v>
      </c>
      <c r="E9" s="69" t="str">
        <f t="shared" si="4"/>
        <v>200007310</v>
      </c>
      <c r="F9" s="509" t="s">
        <v>20</v>
      </c>
      <c r="G9" s="70" t="str">
        <f>VLOOKUP(D9,Master!C:G,4,)</f>
        <v>T&amp;I</v>
      </c>
      <c r="H9" s="69" t="str">
        <f>VLOOKUP(D9,Master!C:G,5,)</f>
        <v>T&amp;I Comm -HP</v>
      </c>
      <c r="I9" s="549">
        <v>6678.96</v>
      </c>
      <c r="J9" s="549">
        <v>0</v>
      </c>
      <c r="K9" s="71">
        <f t="shared" si="5"/>
        <v>0</v>
      </c>
      <c r="L9" s="549">
        <v>0</v>
      </c>
      <c r="M9" s="511"/>
      <c r="N9" s="549">
        <v>1152</v>
      </c>
      <c r="O9" s="549">
        <v>1152</v>
      </c>
      <c r="P9" s="72">
        <f t="shared" si="6"/>
        <v>5526.96</v>
      </c>
      <c r="Q9" s="72">
        <f>IFERROR(IF(D9=20250,O9/(#REF!/30),O9/(I9/30)),0)</f>
        <v>5.174458298896834</v>
      </c>
      <c r="R9" s="72">
        <f t="shared" si="7"/>
        <v>5.174458298896834</v>
      </c>
      <c r="AC9"/>
      <c r="AD9"/>
      <c r="AE9"/>
      <c r="AF9"/>
      <c r="AG9"/>
      <c r="AH9"/>
      <c r="AI9"/>
      <c r="AJ9"/>
    </row>
    <row r="10" spans="1:36" ht="15">
      <c r="A10" s="352" t="str">
        <f t="shared" si="3"/>
        <v>200008529</v>
      </c>
      <c r="B10" s="509" t="s">
        <v>13</v>
      </c>
      <c r="C10" s="69" t="str">
        <f>_xlfn.XLOOKUP(B:B,Master!A:A,Master!B:B)</f>
        <v>RPSPL-HP Factory</v>
      </c>
      <c r="D10" s="509" t="s">
        <v>61</v>
      </c>
      <c r="E10" s="69" t="str">
        <f t="shared" si="4"/>
        <v>200008529</v>
      </c>
      <c r="F10" s="509" t="s">
        <v>62</v>
      </c>
      <c r="G10" s="70" t="str">
        <f>VLOOKUP(D10,Master!C:G,4,)</f>
        <v>T&amp;I</v>
      </c>
      <c r="H10" s="69" t="str">
        <f>VLOOKUP(D10,Master!C:G,5,)</f>
        <v>T&amp;I EX HP 2 KG</v>
      </c>
      <c r="I10" s="549">
        <v>0</v>
      </c>
      <c r="J10" s="549">
        <v>0</v>
      </c>
      <c r="K10" s="71">
        <f t="shared" si="5"/>
        <v>0</v>
      </c>
      <c r="L10" s="549">
        <v>0</v>
      </c>
      <c r="M10" s="511"/>
      <c r="N10" s="549">
        <v>2172</v>
      </c>
      <c r="O10" s="549">
        <v>2172</v>
      </c>
      <c r="P10" s="72">
        <f t="shared" si="6"/>
        <v>-2172</v>
      </c>
      <c r="Q10" s="72">
        <f>IFERROR(IF(D10=20250,O10/(#REF!/30),O10/(I10/30)),0)</f>
        <v>0</v>
      </c>
      <c r="R10" s="72">
        <f t="shared" si="7"/>
        <v>0</v>
      </c>
      <c r="AC10"/>
      <c r="AD10"/>
      <c r="AE10"/>
      <c r="AF10"/>
      <c r="AG10"/>
      <c r="AH10"/>
      <c r="AI10"/>
      <c r="AJ10"/>
    </row>
    <row r="11" spans="1:36" ht="15">
      <c r="A11" s="352" t="str">
        <f t="shared" si="3"/>
        <v>200013179</v>
      </c>
      <c r="B11" s="509" t="s">
        <v>13</v>
      </c>
      <c r="C11" s="69" t="str">
        <f>_xlfn.XLOOKUP(B:B,Master!A:A,Master!B:B)</f>
        <v>RPSPL-HP Factory</v>
      </c>
      <c r="D11" s="509" t="s">
        <v>22</v>
      </c>
      <c r="E11" s="69" t="str">
        <f t="shared" si="4"/>
        <v>200013179</v>
      </c>
      <c r="F11" s="509" t="s">
        <v>23</v>
      </c>
      <c r="G11" s="70" t="str">
        <f>VLOOKUP(D11,Master!C:G,4,)</f>
        <v>T&amp;I</v>
      </c>
      <c r="H11" s="69" t="str">
        <f>VLOOKUP(D11,Master!C:G,5,)</f>
        <v>T&amp;I EX HP 2 KG</v>
      </c>
      <c r="I11" s="549">
        <v>15129.72</v>
      </c>
      <c r="J11" s="549">
        <v>0</v>
      </c>
      <c r="K11" s="71">
        <f t="shared" si="5"/>
        <v>0</v>
      </c>
      <c r="L11" s="549">
        <v>0</v>
      </c>
      <c r="M11" s="511"/>
      <c r="N11" s="549">
        <v>31644</v>
      </c>
      <c r="O11" s="549">
        <v>31644</v>
      </c>
      <c r="P11" s="72">
        <f t="shared" si="6"/>
        <v>-16514.28</v>
      </c>
      <c r="Q11" s="72">
        <f>IFERROR(IF(D11=20250,O11/(#REF!/30),O11/(I11/30)),0)</f>
        <v>62.745377971304165</v>
      </c>
      <c r="R11" s="72">
        <f t="shared" si="7"/>
        <v>62.745377971304165</v>
      </c>
      <c r="AC11"/>
      <c r="AD11"/>
      <c r="AE11"/>
      <c r="AF11"/>
      <c r="AG11"/>
      <c r="AH11"/>
      <c r="AI11"/>
      <c r="AJ11"/>
    </row>
    <row r="12" spans="1:36" ht="15">
      <c r="A12" s="352" t="str">
        <f t="shared" si="3"/>
        <v>200013678</v>
      </c>
      <c r="B12" s="509" t="s">
        <v>13</v>
      </c>
      <c r="C12" s="69" t="str">
        <f>_xlfn.XLOOKUP(B:B,Master!A:A,Master!B:B)</f>
        <v>RPSPL-HP Factory</v>
      </c>
      <c r="D12" s="509" t="s">
        <v>65</v>
      </c>
      <c r="E12" s="69" t="str">
        <f t="shared" si="4"/>
        <v>200013678</v>
      </c>
      <c r="F12" s="509" t="s">
        <v>66</v>
      </c>
      <c r="G12" s="70" t="str">
        <f>VLOOKUP(D12,Master!C:G,4,)</f>
        <v>T&amp;I</v>
      </c>
      <c r="H12" s="69" t="str">
        <f>VLOOKUP(D12,Master!C:G,5,)</f>
        <v>T&amp;I EX HP</v>
      </c>
      <c r="I12" s="549">
        <v>0</v>
      </c>
      <c r="J12" s="549">
        <v>0</v>
      </c>
      <c r="K12" s="71">
        <f t="shared" si="5"/>
        <v>0</v>
      </c>
      <c r="L12" s="549">
        <v>0</v>
      </c>
      <c r="M12" s="511"/>
      <c r="N12" s="549">
        <v>48</v>
      </c>
      <c r="O12" s="549">
        <v>48</v>
      </c>
      <c r="P12" s="72">
        <f t="shared" si="6"/>
        <v>-48</v>
      </c>
      <c r="Q12" s="72">
        <f>IFERROR(IF(D12=20250,O12/(#REF!/30),O12/(I12/30)),0)</f>
        <v>0</v>
      </c>
      <c r="R12" s="72">
        <f t="shared" si="7"/>
        <v>0</v>
      </c>
      <c r="AC12"/>
      <c r="AD12"/>
      <c r="AE12"/>
      <c r="AF12"/>
      <c r="AG12"/>
      <c r="AH12"/>
      <c r="AI12"/>
      <c r="AJ12"/>
    </row>
    <row r="13" spans="1:36" ht="15">
      <c r="A13" s="352" t="str">
        <f t="shared" si="3"/>
        <v>200014654</v>
      </c>
      <c r="B13" s="509" t="s">
        <v>13</v>
      </c>
      <c r="C13" s="69" t="str">
        <f>_xlfn.XLOOKUP(B:B,Master!A:A,Master!B:B)</f>
        <v>RPSPL-HP Factory</v>
      </c>
      <c r="D13" s="509" t="s">
        <v>67</v>
      </c>
      <c r="E13" s="69" t="str">
        <f t="shared" si="4"/>
        <v>200014654</v>
      </c>
      <c r="F13" s="509" t="s">
        <v>68</v>
      </c>
      <c r="G13" s="70" t="str">
        <f>VLOOKUP(D13,Master!C:G,4,)</f>
        <v>T&amp;I</v>
      </c>
      <c r="H13" s="69" t="str">
        <f>VLOOKUP(D13,Master!C:G,5,)</f>
        <v>T&amp;I Comm-UF</v>
      </c>
      <c r="I13" s="549">
        <v>0</v>
      </c>
      <c r="J13" s="549">
        <v>0</v>
      </c>
      <c r="K13" s="71">
        <f t="shared" si="5"/>
        <v>0</v>
      </c>
      <c r="L13" s="549">
        <v>0</v>
      </c>
      <c r="M13" s="511"/>
      <c r="N13" s="549">
        <v>36</v>
      </c>
      <c r="O13" s="549">
        <v>36</v>
      </c>
      <c r="P13" s="72">
        <f t="shared" si="6"/>
        <v>-36</v>
      </c>
      <c r="Q13" s="72">
        <f>IFERROR(IF(D13=20250,O13/(#REF!/30),O13/(I13/30)),0)</f>
        <v>0</v>
      </c>
      <c r="R13" s="72">
        <f t="shared" si="7"/>
        <v>0</v>
      </c>
      <c r="AC13"/>
      <c r="AD13"/>
      <c r="AE13"/>
      <c r="AF13"/>
      <c r="AG13"/>
      <c r="AH13"/>
      <c r="AI13"/>
      <c r="AJ13"/>
    </row>
    <row r="14" spans="1:36" ht="15">
      <c r="A14" s="352" t="str">
        <f t="shared" si="3"/>
        <v>200015459</v>
      </c>
      <c r="B14" s="509" t="s">
        <v>13</v>
      </c>
      <c r="C14" s="69" t="str">
        <f>_xlfn.XLOOKUP(B:B,Master!A:A,Master!B:B)</f>
        <v>RPSPL-HP Factory</v>
      </c>
      <c r="D14" s="509" t="s">
        <v>90</v>
      </c>
      <c r="E14" s="69" t="str">
        <f t="shared" si="4"/>
        <v>200015459</v>
      </c>
      <c r="F14" s="509" t="s">
        <v>91</v>
      </c>
      <c r="G14" s="70" t="str">
        <f>VLOOKUP(D14,Master!C:G,4,)</f>
        <v>T&amp;I</v>
      </c>
      <c r="H14" s="69" t="str">
        <f>VLOOKUP(D14,Master!C:G,5,)</f>
        <v>T&amp;I EX HP</v>
      </c>
      <c r="I14" s="549">
        <v>0</v>
      </c>
      <c r="J14" s="549">
        <v>0</v>
      </c>
      <c r="K14" s="71">
        <f t="shared" si="5"/>
        <v>0</v>
      </c>
      <c r="L14" s="549">
        <v>0</v>
      </c>
      <c r="M14" s="511"/>
      <c r="N14" s="549">
        <v>220</v>
      </c>
      <c r="O14" s="549">
        <v>220</v>
      </c>
      <c r="P14" s="72">
        <f t="shared" si="6"/>
        <v>-220</v>
      </c>
      <c r="Q14" s="72">
        <f>IFERROR(IF(D14=20250,O14/(#REF!/30),O14/(I14/30)),0)</f>
        <v>0</v>
      </c>
      <c r="R14" s="72">
        <f t="shared" si="7"/>
        <v>0</v>
      </c>
      <c r="AC14"/>
      <c r="AD14"/>
      <c r="AE14"/>
      <c r="AF14"/>
      <c r="AG14"/>
      <c r="AH14"/>
      <c r="AI14"/>
      <c r="AJ14"/>
    </row>
    <row r="15" spans="1:36" ht="15">
      <c r="A15" s="352" t="str">
        <f t="shared" si="3"/>
        <v>200015906</v>
      </c>
      <c r="B15" s="509" t="s">
        <v>13</v>
      </c>
      <c r="C15" s="69" t="str">
        <f>_xlfn.XLOOKUP(B:B,Master!A:A,Master!B:B)</f>
        <v>RPSPL-HP Factory</v>
      </c>
      <c r="D15" s="509" t="s">
        <v>74</v>
      </c>
      <c r="E15" s="69" t="str">
        <f t="shared" si="4"/>
        <v>200015906</v>
      </c>
      <c r="F15" s="509" t="s">
        <v>75</v>
      </c>
      <c r="G15" s="70" t="str">
        <f>VLOOKUP(D15,Master!C:G,4,)</f>
        <v>T&amp;I</v>
      </c>
      <c r="H15" s="69" t="str">
        <f>VLOOKUP(D15,Master!C:G,5,)</f>
        <v>T&amp;I EX HP</v>
      </c>
      <c r="I15" s="549">
        <v>0</v>
      </c>
      <c r="J15" s="549">
        <v>0</v>
      </c>
      <c r="K15" s="71">
        <f t="shared" si="5"/>
        <v>0</v>
      </c>
      <c r="L15" s="549">
        <v>0</v>
      </c>
      <c r="M15" s="511"/>
      <c r="N15" s="549">
        <v>36</v>
      </c>
      <c r="O15" s="549">
        <v>36</v>
      </c>
      <c r="P15" s="72">
        <f t="shared" si="6"/>
        <v>-36</v>
      </c>
      <c r="Q15" s="72">
        <f>IFERROR(IF(D15=20250,O15/(#REF!/30),O15/(I15/30)),0)</f>
        <v>0</v>
      </c>
      <c r="R15" s="72">
        <f t="shared" si="7"/>
        <v>0</v>
      </c>
      <c r="AC15"/>
      <c r="AD15"/>
      <c r="AE15"/>
      <c r="AF15"/>
      <c r="AG15"/>
      <c r="AH15"/>
      <c r="AI15"/>
      <c r="AJ15"/>
    </row>
    <row r="16" spans="1:36" ht="15">
      <c r="A16" s="352" t="str">
        <f t="shared" si="3"/>
        <v>200016336</v>
      </c>
      <c r="B16" s="509" t="s">
        <v>13</v>
      </c>
      <c r="C16" s="69" t="str">
        <f>_xlfn.XLOOKUP(B:B,Master!A:A,Master!B:B)</f>
        <v>RPSPL-HP Factory</v>
      </c>
      <c r="D16" s="509" t="s">
        <v>24</v>
      </c>
      <c r="E16" s="69" t="str">
        <f t="shared" si="4"/>
        <v>200016336</v>
      </c>
      <c r="F16" s="509" t="s">
        <v>25</v>
      </c>
      <c r="G16" s="70" t="str">
        <f>VLOOKUP(D16,Master!C:G,4,)</f>
        <v>T&amp;I</v>
      </c>
      <c r="H16" s="69" t="str">
        <f>VLOOKUP(D16,Master!C:G,5,)</f>
        <v>T&amp;I Comm-UF</v>
      </c>
      <c r="I16" s="549">
        <v>1663.8</v>
      </c>
      <c r="J16" s="549">
        <v>0</v>
      </c>
      <c r="K16" s="71">
        <f t="shared" si="5"/>
        <v>0</v>
      </c>
      <c r="L16" s="549">
        <v>0</v>
      </c>
      <c r="M16" s="511"/>
      <c r="N16" s="549">
        <v>96</v>
      </c>
      <c r="O16" s="549">
        <v>96</v>
      </c>
      <c r="P16" s="72">
        <f t="shared" si="6"/>
        <v>1567.8</v>
      </c>
      <c r="Q16" s="72">
        <f>IFERROR(IF(D16=20250,O16/(#REF!/30),O16/(I16/30)),0)</f>
        <v>1.7309772809231878</v>
      </c>
      <c r="R16" s="72">
        <f t="shared" si="7"/>
        <v>1.7309772809231878</v>
      </c>
      <c r="AC16"/>
      <c r="AD16"/>
      <c r="AE16"/>
      <c r="AF16"/>
      <c r="AG16"/>
      <c r="AH16"/>
      <c r="AI16"/>
      <c r="AJ16"/>
    </row>
    <row r="17" spans="1:36" ht="15">
      <c r="A17" s="352" t="str">
        <f t="shared" si="3"/>
        <v>200016984</v>
      </c>
      <c r="B17" s="509" t="s">
        <v>13</v>
      </c>
      <c r="C17" s="69" t="str">
        <f>_xlfn.XLOOKUP(B:B,Master!A:A,Master!B:B)</f>
        <v>RPSPL-HP Factory</v>
      </c>
      <c r="D17" s="509" t="s">
        <v>78</v>
      </c>
      <c r="E17" s="69" t="str">
        <f t="shared" si="4"/>
        <v>200016984</v>
      </c>
      <c r="F17" s="509" t="s">
        <v>79</v>
      </c>
      <c r="G17" s="70" t="str">
        <f>VLOOKUP(D17,Master!C:G,4,)</f>
        <v>T&amp;I</v>
      </c>
      <c r="H17" s="69" t="str">
        <f>VLOOKUP(D17,Master!C:G,5,)</f>
        <v>T&amp;I EX HP</v>
      </c>
      <c r="I17" s="549">
        <v>0</v>
      </c>
      <c r="J17" s="549">
        <v>0</v>
      </c>
      <c r="K17" s="71">
        <f t="shared" si="5"/>
        <v>0</v>
      </c>
      <c r="L17" s="549">
        <v>0</v>
      </c>
      <c r="M17" s="511"/>
      <c r="N17" s="549">
        <v>180</v>
      </c>
      <c r="O17" s="549">
        <v>180</v>
      </c>
      <c r="P17" s="72">
        <f t="shared" si="6"/>
        <v>-180</v>
      </c>
      <c r="Q17" s="72">
        <f>IFERROR(IF(D17=20250,O17/(#REF!/30),O17/(I17/30)),0)</f>
        <v>0</v>
      </c>
      <c r="R17" s="72">
        <f t="shared" si="7"/>
        <v>0</v>
      </c>
      <c r="AC17"/>
      <c r="AD17"/>
      <c r="AE17"/>
      <c r="AF17"/>
      <c r="AG17"/>
      <c r="AH17"/>
      <c r="AI17"/>
      <c r="AJ17"/>
    </row>
    <row r="18" spans="1:36" ht="15">
      <c r="A18" s="352" t="str">
        <f t="shared" si="3"/>
        <v>200020308</v>
      </c>
      <c r="B18" s="509" t="s">
        <v>13</v>
      </c>
      <c r="C18" s="69" t="str">
        <f>_xlfn.XLOOKUP(B:B,Master!A:A,Master!B:B)</f>
        <v>RPSPL-HP Factory</v>
      </c>
      <c r="D18" s="509" t="s">
        <v>146</v>
      </c>
      <c r="E18" s="69" t="str">
        <f t="shared" si="4"/>
        <v>200020308</v>
      </c>
      <c r="F18" s="509" t="s">
        <v>902</v>
      </c>
      <c r="G18" s="70" t="str">
        <f>VLOOKUP(D18,Master!C:G,4,)</f>
        <v>T&amp;I</v>
      </c>
      <c r="H18" s="69" t="str">
        <f>VLOOKUP(D18,Master!C:G,5,)</f>
        <v>T&amp;I EX HP 2 KG</v>
      </c>
      <c r="I18" s="549">
        <v>0</v>
      </c>
      <c r="J18" s="549">
        <v>0</v>
      </c>
      <c r="K18" s="71">
        <f t="shared" si="5"/>
        <v>0</v>
      </c>
      <c r="L18" s="549">
        <v>0</v>
      </c>
      <c r="M18" s="511"/>
      <c r="N18" s="549">
        <v>144</v>
      </c>
      <c r="O18" s="549">
        <v>144</v>
      </c>
      <c r="P18" s="72">
        <f t="shared" si="6"/>
        <v>-144</v>
      </c>
      <c r="Q18" s="72">
        <f>IFERROR(IF(D18=20250,O18/(#REF!/30),O18/(I18/30)),0)</f>
        <v>0</v>
      </c>
      <c r="R18" s="72">
        <f t="shared" si="7"/>
        <v>0</v>
      </c>
      <c r="AC18"/>
      <c r="AD18"/>
      <c r="AE18"/>
      <c r="AF18"/>
      <c r="AG18"/>
      <c r="AH18"/>
      <c r="AI18"/>
      <c r="AJ18"/>
    </row>
    <row r="19" spans="1:36" ht="15">
      <c r="A19" s="352" t="str">
        <f t="shared" si="3"/>
        <v>200021910</v>
      </c>
      <c r="B19" s="509" t="s">
        <v>13</v>
      </c>
      <c r="C19" s="69" t="str">
        <f>_xlfn.XLOOKUP(B:B,Master!A:A,Master!B:B)</f>
        <v>RPSPL-HP Factory</v>
      </c>
      <c r="D19" s="509" t="s">
        <v>180</v>
      </c>
      <c r="E19" s="69" t="str">
        <f t="shared" si="4"/>
        <v>200021910</v>
      </c>
      <c r="F19" s="509" t="s">
        <v>181</v>
      </c>
      <c r="G19" s="70" t="str">
        <f>VLOOKUP(D19,Master!C:G,4,)</f>
        <v>T&amp;I</v>
      </c>
      <c r="H19" s="69" t="str">
        <f>VLOOKUP(D19,Master!C:G,5,)</f>
        <v>T&amp;I EX HP 2 KG</v>
      </c>
      <c r="I19" s="549">
        <v>0</v>
      </c>
      <c r="J19" s="549">
        <v>0</v>
      </c>
      <c r="K19" s="71">
        <f t="shared" si="5"/>
        <v>0</v>
      </c>
      <c r="L19" s="549">
        <v>0</v>
      </c>
      <c r="M19" s="511"/>
      <c r="N19" s="549">
        <v>108</v>
      </c>
      <c r="O19" s="549">
        <v>108</v>
      </c>
      <c r="P19" s="72">
        <f t="shared" si="6"/>
        <v>-108</v>
      </c>
      <c r="Q19" s="72">
        <f>IFERROR(IF(D19=20250,O19/(#REF!/30),O19/(I19/30)),0)</f>
        <v>0</v>
      </c>
      <c r="R19" s="72">
        <f t="shared" si="7"/>
        <v>0</v>
      </c>
      <c r="AC19"/>
      <c r="AD19"/>
      <c r="AE19"/>
      <c r="AF19"/>
      <c r="AG19"/>
      <c r="AH19"/>
      <c r="AI19"/>
      <c r="AJ19"/>
    </row>
    <row r="20" spans="1:36" ht="15">
      <c r="A20" s="352" t="str">
        <f t="shared" si="3"/>
        <v>200023081</v>
      </c>
      <c r="B20" s="509" t="s">
        <v>13</v>
      </c>
      <c r="C20" s="69" t="str">
        <f>_xlfn.XLOOKUP(B:B,Master!A:A,Master!B:B)</f>
        <v>RPSPL-HP Factory</v>
      </c>
      <c r="D20" s="509" t="s">
        <v>189</v>
      </c>
      <c r="E20" s="69" t="str">
        <f t="shared" si="4"/>
        <v>200023081</v>
      </c>
      <c r="F20" s="509" t="s">
        <v>190</v>
      </c>
      <c r="G20" s="70" t="str">
        <f>VLOOKUP(D20,Master!C:G,4,)</f>
        <v>T&amp;I</v>
      </c>
      <c r="H20" s="69" t="str">
        <f>VLOOKUP(D20,Master!C:G,5,)</f>
        <v>T&amp;I EX HP</v>
      </c>
      <c r="I20" s="549">
        <v>0</v>
      </c>
      <c r="J20" s="549">
        <v>0</v>
      </c>
      <c r="K20" s="71">
        <f t="shared" si="5"/>
        <v>0</v>
      </c>
      <c r="L20" s="549">
        <v>0</v>
      </c>
      <c r="M20" s="511"/>
      <c r="N20" s="549">
        <v>144</v>
      </c>
      <c r="O20" s="549">
        <v>144</v>
      </c>
      <c r="P20" s="72">
        <f t="shared" si="6"/>
        <v>-144</v>
      </c>
      <c r="Q20" s="72">
        <f>IFERROR(IF(D20=20250,O20/(#REF!/30),O20/(I20/30)),0)</f>
        <v>0</v>
      </c>
      <c r="R20" s="72">
        <f t="shared" si="7"/>
        <v>0</v>
      </c>
      <c r="AC20"/>
      <c r="AD20"/>
      <c r="AE20"/>
      <c r="AF20"/>
      <c r="AG20"/>
      <c r="AH20"/>
      <c r="AI20"/>
      <c r="AJ20"/>
    </row>
    <row r="21" spans="1:36" ht="15">
      <c r="A21" s="352" t="str">
        <f t="shared" si="3"/>
        <v>200023691</v>
      </c>
      <c r="B21" s="509" t="s">
        <v>13</v>
      </c>
      <c r="C21" s="69" t="str">
        <f>_xlfn.XLOOKUP(B:B,Master!A:A,Master!B:B)</f>
        <v>RPSPL-HP Factory</v>
      </c>
      <c r="D21" s="509" t="s">
        <v>855</v>
      </c>
      <c r="E21" s="69" t="str">
        <f t="shared" si="4"/>
        <v>200023691</v>
      </c>
      <c r="F21" s="509" t="s">
        <v>856</v>
      </c>
      <c r="G21" s="70" t="str">
        <f>VLOOKUP(D21,Master!C:G,4,)</f>
        <v>T&amp;I</v>
      </c>
      <c r="H21" s="69" t="str">
        <f>VLOOKUP(D21,Master!C:G,5,)</f>
        <v>T&amp;I EX HP</v>
      </c>
      <c r="I21" s="549">
        <v>0</v>
      </c>
      <c r="J21" s="549">
        <v>0</v>
      </c>
      <c r="K21" s="71">
        <f t="shared" si="5"/>
        <v>0</v>
      </c>
      <c r="L21" s="549">
        <v>0</v>
      </c>
      <c r="M21" s="511"/>
      <c r="N21" s="549">
        <v>240</v>
      </c>
      <c r="O21" s="549">
        <v>240</v>
      </c>
      <c r="P21" s="72">
        <f t="shared" si="6"/>
        <v>-240</v>
      </c>
      <c r="Q21" s="72">
        <f>IFERROR(IF(D21=20250,O21/(#REF!/30),O21/(I21/30)),0)</f>
        <v>0</v>
      </c>
      <c r="R21" s="72">
        <f t="shared" si="7"/>
        <v>0</v>
      </c>
      <c r="AC21"/>
      <c r="AD21"/>
      <c r="AE21"/>
      <c r="AF21"/>
      <c r="AG21"/>
      <c r="AH21"/>
      <c r="AI21"/>
      <c r="AJ21"/>
    </row>
    <row r="22" spans="1:36" ht="15">
      <c r="A22" s="352" t="str">
        <f t="shared" si="3"/>
        <v>200024216</v>
      </c>
      <c r="B22" s="509" t="s">
        <v>13</v>
      </c>
      <c r="C22" s="69" t="str">
        <f>_xlfn.XLOOKUP(B:B,Master!A:A,Master!B:B)</f>
        <v>RPSPL-HP Factory</v>
      </c>
      <c r="D22" s="509" t="s">
        <v>1153</v>
      </c>
      <c r="E22" s="69" t="str">
        <f t="shared" si="4"/>
        <v>200024216</v>
      </c>
      <c r="F22" s="509" t="s">
        <v>1154</v>
      </c>
      <c r="G22" s="70" t="str">
        <f>VLOOKUP(D22,Master!C:G,4,)</f>
        <v>DD</v>
      </c>
      <c r="H22" s="69" t="str">
        <f>VLOOKUP(D22,Master!C:G,5,)</f>
        <v>OS - Dry</v>
      </c>
      <c r="I22" s="549">
        <v>0</v>
      </c>
      <c r="J22" s="549">
        <v>0</v>
      </c>
      <c r="K22" s="71">
        <f t="shared" si="5"/>
        <v>0</v>
      </c>
      <c r="L22" s="549">
        <v>0</v>
      </c>
      <c r="M22" s="511"/>
      <c r="N22" s="549">
        <v>216</v>
      </c>
      <c r="O22" s="549">
        <v>216</v>
      </c>
      <c r="P22" s="72">
        <f t="shared" si="6"/>
        <v>-216</v>
      </c>
      <c r="Q22" s="72">
        <f>IFERROR(IF(D22=20250,O22/(#REF!/30),O22/(I22/30)),0)</f>
        <v>0</v>
      </c>
      <c r="R22" s="72">
        <f t="shared" si="7"/>
        <v>0</v>
      </c>
      <c r="AC22"/>
      <c r="AD22"/>
      <c r="AE22"/>
      <c r="AF22"/>
      <c r="AG22"/>
      <c r="AH22"/>
      <c r="AI22"/>
      <c r="AJ22"/>
    </row>
    <row r="23" spans="1:36" ht="15">
      <c r="A23" s="352" t="str">
        <f t="shared" si="3"/>
        <v>200025570</v>
      </c>
      <c r="B23" s="509" t="s">
        <v>13</v>
      </c>
      <c r="C23" s="69" t="str">
        <f>_xlfn.XLOOKUP(B:B,Master!A:A,Master!B:B)</f>
        <v>RPSPL-HP Factory</v>
      </c>
      <c r="D23" s="509" t="s">
        <v>1006</v>
      </c>
      <c r="E23" s="69" t="str">
        <f t="shared" si="4"/>
        <v>200025570</v>
      </c>
      <c r="F23" s="509" t="s">
        <v>1008</v>
      </c>
      <c r="G23" s="70" t="str">
        <f>VLOOKUP(D23,Master!C:G,4,)</f>
        <v>T&amp;I</v>
      </c>
      <c r="H23" s="69" t="str">
        <f>VLOOKUP(D23,Master!C:G,5,)</f>
        <v>T&amp;I EX HP</v>
      </c>
      <c r="I23" s="549">
        <v>0</v>
      </c>
      <c r="J23" s="549">
        <v>0</v>
      </c>
      <c r="K23" s="71">
        <f t="shared" si="5"/>
        <v>0</v>
      </c>
      <c r="L23" s="549">
        <v>0</v>
      </c>
      <c r="M23" s="511"/>
      <c r="N23" s="549">
        <v>12</v>
      </c>
      <c r="O23" s="549">
        <v>12</v>
      </c>
      <c r="P23" s="72">
        <f t="shared" si="6"/>
        <v>-12</v>
      </c>
      <c r="Q23" s="72">
        <f>IFERROR(IF(D23=20250,O23/(#REF!/30),O23/(I23/30)),0)</f>
        <v>0</v>
      </c>
      <c r="R23" s="72">
        <f t="shared" si="7"/>
        <v>0</v>
      </c>
      <c r="AC23"/>
      <c r="AD23"/>
      <c r="AE23"/>
      <c r="AF23"/>
      <c r="AG23"/>
      <c r="AH23"/>
      <c r="AI23"/>
      <c r="AJ23"/>
    </row>
    <row r="24" spans="1:36" ht="15">
      <c r="A24" s="352" t="str">
        <f t="shared" si="3"/>
        <v>410006151</v>
      </c>
      <c r="B24" s="509" t="s">
        <v>26</v>
      </c>
      <c r="C24" s="69" t="str">
        <f>_xlfn.XLOOKUP(B:B,Master!A:A,Master!B:B)</f>
        <v>RPSPL-GUJ</v>
      </c>
      <c r="D24" s="509" t="s">
        <v>28</v>
      </c>
      <c r="E24" s="69" t="str">
        <f t="shared" si="4"/>
        <v>410006151</v>
      </c>
      <c r="F24" s="509" t="s">
        <v>29</v>
      </c>
      <c r="G24" s="70" t="str">
        <f>VLOOKUP(D24,Master!C:G,4,)</f>
        <v>DD</v>
      </c>
      <c r="H24" s="69" t="str">
        <f>VLOOKUP(D24,Master!C:G,5,)</f>
        <v>OS - Dry</v>
      </c>
      <c r="I24" s="549">
        <v>48261.48</v>
      </c>
      <c r="J24" s="549">
        <v>22404</v>
      </c>
      <c r="K24" s="71">
        <f t="shared" si="5"/>
        <v>0.4642211552567389</v>
      </c>
      <c r="L24" s="549">
        <v>0</v>
      </c>
      <c r="M24" s="511"/>
      <c r="N24" s="549">
        <v>23088</v>
      </c>
      <c r="O24" s="549">
        <v>23088</v>
      </c>
      <c r="P24" s="72">
        <f t="shared" si="6"/>
        <v>2769.4800000000032</v>
      </c>
      <c r="Q24" s="72">
        <f>IFERROR(IF(D24=20250,O24/(#REF!/30),O24/(I24/30)),0)</f>
        <v>14.351818468890716</v>
      </c>
      <c r="R24" s="72">
        <f t="shared" si="7"/>
        <v>14.351818468890716</v>
      </c>
      <c r="AC24"/>
      <c r="AD24"/>
      <c r="AE24"/>
      <c r="AF24"/>
      <c r="AG24"/>
      <c r="AH24"/>
      <c r="AI24"/>
      <c r="AJ24"/>
    </row>
    <row r="25" spans="1:36" ht="15">
      <c r="A25" s="352" t="str">
        <f t="shared" si="3"/>
        <v>410013490</v>
      </c>
      <c r="B25" s="509" t="s">
        <v>26</v>
      </c>
      <c r="C25" s="69" t="str">
        <f>_xlfn.XLOOKUP(B:B,Master!A:A,Master!B:B)</f>
        <v>RPSPL-GUJ</v>
      </c>
      <c r="D25" s="509" t="s">
        <v>37</v>
      </c>
      <c r="E25" s="69" t="str">
        <f t="shared" si="4"/>
        <v>410013490</v>
      </c>
      <c r="F25" s="509" t="s">
        <v>38</v>
      </c>
      <c r="G25" s="70" t="str">
        <f>VLOOKUP(D25,Master!C:G,4,)</f>
        <v>NGL</v>
      </c>
      <c r="H25" s="69" t="str">
        <f>VLOOKUP(D25,Master!C:G,5,)</f>
        <v>UF-Dry</v>
      </c>
      <c r="I25" s="549">
        <v>1291.5999999999999</v>
      </c>
      <c r="J25" s="549">
        <v>640</v>
      </c>
      <c r="K25" s="71">
        <f t="shared" si="5"/>
        <v>0.49550944564880772</v>
      </c>
      <c r="L25" s="549">
        <v>0</v>
      </c>
      <c r="M25" s="511"/>
      <c r="N25" s="549">
        <v>6770</v>
      </c>
      <c r="O25" s="549">
        <v>6770</v>
      </c>
      <c r="P25" s="72">
        <f t="shared" si="6"/>
        <v>-6118.4</v>
      </c>
      <c r="Q25" s="72">
        <f>IFERROR(IF(D25=20250,O25/(#REF!/30),O25/(I25/30)),0)</f>
        <v>157.24682564261383</v>
      </c>
      <c r="R25" s="72">
        <f t="shared" si="7"/>
        <v>157.24682564261383</v>
      </c>
      <c r="AC25"/>
      <c r="AD25"/>
      <c r="AE25"/>
      <c r="AF25"/>
      <c r="AG25"/>
      <c r="AH25"/>
      <c r="AI25"/>
      <c r="AJ25"/>
    </row>
    <row r="26" spans="1:36" ht="15">
      <c r="A26" s="352" t="str">
        <f t="shared" si="3"/>
        <v>410015300</v>
      </c>
      <c r="B26" s="509" t="s">
        <v>26</v>
      </c>
      <c r="C26" s="69" t="str">
        <f>_xlfn.XLOOKUP(B:B,Master!A:A,Master!B:B)</f>
        <v>RPSPL-GUJ</v>
      </c>
      <c r="D26" s="509" t="s">
        <v>43</v>
      </c>
      <c r="E26" s="69" t="str">
        <f t="shared" si="4"/>
        <v>410015300</v>
      </c>
      <c r="F26" s="509" t="s">
        <v>44</v>
      </c>
      <c r="G26" s="70" t="str">
        <f>VLOOKUP(D26,Master!C:G,4,)</f>
        <v>NGL</v>
      </c>
      <c r="H26" s="69" t="str">
        <f>VLOOKUP(D26,Master!C:G,5,)</f>
        <v>UF-Dry</v>
      </c>
      <c r="I26" s="549">
        <v>130.59</v>
      </c>
      <c r="J26" s="549">
        <v>27</v>
      </c>
      <c r="K26" s="71">
        <f t="shared" si="5"/>
        <v>0.2067539627842867</v>
      </c>
      <c r="L26" s="549">
        <v>0</v>
      </c>
      <c r="M26" s="511"/>
      <c r="N26" s="549">
        <v>108</v>
      </c>
      <c r="O26" s="549">
        <v>108</v>
      </c>
      <c r="P26" s="72">
        <f t="shared" si="6"/>
        <v>-4.4099999999999966</v>
      </c>
      <c r="Q26" s="72">
        <f>IFERROR(IF(D26=20250,O26/(#REF!/30),O26/(I26/30)),0)</f>
        <v>24.810475534114406</v>
      </c>
      <c r="R26" s="72">
        <f t="shared" si="7"/>
        <v>24.810475534114406</v>
      </c>
      <c r="AC26"/>
      <c r="AD26"/>
      <c r="AE26"/>
      <c r="AF26"/>
      <c r="AG26"/>
      <c r="AH26"/>
      <c r="AI26"/>
      <c r="AJ26"/>
    </row>
    <row r="27" spans="1:36" ht="15">
      <c r="A27" s="352" t="str">
        <f t="shared" si="3"/>
        <v>410019690</v>
      </c>
      <c r="B27" s="509" t="s">
        <v>26</v>
      </c>
      <c r="C27" s="69" t="str">
        <f>_xlfn.XLOOKUP(B:B,Master!A:A,Master!B:B)</f>
        <v>RPSPL-GUJ</v>
      </c>
      <c r="D27" s="509" t="s">
        <v>88</v>
      </c>
      <c r="E27" s="69" t="str">
        <f t="shared" si="4"/>
        <v>410019690</v>
      </c>
      <c r="F27" s="509" t="s">
        <v>89</v>
      </c>
      <c r="G27" s="70" t="str">
        <f>VLOOKUP(D27,Master!C:G,4,)</f>
        <v>NFL</v>
      </c>
      <c r="H27" s="69" t="str">
        <f>VLOOKUP(D27,Master!C:G,5,)</f>
        <v>OS - Dry</v>
      </c>
      <c r="I27" s="549">
        <v>34.56</v>
      </c>
      <c r="J27" s="549">
        <v>0</v>
      </c>
      <c r="K27" s="71">
        <f t="shared" si="5"/>
        <v>0</v>
      </c>
      <c r="L27" s="549">
        <v>0</v>
      </c>
      <c r="M27" s="511"/>
      <c r="N27" s="549">
        <v>180</v>
      </c>
      <c r="O27" s="549">
        <v>180</v>
      </c>
      <c r="P27" s="72">
        <f t="shared" si="6"/>
        <v>-145.44</v>
      </c>
      <c r="Q27" s="72">
        <f>IFERROR(IF(D27=20250,O27/(#REF!/30),O27/(I27/30)),0)</f>
        <v>156.24999999999997</v>
      </c>
      <c r="R27" s="72">
        <f t="shared" si="7"/>
        <v>156.24999999999997</v>
      </c>
      <c r="AC27"/>
      <c r="AD27"/>
      <c r="AE27"/>
      <c r="AF27"/>
      <c r="AG27"/>
      <c r="AH27"/>
      <c r="AI27"/>
      <c r="AJ27"/>
    </row>
    <row r="28" spans="1:36" ht="15">
      <c r="A28" s="352" t="str">
        <f t="shared" si="3"/>
        <v>410020661</v>
      </c>
      <c r="B28" s="509" t="s">
        <v>26</v>
      </c>
      <c r="C28" s="69" t="str">
        <f>_xlfn.XLOOKUP(B:B,Master!A:A,Master!B:B)</f>
        <v>RPSPL-GUJ</v>
      </c>
      <c r="D28" s="509" t="s">
        <v>167</v>
      </c>
      <c r="E28" s="69" t="str">
        <f t="shared" si="4"/>
        <v>410020661</v>
      </c>
      <c r="F28" s="509" t="s">
        <v>168</v>
      </c>
      <c r="G28" s="70" t="str">
        <f>VLOOKUP(D28,Master!C:G,4,)</f>
        <v>UHT-Chill</v>
      </c>
      <c r="H28" s="69" t="str">
        <f>VLOOKUP(D28,Master!C:G,5,)</f>
        <v>OS-Chill</v>
      </c>
      <c r="I28" s="549">
        <v>448.32</v>
      </c>
      <c r="J28" s="549">
        <v>0</v>
      </c>
      <c r="K28" s="71">
        <f t="shared" si="5"/>
        <v>0</v>
      </c>
      <c r="L28" s="549">
        <v>0</v>
      </c>
      <c r="M28" s="511"/>
      <c r="N28" s="549">
        <v>0</v>
      </c>
      <c r="O28" s="549">
        <v>0</v>
      </c>
      <c r="P28" s="72">
        <f t="shared" si="6"/>
        <v>448.32</v>
      </c>
      <c r="Q28" s="72">
        <f>IFERROR(IF(D28=20250,O28/(#REF!/30),O28/(I28/30)),0)</f>
        <v>0</v>
      </c>
      <c r="R28" s="72">
        <f t="shared" si="7"/>
        <v>0</v>
      </c>
      <c r="AC28"/>
      <c r="AD28"/>
      <c r="AE28"/>
      <c r="AF28"/>
      <c r="AG28"/>
      <c r="AH28"/>
      <c r="AI28"/>
      <c r="AJ28"/>
    </row>
    <row r="29" spans="1:36" ht="15">
      <c r="A29" s="352" t="str">
        <f t="shared" si="3"/>
        <v>410023638</v>
      </c>
      <c r="B29" s="509" t="s">
        <v>26</v>
      </c>
      <c r="C29" s="69" t="str">
        <f>_xlfn.XLOOKUP(B:B,Master!A:A,Master!B:B)</f>
        <v>RPSPL-GUJ</v>
      </c>
      <c r="D29" s="509" t="s">
        <v>198</v>
      </c>
      <c r="E29" s="69" t="str">
        <f t="shared" si="4"/>
        <v>410023638</v>
      </c>
      <c r="F29" s="509" t="s">
        <v>199</v>
      </c>
      <c r="G29" s="70" t="str">
        <f>VLOOKUP(D29,Master!C:G,4,)</f>
        <v>DD</v>
      </c>
      <c r="H29" s="69" t="str">
        <f>VLOOKUP(D29,Master!C:G,5,)</f>
        <v>OS - Dry</v>
      </c>
      <c r="I29" s="549">
        <v>2400</v>
      </c>
      <c r="J29" s="549">
        <v>1272</v>
      </c>
      <c r="K29" s="71">
        <f t="shared" si="5"/>
        <v>0.53</v>
      </c>
      <c r="L29" s="549">
        <v>0</v>
      </c>
      <c r="M29" s="511"/>
      <c r="N29" s="549">
        <v>3924</v>
      </c>
      <c r="O29" s="549">
        <v>3924</v>
      </c>
      <c r="P29" s="72">
        <f t="shared" si="6"/>
        <v>-2796</v>
      </c>
      <c r="Q29" s="72">
        <f>IFERROR(IF(D29=20250,O29/(#REF!/30),O29/(I29/30)),0)</f>
        <v>49.05</v>
      </c>
      <c r="R29" s="72">
        <f t="shared" si="7"/>
        <v>49.05</v>
      </c>
      <c r="AC29"/>
      <c r="AD29"/>
      <c r="AE29"/>
      <c r="AF29"/>
      <c r="AG29"/>
      <c r="AH29"/>
      <c r="AI29"/>
      <c r="AJ29"/>
    </row>
    <row r="30" spans="1:36" ht="15">
      <c r="A30" s="352" t="str">
        <f t="shared" si="3"/>
        <v>410025885</v>
      </c>
      <c r="B30" s="509" t="s">
        <v>26</v>
      </c>
      <c r="C30" s="69" t="str">
        <f>_xlfn.XLOOKUP(B:B,Master!A:A,Master!B:B)</f>
        <v>RPSPL-GUJ</v>
      </c>
      <c r="D30" s="509" t="s">
        <v>1037</v>
      </c>
      <c r="E30" s="69" t="str">
        <f t="shared" si="4"/>
        <v>410025885</v>
      </c>
      <c r="F30" s="509" t="s">
        <v>1038</v>
      </c>
      <c r="G30" s="70" t="str">
        <f>VLOOKUP(D30,Master!C:G,4,)</f>
        <v>T&amp;I</v>
      </c>
      <c r="H30" s="69" t="str">
        <f>VLOOKUP(D30,Master!C:G,5,)</f>
        <v>T&amp;I EX UF</v>
      </c>
      <c r="I30" s="549">
        <v>1548</v>
      </c>
      <c r="J30" s="549">
        <v>264</v>
      </c>
      <c r="K30" s="71">
        <f t="shared" si="5"/>
        <v>0.17054263565891473</v>
      </c>
      <c r="L30" s="549">
        <v>0</v>
      </c>
      <c r="M30" s="511"/>
      <c r="N30" s="549">
        <v>2412</v>
      </c>
      <c r="O30" s="549">
        <v>2412</v>
      </c>
      <c r="P30" s="72">
        <f t="shared" si="6"/>
        <v>-1128</v>
      </c>
      <c r="Q30" s="72">
        <f>IFERROR(IF(D30=20250,O30/(#REF!/30),O30/(I30/30)),0)</f>
        <v>46.744186046511629</v>
      </c>
      <c r="R30" s="72">
        <f t="shared" si="7"/>
        <v>46.744186046511629</v>
      </c>
      <c r="AC30"/>
      <c r="AD30"/>
      <c r="AE30"/>
      <c r="AF30"/>
      <c r="AG30"/>
      <c r="AH30"/>
      <c r="AI30"/>
      <c r="AJ30"/>
    </row>
    <row r="31" spans="1:36" ht="15">
      <c r="A31" s="352" t="str">
        <f t="shared" si="3"/>
        <v>410026192</v>
      </c>
      <c r="B31" s="509" t="s">
        <v>26</v>
      </c>
      <c r="C31" s="69" t="str">
        <f>_xlfn.XLOOKUP(B:B,Master!A:A,Master!B:B)</f>
        <v>RPSPL-GUJ</v>
      </c>
      <c r="D31" s="509" t="s">
        <v>1188</v>
      </c>
      <c r="E31" s="69" t="str">
        <f t="shared" si="4"/>
        <v>410026192</v>
      </c>
      <c r="F31" s="509" t="s">
        <v>1223</v>
      </c>
      <c r="G31" s="70" t="str">
        <f>VLOOKUP(D31,Master!C:G,4,)</f>
        <v>DD</v>
      </c>
      <c r="H31" s="69" t="str">
        <f>VLOOKUP(D31,Master!C:G,5,)</f>
        <v>OS - Dry</v>
      </c>
      <c r="I31" s="549">
        <v>2986.08</v>
      </c>
      <c r="J31" s="549">
        <v>0</v>
      </c>
      <c r="K31" s="71">
        <f t="shared" si="5"/>
        <v>0</v>
      </c>
      <c r="L31" s="549">
        <v>0</v>
      </c>
      <c r="M31" s="511"/>
      <c r="N31" s="549">
        <v>0</v>
      </c>
      <c r="O31" s="549">
        <v>0</v>
      </c>
      <c r="P31" s="72">
        <f t="shared" si="6"/>
        <v>2986.08</v>
      </c>
      <c r="Q31" s="72">
        <f>IFERROR(IF(D31=20250,O31/(#REF!/30),O31/(I31/30)),0)</f>
        <v>0</v>
      </c>
      <c r="R31" s="72">
        <f t="shared" si="7"/>
        <v>0</v>
      </c>
      <c r="AC31"/>
      <c r="AD31"/>
      <c r="AE31"/>
      <c r="AF31"/>
      <c r="AG31"/>
      <c r="AH31"/>
      <c r="AI31"/>
      <c r="AJ31"/>
    </row>
    <row r="32" spans="1:36" ht="15">
      <c r="A32" s="352" t="str">
        <f t="shared" si="3"/>
        <v>410026234</v>
      </c>
      <c r="B32" s="509" t="s">
        <v>26</v>
      </c>
      <c r="C32" s="69" t="str">
        <f>_xlfn.XLOOKUP(B:B,Master!A:A,Master!B:B)</f>
        <v>RPSPL-GUJ</v>
      </c>
      <c r="D32" s="509" t="s">
        <v>1176</v>
      </c>
      <c r="E32" s="69" t="str">
        <f t="shared" si="4"/>
        <v>410026234</v>
      </c>
      <c r="F32" s="509" t="s">
        <v>1182</v>
      </c>
      <c r="G32" s="70" t="str">
        <f>VLOOKUP(D32,Master!C:G,4,)</f>
        <v>T&amp;I</v>
      </c>
      <c r="H32" s="69" t="str">
        <f>VLOOKUP(D32,Master!C:G,5,)</f>
        <v>T&amp;I EX UF</v>
      </c>
      <c r="I32" s="549">
        <v>0</v>
      </c>
      <c r="J32" s="549">
        <v>24</v>
      </c>
      <c r="K32" s="71">
        <f t="shared" si="5"/>
        <v>0</v>
      </c>
      <c r="L32" s="549">
        <v>0</v>
      </c>
      <c r="M32" s="511"/>
      <c r="N32" s="549">
        <v>1752</v>
      </c>
      <c r="O32" s="549">
        <v>1752</v>
      </c>
      <c r="P32" s="72">
        <f t="shared" si="6"/>
        <v>-1776</v>
      </c>
      <c r="Q32" s="72">
        <f>IFERROR(IF(D32=20250,O32/(#REF!/30),O32/(I32/30)),0)</f>
        <v>0</v>
      </c>
      <c r="R32" s="72">
        <f t="shared" si="7"/>
        <v>0</v>
      </c>
      <c r="AC32"/>
      <c r="AD32"/>
      <c r="AE32"/>
      <c r="AF32"/>
      <c r="AG32"/>
      <c r="AH32"/>
      <c r="AI32"/>
      <c r="AJ32"/>
    </row>
    <row r="33" spans="1:36" ht="15">
      <c r="A33" s="352" t="str">
        <f t="shared" si="3"/>
        <v>410026744</v>
      </c>
      <c r="B33" s="509" t="s">
        <v>26</v>
      </c>
      <c r="C33" s="69" t="str">
        <f>_xlfn.XLOOKUP(B:B,Master!A:A,Master!B:B)</f>
        <v>RPSPL-GUJ</v>
      </c>
      <c r="D33" s="509" t="s">
        <v>1231</v>
      </c>
      <c r="E33" s="69" t="str">
        <f t="shared" si="4"/>
        <v>410026744</v>
      </c>
      <c r="F33" s="509" t="s">
        <v>1236</v>
      </c>
      <c r="G33" s="70" t="str">
        <f>VLOOKUP(D33,Master!C:G,4,)</f>
        <v>NFL</v>
      </c>
      <c r="H33" s="69" t="str">
        <f>VLOOKUP(D33,Master!C:G,5,)</f>
        <v>PF MFG</v>
      </c>
      <c r="I33" s="549">
        <v>0</v>
      </c>
      <c r="J33" s="549">
        <v>0</v>
      </c>
      <c r="K33" s="71">
        <f t="shared" si="5"/>
        <v>0</v>
      </c>
      <c r="L33" s="549">
        <v>0</v>
      </c>
      <c r="M33" s="511"/>
      <c r="N33" s="549">
        <v>48</v>
      </c>
      <c r="O33" s="549">
        <v>48</v>
      </c>
      <c r="P33" s="72">
        <f t="shared" si="6"/>
        <v>-48</v>
      </c>
      <c r="Q33" s="72">
        <f>IFERROR(IF(D33=20250,O33/(#REF!/30),O33/(I33/30)),0)</f>
        <v>0</v>
      </c>
      <c r="R33" s="72">
        <f t="shared" si="7"/>
        <v>0</v>
      </c>
      <c r="AC33"/>
      <c r="AD33"/>
      <c r="AE33"/>
      <c r="AF33"/>
      <c r="AG33"/>
      <c r="AH33"/>
      <c r="AI33"/>
      <c r="AJ33"/>
    </row>
    <row r="34" spans="1:36" ht="15">
      <c r="A34" s="352" t="str">
        <f t="shared" si="3"/>
        <v>410004145</v>
      </c>
      <c r="B34" s="509" t="s">
        <v>26</v>
      </c>
      <c r="C34" s="69" t="str">
        <f>_xlfn.XLOOKUP(B:B,Master!A:A,Master!B:B)</f>
        <v>RPSPL-GUJ</v>
      </c>
      <c r="D34" s="509" t="s">
        <v>34</v>
      </c>
      <c r="E34" s="69" t="str">
        <f t="shared" si="4"/>
        <v>410004145</v>
      </c>
      <c r="F34" s="509" t="s">
        <v>35</v>
      </c>
      <c r="G34" s="70" t="str">
        <f>VLOOKUP(D34,Master!C:G,4,)</f>
        <v>NGL</v>
      </c>
      <c r="H34" s="69" t="str">
        <f>VLOOKUP(D34,Master!C:G,5,)</f>
        <v>UF-Dry</v>
      </c>
      <c r="I34" s="549">
        <v>22.68</v>
      </c>
      <c r="J34" s="549">
        <v>9</v>
      </c>
      <c r="K34" s="71">
        <f t="shared" si="5"/>
        <v>0.3968253968253968</v>
      </c>
      <c r="L34" s="549">
        <v>0</v>
      </c>
      <c r="M34" s="511"/>
      <c r="N34" s="549">
        <v>36</v>
      </c>
      <c r="O34" s="549">
        <v>36</v>
      </c>
      <c r="P34" s="72">
        <f t="shared" si="6"/>
        <v>-22.32</v>
      </c>
      <c r="Q34" s="72">
        <f>IFERROR(IF(D34=20250,O34/(#REF!/30),O34/(I34/30)),0)</f>
        <v>47.61904761904762</v>
      </c>
      <c r="R34" s="72">
        <f t="shared" si="7"/>
        <v>47.61904761904762</v>
      </c>
      <c r="AC34"/>
      <c r="AD34"/>
      <c r="AE34"/>
      <c r="AF34"/>
      <c r="AG34"/>
      <c r="AH34"/>
      <c r="AI34"/>
      <c r="AJ34"/>
    </row>
    <row r="35" spans="1:36" ht="15">
      <c r="A35" s="352" t="str">
        <f t="shared" si="3"/>
        <v>410014248</v>
      </c>
      <c r="B35" s="509" t="s">
        <v>26</v>
      </c>
      <c r="C35" s="69" t="str">
        <f>_xlfn.XLOOKUP(B:B,Master!A:A,Master!B:B)</f>
        <v>RPSPL-GUJ</v>
      </c>
      <c r="D35" s="509" t="s">
        <v>41</v>
      </c>
      <c r="E35" s="69" t="str">
        <f t="shared" si="4"/>
        <v>410014248</v>
      </c>
      <c r="F35" s="509" t="s">
        <v>42</v>
      </c>
      <c r="G35" s="70" t="str">
        <f>VLOOKUP(D35,Master!C:G,4,)</f>
        <v>NGL</v>
      </c>
      <c r="H35" s="69" t="str">
        <f>VLOOKUP(D35,Master!C:G,5,)</f>
        <v>UF-Dry</v>
      </c>
      <c r="I35" s="549">
        <v>904.6</v>
      </c>
      <c r="J35" s="549">
        <v>230</v>
      </c>
      <c r="K35" s="71">
        <f t="shared" si="5"/>
        <v>0.25425602476232589</v>
      </c>
      <c r="L35" s="549">
        <v>0</v>
      </c>
      <c r="M35" s="511"/>
      <c r="N35" s="549">
        <v>850</v>
      </c>
      <c r="O35" s="549">
        <v>850</v>
      </c>
      <c r="P35" s="72">
        <f t="shared" si="6"/>
        <v>-175.39999999999998</v>
      </c>
      <c r="Q35" s="72">
        <f>IFERROR(IF(D35=20250,O35/(#REF!/30),O35/(I35/30)),0)</f>
        <v>28.189254919301348</v>
      </c>
      <c r="R35" s="72">
        <f t="shared" si="7"/>
        <v>28.189254919301348</v>
      </c>
      <c r="AC35"/>
      <c r="AD35"/>
      <c r="AE35"/>
      <c r="AF35"/>
      <c r="AG35"/>
      <c r="AH35"/>
      <c r="AI35"/>
      <c r="AJ35"/>
    </row>
    <row r="36" spans="1:36" ht="15">
      <c r="A36" s="352" t="str">
        <f t="shared" si="3"/>
        <v>410015305</v>
      </c>
      <c r="B36" s="509" t="s">
        <v>26</v>
      </c>
      <c r="C36" s="69" t="str">
        <f>_xlfn.XLOOKUP(B:B,Master!A:A,Master!B:B)</f>
        <v>RPSPL-GUJ</v>
      </c>
      <c r="D36" s="509" t="s">
        <v>45</v>
      </c>
      <c r="E36" s="69" t="str">
        <f t="shared" si="4"/>
        <v>410015305</v>
      </c>
      <c r="F36" s="509" t="s">
        <v>46</v>
      </c>
      <c r="G36" s="70" t="str">
        <f>VLOOKUP(D36,Master!C:G,4,)</f>
        <v>NGL</v>
      </c>
      <c r="H36" s="69" t="str">
        <f>VLOOKUP(D36,Master!C:G,5,)</f>
        <v>UF-Dry</v>
      </c>
      <c r="I36" s="549">
        <v>83.07</v>
      </c>
      <c r="J36" s="549">
        <v>9</v>
      </c>
      <c r="K36" s="71">
        <f t="shared" si="5"/>
        <v>0.10834236186348864</v>
      </c>
      <c r="L36" s="549">
        <v>0</v>
      </c>
      <c r="M36" s="511"/>
      <c r="N36" s="549">
        <v>81</v>
      </c>
      <c r="O36" s="549">
        <v>81</v>
      </c>
      <c r="P36" s="72">
        <f t="shared" si="6"/>
        <v>-6.9300000000000068</v>
      </c>
      <c r="Q36" s="72">
        <f>IFERROR(IF(D36=20250,O36/(#REF!/30),O36/(I36/30)),0)</f>
        <v>29.252437703141933</v>
      </c>
      <c r="R36" s="72">
        <f t="shared" si="7"/>
        <v>29.252437703141933</v>
      </c>
      <c r="AC36"/>
      <c r="AD36"/>
      <c r="AE36"/>
      <c r="AF36"/>
      <c r="AG36"/>
      <c r="AH36"/>
      <c r="AI36"/>
      <c r="AJ36"/>
    </row>
    <row r="37" spans="1:36" ht="15">
      <c r="A37" s="352" t="str">
        <f t="shared" si="3"/>
        <v>410016407</v>
      </c>
      <c r="B37" s="509" t="s">
        <v>26</v>
      </c>
      <c r="C37" s="69" t="str">
        <f>_xlfn.XLOOKUP(B:B,Master!A:A,Master!B:B)</f>
        <v>RPSPL-GUJ</v>
      </c>
      <c r="D37" s="509" t="s">
        <v>49</v>
      </c>
      <c r="E37" s="69" t="str">
        <f t="shared" si="4"/>
        <v>410016407</v>
      </c>
      <c r="F37" s="509" t="s">
        <v>50</v>
      </c>
      <c r="G37" s="70" t="str">
        <f>VLOOKUP(D37,Master!C:G,4,)</f>
        <v>NGL</v>
      </c>
      <c r="H37" s="69" t="str">
        <f>VLOOKUP(D37,Master!C:G,5,)</f>
        <v>UF-Dry</v>
      </c>
      <c r="I37" s="549">
        <v>630.45000000000005</v>
      </c>
      <c r="J37" s="549">
        <v>108</v>
      </c>
      <c r="K37" s="71">
        <f t="shared" si="5"/>
        <v>0.17130620985010706</v>
      </c>
      <c r="L37" s="549">
        <v>0</v>
      </c>
      <c r="M37" s="511"/>
      <c r="N37" s="549">
        <v>1080</v>
      </c>
      <c r="O37" s="549">
        <v>1080</v>
      </c>
      <c r="P37" s="72">
        <f t="shared" si="6"/>
        <v>-557.54999999999995</v>
      </c>
      <c r="Q37" s="72">
        <f>IFERROR(IF(D37=20250,O37/(#REF!/30),O37/(I37/30)),0)</f>
        <v>51.391862955032117</v>
      </c>
      <c r="R37" s="72">
        <f t="shared" si="7"/>
        <v>51.391862955032117</v>
      </c>
      <c r="AC37"/>
      <c r="AD37"/>
      <c r="AE37"/>
      <c r="AF37"/>
      <c r="AG37"/>
      <c r="AH37"/>
      <c r="AI37"/>
      <c r="AJ37"/>
    </row>
    <row r="38" spans="1:36" ht="15">
      <c r="A38" s="352" t="str">
        <f t="shared" si="3"/>
        <v>410000189</v>
      </c>
      <c r="B38" s="509" t="s">
        <v>26</v>
      </c>
      <c r="C38" s="69" t="str">
        <f>_xlfn.XLOOKUP(B:B,Master!A:A,Master!B:B)</f>
        <v>RPSPL-GUJ</v>
      </c>
      <c r="D38" s="509" t="s">
        <v>51</v>
      </c>
      <c r="E38" s="69" t="str">
        <f t="shared" si="4"/>
        <v>410000189</v>
      </c>
      <c r="F38" s="509" t="s">
        <v>903</v>
      </c>
      <c r="G38" s="70" t="str">
        <f>VLOOKUP(D38,Master!C:G,4,)</f>
        <v>T&amp;I</v>
      </c>
      <c r="H38" s="69" t="str">
        <f>VLOOKUP(D38,Master!C:G,5,)</f>
        <v>T&amp;I Comm-UF</v>
      </c>
      <c r="I38" s="549">
        <v>50100.480000000003</v>
      </c>
      <c r="J38" s="549">
        <v>19548</v>
      </c>
      <c r="K38" s="71">
        <f t="shared" si="5"/>
        <v>0.39017590250632328</v>
      </c>
      <c r="L38" s="549">
        <v>0</v>
      </c>
      <c r="M38" s="511"/>
      <c r="N38" s="549">
        <v>28032</v>
      </c>
      <c r="O38" s="549">
        <v>28032</v>
      </c>
      <c r="P38" s="72">
        <f t="shared" si="6"/>
        <v>2520.4800000000032</v>
      </c>
      <c r="Q38" s="72">
        <f>IFERROR(IF(D38=20250,O38/(#REF!/30),O38/(I38/30)),0)</f>
        <v>16.785467923660612</v>
      </c>
      <c r="R38" s="72">
        <f t="shared" si="7"/>
        <v>16.785467923660612</v>
      </c>
      <c r="AC38"/>
      <c r="AD38"/>
      <c r="AE38"/>
      <c r="AF38"/>
      <c r="AG38"/>
      <c r="AH38"/>
      <c r="AI38"/>
      <c r="AJ38"/>
    </row>
    <row r="39" spans="1:36" ht="15">
      <c r="A39" s="352" t="str">
        <f t="shared" si="3"/>
        <v>410001167</v>
      </c>
      <c r="B39" s="509" t="s">
        <v>26</v>
      </c>
      <c r="C39" s="69" t="str">
        <f>_xlfn.XLOOKUP(B:B,Master!A:A,Master!B:B)</f>
        <v>RPSPL-GUJ</v>
      </c>
      <c r="D39" s="509" t="s">
        <v>53</v>
      </c>
      <c r="E39" s="69" t="str">
        <f t="shared" si="4"/>
        <v>410001167</v>
      </c>
      <c r="F39" s="509" t="s">
        <v>54</v>
      </c>
      <c r="G39" s="70" t="str">
        <f>VLOOKUP(D39,Master!C:G,4,)</f>
        <v>T&amp;I</v>
      </c>
      <c r="H39" s="69" t="str">
        <f>VLOOKUP(D39,Master!C:G,5,)</f>
        <v>T&amp;I EX UF</v>
      </c>
      <c r="I39" s="549">
        <v>3229.56</v>
      </c>
      <c r="J39" s="549">
        <v>2220</v>
      </c>
      <c r="K39" s="71">
        <f t="shared" si="5"/>
        <v>0.68740014119570469</v>
      </c>
      <c r="L39" s="549">
        <v>0</v>
      </c>
      <c r="M39" s="511"/>
      <c r="N39" s="549">
        <v>5784</v>
      </c>
      <c r="O39" s="549">
        <v>5784</v>
      </c>
      <c r="P39" s="72">
        <f t="shared" si="6"/>
        <v>-4774.4400000000005</v>
      </c>
      <c r="Q39" s="72">
        <f>IFERROR(IF(D39=20250,O39/(#REF!/30),O39/(I39/30)),0)</f>
        <v>53.728681306431838</v>
      </c>
      <c r="R39" s="72">
        <f t="shared" si="7"/>
        <v>53.728681306431838</v>
      </c>
      <c r="AC39"/>
      <c r="AD39"/>
      <c r="AE39"/>
      <c r="AF39"/>
      <c r="AG39"/>
      <c r="AH39"/>
      <c r="AI39"/>
      <c r="AJ39"/>
    </row>
    <row r="40" spans="1:36" ht="15">
      <c r="A40" s="352" t="str">
        <f t="shared" si="3"/>
        <v>410001296</v>
      </c>
      <c r="B40" s="509" t="s">
        <v>26</v>
      </c>
      <c r="C40" s="69" t="str">
        <f>_xlfn.XLOOKUP(B:B,Master!A:A,Master!B:B)</f>
        <v>RPSPL-GUJ</v>
      </c>
      <c r="D40" s="509" t="s">
        <v>15</v>
      </c>
      <c r="E40" s="69" t="str">
        <f t="shared" si="4"/>
        <v>410001296</v>
      </c>
      <c r="F40" s="509" t="s">
        <v>16</v>
      </c>
      <c r="G40" s="70" t="str">
        <f>VLOOKUP(D40,Master!C:G,4,)</f>
        <v>T&amp;I</v>
      </c>
      <c r="H40" s="69" t="str">
        <f>VLOOKUP(D40,Master!C:G,5,)</f>
        <v>T&amp;I EX HP 2 KG</v>
      </c>
      <c r="I40" s="549">
        <v>4407.3599999999997</v>
      </c>
      <c r="J40" s="549">
        <v>2016</v>
      </c>
      <c r="K40" s="71">
        <f t="shared" si="5"/>
        <v>0.45741668481812242</v>
      </c>
      <c r="L40" s="549">
        <v>0</v>
      </c>
      <c r="M40" s="511"/>
      <c r="N40" s="549">
        <v>2784</v>
      </c>
      <c r="O40" s="549">
        <v>2784</v>
      </c>
      <c r="P40" s="72">
        <f t="shared" si="6"/>
        <v>-392.64000000000033</v>
      </c>
      <c r="Q40" s="72">
        <f>IFERROR(IF(D40=20250,O40/(#REF!/30),O40/(I40/30)),0)</f>
        <v>18.950119799607933</v>
      </c>
      <c r="R40" s="72">
        <f t="shared" si="7"/>
        <v>18.950119799607933</v>
      </c>
      <c r="AC40"/>
      <c r="AD40"/>
      <c r="AE40"/>
      <c r="AF40"/>
      <c r="AG40"/>
      <c r="AH40"/>
      <c r="AI40"/>
      <c r="AJ40"/>
    </row>
    <row r="41" spans="1:36" ht="15">
      <c r="A41" s="352" t="str">
        <f t="shared" si="3"/>
        <v>410002122</v>
      </c>
      <c r="B41" s="509" t="s">
        <v>26</v>
      </c>
      <c r="C41" s="69" t="str">
        <f>_xlfn.XLOOKUP(B:B,Master!A:A,Master!B:B)</f>
        <v>RPSPL-GUJ</v>
      </c>
      <c r="D41" s="509" t="s">
        <v>55</v>
      </c>
      <c r="E41" s="69" t="str">
        <f t="shared" si="4"/>
        <v>410002122</v>
      </c>
      <c r="F41" s="509" t="s">
        <v>56</v>
      </c>
      <c r="G41" s="70" t="str">
        <f>VLOOKUP(D41,Master!C:G,4,)</f>
        <v>T&amp;I</v>
      </c>
      <c r="H41" s="69" t="str">
        <f>VLOOKUP(D41,Master!C:G,5,)</f>
        <v>T&amp;I EX HP 2 KG</v>
      </c>
      <c r="I41" s="549">
        <v>8971.32</v>
      </c>
      <c r="J41" s="549">
        <v>6828</v>
      </c>
      <c r="K41" s="71">
        <f t="shared" si="5"/>
        <v>0.76109201321544662</v>
      </c>
      <c r="L41" s="549">
        <v>6000</v>
      </c>
      <c r="M41" s="511">
        <v>46165</v>
      </c>
      <c r="N41" s="549">
        <v>4764</v>
      </c>
      <c r="O41" s="549">
        <v>10764</v>
      </c>
      <c r="P41" s="72">
        <f t="shared" si="6"/>
        <v>-8620.68</v>
      </c>
      <c r="Q41" s="72">
        <f>IFERROR(IF(D41=20250,O41/(#REF!/30),O41/(I41/30)),0)</f>
        <v>35.994703120611014</v>
      </c>
      <c r="R41" s="72">
        <f t="shared" si="7"/>
        <v>15.930766041117696</v>
      </c>
      <c r="AC41"/>
      <c r="AD41"/>
      <c r="AE41"/>
      <c r="AF41"/>
      <c r="AG41"/>
      <c r="AH41"/>
      <c r="AI41"/>
      <c r="AJ41"/>
    </row>
    <row r="42" spans="1:36" ht="15">
      <c r="A42" s="352" t="str">
        <f t="shared" si="3"/>
        <v>410005159</v>
      </c>
      <c r="B42" s="509" t="s">
        <v>26</v>
      </c>
      <c r="C42" s="69" t="str">
        <f>_xlfn.XLOOKUP(B:B,Master!A:A,Master!B:B)</f>
        <v>RPSPL-GUJ</v>
      </c>
      <c r="D42" s="509" t="s">
        <v>57</v>
      </c>
      <c r="E42" s="69" t="str">
        <f t="shared" si="4"/>
        <v>410005159</v>
      </c>
      <c r="F42" s="509" t="s">
        <v>58</v>
      </c>
      <c r="G42" s="70" t="str">
        <f>VLOOKUP(D42,Master!C:G,4,)</f>
        <v>T&amp;I</v>
      </c>
      <c r="H42" s="69" t="str">
        <f>VLOOKUP(D42,Master!C:G,5,)</f>
        <v>T&amp;I EX HP</v>
      </c>
      <c r="I42" s="549">
        <v>1188.72</v>
      </c>
      <c r="J42" s="549">
        <v>528</v>
      </c>
      <c r="K42" s="71">
        <f t="shared" si="5"/>
        <v>0.44417524732485364</v>
      </c>
      <c r="L42" s="549">
        <v>804</v>
      </c>
      <c r="M42" s="511">
        <v>46165</v>
      </c>
      <c r="N42" s="549">
        <v>324</v>
      </c>
      <c r="O42" s="549">
        <v>1128</v>
      </c>
      <c r="P42" s="72">
        <f t="shared" si="6"/>
        <v>-467.28</v>
      </c>
      <c r="Q42" s="72">
        <f>IFERROR(IF(D42=20250,O42/(#REF!/30),O42/(I42/30)),0)</f>
        <v>28.467595396729255</v>
      </c>
      <c r="R42" s="72">
        <f t="shared" si="7"/>
        <v>8.1768625075711689</v>
      </c>
      <c r="AC42"/>
      <c r="AD42"/>
      <c r="AE42"/>
      <c r="AF42"/>
      <c r="AG42"/>
      <c r="AH42"/>
      <c r="AI42"/>
      <c r="AJ42"/>
    </row>
    <row r="43" spans="1:36" ht="15">
      <c r="A43" s="352" t="str">
        <f t="shared" si="3"/>
        <v>410006982</v>
      </c>
      <c r="B43" s="509" t="s">
        <v>26</v>
      </c>
      <c r="C43" s="69" t="str">
        <f>_xlfn.XLOOKUP(B:B,Master!A:A,Master!B:B)</f>
        <v>RPSPL-GUJ</v>
      </c>
      <c r="D43" s="509" t="s">
        <v>59</v>
      </c>
      <c r="E43" s="69" t="str">
        <f t="shared" si="4"/>
        <v>410006982</v>
      </c>
      <c r="F43" s="509" t="s">
        <v>60</v>
      </c>
      <c r="G43" s="70" t="str">
        <f>VLOOKUP(D43,Master!C:G,4,)</f>
        <v>T&amp;I</v>
      </c>
      <c r="H43" s="69" t="str">
        <f>VLOOKUP(D43,Master!C:G,5,)</f>
        <v>T&amp;I Comm-UF</v>
      </c>
      <c r="I43" s="549">
        <v>6835.32</v>
      </c>
      <c r="J43" s="549">
        <v>4320</v>
      </c>
      <c r="K43" s="71">
        <f t="shared" si="5"/>
        <v>0.63201137620477166</v>
      </c>
      <c r="L43" s="549">
        <v>0</v>
      </c>
      <c r="M43" s="511"/>
      <c r="N43" s="549">
        <v>9408</v>
      </c>
      <c r="O43" s="549">
        <v>9408</v>
      </c>
      <c r="P43" s="72">
        <f t="shared" si="6"/>
        <v>-6892.68</v>
      </c>
      <c r="Q43" s="72">
        <f>IFERROR(IF(D43=20250,O43/(#REF!/30),O43/(I43/30)),0)</f>
        <v>41.291409912045083</v>
      </c>
      <c r="R43" s="72">
        <f t="shared" si="7"/>
        <v>41.291409912045083</v>
      </c>
      <c r="AC43"/>
      <c r="AD43"/>
      <c r="AE43"/>
      <c r="AF43"/>
      <c r="AG43"/>
      <c r="AH43"/>
      <c r="AI43"/>
      <c r="AJ43"/>
    </row>
    <row r="44" spans="1:36" ht="15">
      <c r="A44" s="352" t="str">
        <f t="shared" si="3"/>
        <v>410007310</v>
      </c>
      <c r="B44" s="509" t="s">
        <v>26</v>
      </c>
      <c r="C44" s="69" t="str">
        <f>_xlfn.XLOOKUP(B:B,Master!A:A,Master!B:B)</f>
        <v>RPSPL-GUJ</v>
      </c>
      <c r="D44" s="509" t="s">
        <v>19</v>
      </c>
      <c r="E44" s="69" t="str">
        <f t="shared" si="4"/>
        <v>410007310</v>
      </c>
      <c r="F44" s="509" t="s">
        <v>20</v>
      </c>
      <c r="G44" s="70" t="str">
        <f>VLOOKUP(D44,Master!C:G,4,)</f>
        <v>T&amp;I</v>
      </c>
      <c r="H44" s="69" t="str">
        <f>VLOOKUP(D44,Master!C:G,5,)</f>
        <v>T&amp;I Comm -HP</v>
      </c>
      <c r="I44" s="549">
        <v>77218.44</v>
      </c>
      <c r="J44" s="549">
        <v>33120</v>
      </c>
      <c r="K44" s="71">
        <f t="shared" si="5"/>
        <v>0.42891309381541504</v>
      </c>
      <c r="L44" s="549">
        <v>3672</v>
      </c>
      <c r="M44" s="511">
        <v>46165</v>
      </c>
      <c r="N44" s="549">
        <v>58356</v>
      </c>
      <c r="O44" s="549">
        <v>62028</v>
      </c>
      <c r="P44" s="72">
        <f t="shared" si="6"/>
        <v>-17929.559999999998</v>
      </c>
      <c r="Q44" s="72">
        <f>IFERROR(IF(D44=20250,O44/(#REF!/30),O44/(I44/30)),0)</f>
        <v>24.09838893404218</v>
      </c>
      <c r="R44" s="72">
        <f t="shared" si="7"/>
        <v>22.671786687221342</v>
      </c>
      <c r="AC44"/>
      <c r="AD44"/>
      <c r="AE44"/>
      <c r="AF44"/>
      <c r="AG44"/>
      <c r="AH44"/>
      <c r="AI44"/>
      <c r="AJ44"/>
    </row>
    <row r="45" spans="1:36" ht="15">
      <c r="A45" s="352" t="str">
        <f t="shared" si="3"/>
        <v>410008529</v>
      </c>
      <c r="B45" s="509" t="s">
        <v>26</v>
      </c>
      <c r="C45" s="69" t="str">
        <f>_xlfn.XLOOKUP(B:B,Master!A:A,Master!B:B)</f>
        <v>RPSPL-GUJ</v>
      </c>
      <c r="D45" s="509" t="s">
        <v>61</v>
      </c>
      <c r="E45" s="69" t="str">
        <f t="shared" si="4"/>
        <v>410008529</v>
      </c>
      <c r="F45" s="509" t="s">
        <v>62</v>
      </c>
      <c r="G45" s="70" t="str">
        <f>VLOOKUP(D45,Master!C:G,4,)</f>
        <v>T&amp;I</v>
      </c>
      <c r="H45" s="69" t="str">
        <f>VLOOKUP(D45,Master!C:G,5,)</f>
        <v>T&amp;I EX HP 2 KG</v>
      </c>
      <c r="I45" s="549">
        <v>8263.56</v>
      </c>
      <c r="J45" s="549">
        <v>4728</v>
      </c>
      <c r="K45" s="71">
        <f t="shared" si="5"/>
        <v>0.57215050172080806</v>
      </c>
      <c r="L45" s="549">
        <v>2004</v>
      </c>
      <c r="M45" s="511">
        <v>46165</v>
      </c>
      <c r="N45" s="549">
        <v>7524</v>
      </c>
      <c r="O45" s="549">
        <v>9528</v>
      </c>
      <c r="P45" s="72">
        <f t="shared" si="6"/>
        <v>-5992.4400000000005</v>
      </c>
      <c r="Q45" s="72">
        <f>IFERROR(IF(D45=20250,O45/(#REF!/30),O45/(I45/30)),0)</f>
        <v>34.590418657334126</v>
      </c>
      <c r="R45" s="72">
        <f t="shared" si="7"/>
        <v>27.315103901950248</v>
      </c>
      <c r="AC45"/>
      <c r="AD45"/>
      <c r="AE45"/>
      <c r="AF45"/>
      <c r="AG45"/>
      <c r="AH45"/>
      <c r="AI45"/>
      <c r="AJ45"/>
    </row>
    <row r="46" spans="1:36" ht="15">
      <c r="A46" s="352" t="str">
        <f t="shared" si="3"/>
        <v>410013179</v>
      </c>
      <c r="B46" s="509" t="s">
        <v>26</v>
      </c>
      <c r="C46" s="69" t="str">
        <f>_xlfn.XLOOKUP(B:B,Master!A:A,Master!B:B)</f>
        <v>RPSPL-GUJ</v>
      </c>
      <c r="D46" s="509" t="s">
        <v>22</v>
      </c>
      <c r="E46" s="69" t="str">
        <f t="shared" si="4"/>
        <v>410013179</v>
      </c>
      <c r="F46" s="509" t="s">
        <v>23</v>
      </c>
      <c r="G46" s="70" t="str">
        <f>VLOOKUP(D46,Master!C:G,4,)</f>
        <v>T&amp;I</v>
      </c>
      <c r="H46" s="69" t="str">
        <f>VLOOKUP(D46,Master!C:G,5,)</f>
        <v>T&amp;I EX HP 2 KG</v>
      </c>
      <c r="I46" s="549">
        <v>16822.2</v>
      </c>
      <c r="J46" s="549">
        <v>10008</v>
      </c>
      <c r="K46" s="71">
        <f t="shared" si="5"/>
        <v>0.59492813068445272</v>
      </c>
      <c r="L46" s="549">
        <v>4992</v>
      </c>
      <c r="M46" s="511">
        <v>46165</v>
      </c>
      <c r="N46" s="549">
        <v>14880</v>
      </c>
      <c r="O46" s="549">
        <v>19872</v>
      </c>
      <c r="P46" s="72">
        <f t="shared" si="6"/>
        <v>-13057.8</v>
      </c>
      <c r="Q46" s="72">
        <f>IFERROR(IF(D46=20250,O46/(#REF!/30),O46/(I46/30)),0)</f>
        <v>35.438884331419196</v>
      </c>
      <c r="R46" s="72">
        <f t="shared" si="7"/>
        <v>26.53636266362307</v>
      </c>
      <c r="AC46"/>
      <c r="AD46"/>
      <c r="AE46"/>
      <c r="AF46"/>
      <c r="AG46"/>
      <c r="AH46"/>
      <c r="AI46"/>
      <c r="AJ46"/>
    </row>
    <row r="47" spans="1:36" ht="15">
      <c r="A47" s="352" t="str">
        <f t="shared" si="3"/>
        <v>410013678</v>
      </c>
      <c r="B47" s="509" t="s">
        <v>26</v>
      </c>
      <c r="C47" s="69" t="str">
        <f>_xlfn.XLOOKUP(B:B,Master!A:A,Master!B:B)</f>
        <v>RPSPL-GUJ</v>
      </c>
      <c r="D47" s="509" t="s">
        <v>65</v>
      </c>
      <c r="E47" s="69" t="str">
        <f t="shared" si="4"/>
        <v>410013678</v>
      </c>
      <c r="F47" s="509" t="s">
        <v>66</v>
      </c>
      <c r="G47" s="70" t="str">
        <f>VLOOKUP(D47,Master!C:G,4,)</f>
        <v>T&amp;I</v>
      </c>
      <c r="H47" s="69" t="str">
        <f>VLOOKUP(D47,Master!C:G,5,)</f>
        <v>T&amp;I EX HP</v>
      </c>
      <c r="I47" s="549">
        <v>9756.1200000000008</v>
      </c>
      <c r="J47" s="549">
        <v>3840</v>
      </c>
      <c r="K47" s="71">
        <f t="shared" si="5"/>
        <v>0.3935990947220821</v>
      </c>
      <c r="L47" s="549">
        <v>0</v>
      </c>
      <c r="M47" s="511"/>
      <c r="N47" s="549">
        <v>8688</v>
      </c>
      <c r="O47" s="549">
        <v>8688</v>
      </c>
      <c r="P47" s="72">
        <f t="shared" si="6"/>
        <v>-2771.8799999999992</v>
      </c>
      <c r="Q47" s="72">
        <f>IFERROR(IF(D47=20250,O47/(#REF!/30),O47/(I47/30)),0)</f>
        <v>26.715538554261325</v>
      </c>
      <c r="R47" s="72">
        <f t="shared" si="7"/>
        <v>26.715538554261325</v>
      </c>
      <c r="AC47"/>
      <c r="AD47"/>
      <c r="AE47"/>
      <c r="AF47"/>
      <c r="AG47"/>
      <c r="AH47"/>
      <c r="AI47"/>
      <c r="AJ47"/>
    </row>
    <row r="48" spans="1:36" ht="15">
      <c r="A48" s="352" t="str">
        <f t="shared" si="3"/>
        <v>410014654</v>
      </c>
      <c r="B48" s="509" t="s">
        <v>26</v>
      </c>
      <c r="C48" s="69" t="str">
        <f>_xlfn.XLOOKUP(B:B,Master!A:A,Master!B:B)</f>
        <v>RPSPL-GUJ</v>
      </c>
      <c r="D48" s="509" t="s">
        <v>67</v>
      </c>
      <c r="E48" s="69" t="str">
        <f t="shared" si="4"/>
        <v>410014654</v>
      </c>
      <c r="F48" s="509" t="s">
        <v>68</v>
      </c>
      <c r="G48" s="70" t="str">
        <f>VLOOKUP(D48,Master!C:G,4,)</f>
        <v>T&amp;I</v>
      </c>
      <c r="H48" s="69" t="str">
        <f>VLOOKUP(D48,Master!C:G,5,)</f>
        <v>T&amp;I Comm-UF</v>
      </c>
      <c r="I48" s="549">
        <v>4847.88</v>
      </c>
      <c r="J48" s="549">
        <v>2220</v>
      </c>
      <c r="K48" s="71">
        <f t="shared" si="5"/>
        <v>0.45793212703284736</v>
      </c>
      <c r="L48" s="549">
        <v>0</v>
      </c>
      <c r="M48" s="511"/>
      <c r="N48" s="549">
        <v>2628</v>
      </c>
      <c r="O48" s="549">
        <v>2628</v>
      </c>
      <c r="P48" s="72">
        <f t="shared" si="6"/>
        <v>-0.11999999999989086</v>
      </c>
      <c r="Q48" s="72">
        <f>IFERROR(IF(D48=20250,O48/(#REF!/30),O48/(I48/30)),0)</f>
        <v>16.262778781653012</v>
      </c>
      <c r="R48" s="72">
        <f t="shared" si="7"/>
        <v>16.262778781653012</v>
      </c>
      <c r="AC48"/>
      <c r="AD48"/>
      <c r="AE48"/>
      <c r="AF48"/>
      <c r="AG48"/>
      <c r="AH48"/>
      <c r="AI48"/>
      <c r="AJ48"/>
    </row>
    <row r="49" spans="1:36" ht="15">
      <c r="A49" s="352" t="str">
        <f t="shared" si="3"/>
        <v>410014788</v>
      </c>
      <c r="B49" s="509" t="s">
        <v>26</v>
      </c>
      <c r="C49" s="69" t="str">
        <f>_xlfn.XLOOKUP(B:B,Master!A:A,Master!B:B)</f>
        <v>RPSPL-GUJ</v>
      </c>
      <c r="D49" s="509" t="s">
        <v>69</v>
      </c>
      <c r="E49" s="69" t="str">
        <f t="shared" si="4"/>
        <v>410014788</v>
      </c>
      <c r="F49" s="509" t="s">
        <v>70</v>
      </c>
      <c r="G49" s="70" t="str">
        <f>VLOOKUP(D49,Master!C:G,4,)</f>
        <v>T&amp;I</v>
      </c>
      <c r="H49" s="69" t="str">
        <f>VLOOKUP(D49,Master!C:G,5,)</f>
        <v>T&amp;I EX HP</v>
      </c>
      <c r="I49" s="549">
        <v>17943.599999999999</v>
      </c>
      <c r="J49" s="549">
        <v>7236</v>
      </c>
      <c r="K49" s="71">
        <f t="shared" si="5"/>
        <v>0.40326355915200968</v>
      </c>
      <c r="L49" s="549">
        <v>0</v>
      </c>
      <c r="M49" s="511"/>
      <c r="N49" s="549">
        <v>9816</v>
      </c>
      <c r="O49" s="549">
        <v>9816</v>
      </c>
      <c r="P49" s="72">
        <f t="shared" si="6"/>
        <v>891.59999999999854</v>
      </c>
      <c r="Q49" s="72">
        <f>IFERROR(IF(D49=20250,O49/(#REF!/30),O49/(I49/30)),0)</f>
        <v>16.411422457032035</v>
      </c>
      <c r="R49" s="72">
        <f t="shared" si="7"/>
        <v>16.411422457032035</v>
      </c>
      <c r="AC49"/>
      <c r="AD49"/>
      <c r="AE49"/>
      <c r="AF49"/>
      <c r="AG49"/>
      <c r="AH49"/>
      <c r="AI49"/>
      <c r="AJ49"/>
    </row>
    <row r="50" spans="1:36" ht="15">
      <c r="A50" s="352" t="str">
        <f t="shared" si="3"/>
        <v>410015536</v>
      </c>
      <c r="B50" s="509" t="s">
        <v>26</v>
      </c>
      <c r="C50" s="69" t="str">
        <f>_xlfn.XLOOKUP(B:B,Master!A:A,Master!B:B)</f>
        <v>RPSPL-GUJ</v>
      </c>
      <c r="D50" s="509" t="s">
        <v>71</v>
      </c>
      <c r="E50" s="69" t="str">
        <f t="shared" si="4"/>
        <v>410015536</v>
      </c>
      <c r="F50" s="509" t="s">
        <v>72</v>
      </c>
      <c r="G50" s="70" t="str">
        <f>VLOOKUP(D50,Master!C:G,4,)</f>
        <v>Ganache</v>
      </c>
      <c r="H50" s="69" t="str">
        <f>VLOOKUP(D50,Master!C:G,5,)</f>
        <v>Ganache- UF</v>
      </c>
      <c r="I50" s="549">
        <v>5509.08</v>
      </c>
      <c r="J50" s="549">
        <v>2856</v>
      </c>
      <c r="K50" s="71">
        <f t="shared" si="5"/>
        <v>0.51841686815221422</v>
      </c>
      <c r="L50" s="549">
        <v>0</v>
      </c>
      <c r="M50" s="511"/>
      <c r="N50" s="549">
        <v>6120</v>
      </c>
      <c r="O50" s="549">
        <v>6120</v>
      </c>
      <c r="P50" s="72">
        <f t="shared" si="6"/>
        <v>-3466.92</v>
      </c>
      <c r="Q50" s="72">
        <f>IFERROR(IF(D50=20250,O50/(#REF!/30),O50/(I50/30)),0)</f>
        <v>33.326798666928056</v>
      </c>
      <c r="R50" s="72">
        <f t="shared" si="7"/>
        <v>33.326798666928056</v>
      </c>
      <c r="AC50"/>
      <c r="AD50"/>
      <c r="AE50"/>
      <c r="AF50"/>
      <c r="AG50"/>
      <c r="AH50"/>
      <c r="AI50"/>
      <c r="AJ50"/>
    </row>
    <row r="51" spans="1:36" ht="15">
      <c r="A51" s="352" t="str">
        <f t="shared" si="3"/>
        <v>410015906</v>
      </c>
      <c r="B51" s="509" t="s">
        <v>26</v>
      </c>
      <c r="C51" s="69" t="str">
        <f>_xlfn.XLOOKUP(B:B,Master!A:A,Master!B:B)</f>
        <v>RPSPL-GUJ</v>
      </c>
      <c r="D51" s="509" t="s">
        <v>74</v>
      </c>
      <c r="E51" s="69" t="str">
        <f t="shared" si="4"/>
        <v>410015906</v>
      </c>
      <c r="F51" s="509" t="s">
        <v>75</v>
      </c>
      <c r="G51" s="70" t="str">
        <f>VLOOKUP(D51,Master!C:G,4,)</f>
        <v>T&amp;I</v>
      </c>
      <c r="H51" s="69" t="str">
        <f>VLOOKUP(D51,Master!C:G,5,)</f>
        <v>T&amp;I EX HP</v>
      </c>
      <c r="I51" s="549">
        <v>2242.8000000000002</v>
      </c>
      <c r="J51" s="549">
        <v>1320</v>
      </c>
      <c r="K51" s="71">
        <f t="shared" si="5"/>
        <v>0.58855002675227386</v>
      </c>
      <c r="L51" s="549">
        <v>492</v>
      </c>
      <c r="M51" s="511">
        <v>46165</v>
      </c>
      <c r="N51" s="549">
        <v>2124</v>
      </c>
      <c r="O51" s="549">
        <v>2616</v>
      </c>
      <c r="P51" s="72">
        <f t="shared" si="6"/>
        <v>-1693.1999999999998</v>
      </c>
      <c r="Q51" s="72">
        <f>IFERROR(IF(D51=20250,O51/(#REF!/30),O51/(I51/30)),0)</f>
        <v>34.991974317817011</v>
      </c>
      <c r="R51" s="72">
        <f t="shared" si="7"/>
        <v>28.410914927768857</v>
      </c>
      <c r="AC51"/>
      <c r="AD51"/>
      <c r="AE51"/>
      <c r="AF51"/>
      <c r="AG51"/>
      <c r="AH51"/>
      <c r="AI51"/>
      <c r="AJ51"/>
    </row>
    <row r="52" spans="1:36" ht="15">
      <c r="A52" s="352" t="str">
        <f t="shared" si="3"/>
        <v>410016336</v>
      </c>
      <c r="B52" s="509" t="s">
        <v>26</v>
      </c>
      <c r="C52" s="69" t="str">
        <f>_xlfn.XLOOKUP(B:B,Master!A:A,Master!B:B)</f>
        <v>RPSPL-GUJ</v>
      </c>
      <c r="D52" s="509" t="s">
        <v>24</v>
      </c>
      <c r="E52" s="69" t="str">
        <f t="shared" si="4"/>
        <v>410016336</v>
      </c>
      <c r="F52" s="509" t="s">
        <v>25</v>
      </c>
      <c r="G52" s="70" t="str">
        <f>VLOOKUP(D52,Master!C:G,4,)</f>
        <v>T&amp;I</v>
      </c>
      <c r="H52" s="69" t="str">
        <f>VLOOKUP(D52,Master!C:G,5,)</f>
        <v>T&amp;I Comm-UF</v>
      </c>
      <c r="I52" s="549">
        <v>57035.88</v>
      </c>
      <c r="J52" s="549">
        <v>27840</v>
      </c>
      <c r="K52" s="71">
        <f t="shared" si="5"/>
        <v>0.48811379784093806</v>
      </c>
      <c r="L52" s="549">
        <v>0</v>
      </c>
      <c r="M52" s="511"/>
      <c r="N52" s="549">
        <v>45912</v>
      </c>
      <c r="O52" s="549">
        <v>45912</v>
      </c>
      <c r="P52" s="72">
        <f t="shared" si="6"/>
        <v>-16716.120000000003</v>
      </c>
      <c r="Q52" s="72">
        <f>IFERROR(IF(D52=20250,O52/(#REF!/30),O52/(I52/30)),0)</f>
        <v>24.149009360423651</v>
      </c>
      <c r="R52" s="72">
        <f t="shared" si="7"/>
        <v>24.149009360423651</v>
      </c>
      <c r="AC52"/>
      <c r="AD52"/>
      <c r="AE52"/>
      <c r="AF52"/>
      <c r="AG52"/>
      <c r="AH52"/>
      <c r="AI52"/>
      <c r="AJ52"/>
    </row>
    <row r="53" spans="1:36" ht="15">
      <c r="A53" s="352" t="str">
        <f t="shared" si="3"/>
        <v>410016984</v>
      </c>
      <c r="B53" s="509" t="s">
        <v>26</v>
      </c>
      <c r="C53" s="69" t="str">
        <f>_xlfn.XLOOKUP(B:B,Master!A:A,Master!B:B)</f>
        <v>RPSPL-GUJ</v>
      </c>
      <c r="D53" s="509" t="s">
        <v>78</v>
      </c>
      <c r="E53" s="69" t="str">
        <f t="shared" si="4"/>
        <v>410016984</v>
      </c>
      <c r="F53" s="509" t="s">
        <v>79</v>
      </c>
      <c r="G53" s="70" t="str">
        <f>VLOOKUP(D53,Master!C:G,4,)</f>
        <v>T&amp;I</v>
      </c>
      <c r="H53" s="69" t="str">
        <f>VLOOKUP(D53,Master!C:G,5,)</f>
        <v>T&amp;I EX HP</v>
      </c>
      <c r="I53" s="549">
        <v>2019.12</v>
      </c>
      <c r="J53" s="549">
        <v>924</v>
      </c>
      <c r="K53" s="71">
        <f t="shared" si="5"/>
        <v>0.4576251040057055</v>
      </c>
      <c r="L53" s="549">
        <v>0</v>
      </c>
      <c r="M53" s="511"/>
      <c r="N53" s="549">
        <v>1404</v>
      </c>
      <c r="O53" s="549">
        <v>1404</v>
      </c>
      <c r="P53" s="72">
        <f t="shared" si="6"/>
        <v>-308.88000000000011</v>
      </c>
      <c r="Q53" s="72">
        <f>IFERROR(IF(D53=20250,O53/(#REF!/30),O53/(I53/30)),0)</f>
        <v>20.860572922857482</v>
      </c>
      <c r="R53" s="72">
        <f t="shared" si="7"/>
        <v>20.860572922857482</v>
      </c>
      <c r="AC53"/>
      <c r="AD53"/>
      <c r="AE53"/>
      <c r="AF53"/>
      <c r="AG53"/>
      <c r="AH53"/>
      <c r="AI53"/>
      <c r="AJ53"/>
    </row>
    <row r="54" spans="1:36" ht="15">
      <c r="A54" s="352" t="str">
        <f t="shared" si="3"/>
        <v>410016998</v>
      </c>
      <c r="B54" s="509" t="s">
        <v>26</v>
      </c>
      <c r="C54" s="69" t="str">
        <f>_xlfn.XLOOKUP(B:B,Master!A:A,Master!B:B)</f>
        <v>RPSPL-GUJ</v>
      </c>
      <c r="D54" s="509" t="s">
        <v>80</v>
      </c>
      <c r="E54" s="69" t="str">
        <f t="shared" si="4"/>
        <v>410016998</v>
      </c>
      <c r="F54" s="509" t="s">
        <v>81</v>
      </c>
      <c r="G54" s="70" t="str">
        <f>VLOOKUP(D54,Master!C:G,4,)</f>
        <v>T&amp;I</v>
      </c>
      <c r="H54" s="69" t="str">
        <f>VLOOKUP(D54,Master!C:G,5,)</f>
        <v>T&amp;I EX UF</v>
      </c>
      <c r="I54" s="549">
        <v>5804.04</v>
      </c>
      <c r="J54" s="549">
        <v>2652</v>
      </c>
      <c r="K54" s="71">
        <f t="shared" si="5"/>
        <v>0.45692310873115966</v>
      </c>
      <c r="L54" s="549">
        <v>0</v>
      </c>
      <c r="M54" s="511"/>
      <c r="N54" s="549">
        <v>8280</v>
      </c>
      <c r="O54" s="549">
        <v>8280</v>
      </c>
      <c r="P54" s="72">
        <f t="shared" si="6"/>
        <v>-5127.96</v>
      </c>
      <c r="Q54" s="72">
        <f>IFERROR(IF(D54=20250,O54/(#REF!/30),O54/(I54/30)),0)</f>
        <v>42.797775342692333</v>
      </c>
      <c r="R54" s="72">
        <f t="shared" si="7"/>
        <v>42.797775342692333</v>
      </c>
      <c r="AC54"/>
      <c r="AD54"/>
      <c r="AE54"/>
      <c r="AF54"/>
      <c r="AG54"/>
      <c r="AH54"/>
      <c r="AI54"/>
      <c r="AJ54"/>
    </row>
    <row r="55" spans="1:36" ht="15">
      <c r="A55" s="352" t="str">
        <f t="shared" si="3"/>
        <v>410018098</v>
      </c>
      <c r="B55" s="509" t="s">
        <v>26</v>
      </c>
      <c r="C55" s="69" t="str">
        <f>_xlfn.XLOOKUP(B:B,Master!A:A,Master!B:B)</f>
        <v>RPSPL-GUJ</v>
      </c>
      <c r="D55" s="509" t="s">
        <v>84</v>
      </c>
      <c r="E55" s="69" t="str">
        <f t="shared" si="4"/>
        <v>410018098</v>
      </c>
      <c r="F55" s="509" t="s">
        <v>1222</v>
      </c>
      <c r="G55" s="70" t="str">
        <f>VLOOKUP(D55,Master!C:G,4,)</f>
        <v>T&amp;I</v>
      </c>
      <c r="H55" s="69" t="str">
        <f>VLOOKUP(D55,Master!C:G,5,)</f>
        <v>T&amp;I EX HP</v>
      </c>
      <c r="I55" s="549">
        <v>1286.6400000000001</v>
      </c>
      <c r="J55" s="549">
        <v>360</v>
      </c>
      <c r="K55" s="71">
        <f t="shared" si="5"/>
        <v>0.27979854504756574</v>
      </c>
      <c r="L55" s="549">
        <v>0</v>
      </c>
      <c r="M55" s="511"/>
      <c r="N55" s="549">
        <v>1020</v>
      </c>
      <c r="O55" s="549">
        <v>1020</v>
      </c>
      <c r="P55" s="72">
        <f t="shared" si="6"/>
        <v>-93.3599999999999</v>
      </c>
      <c r="Q55" s="72">
        <f>IFERROR(IF(D55=20250,O55/(#REF!/30),O55/(I55/30)),0)</f>
        <v>23.782876329043088</v>
      </c>
      <c r="R55" s="72">
        <f t="shared" si="7"/>
        <v>23.782876329043088</v>
      </c>
      <c r="AC55"/>
      <c r="AD55"/>
      <c r="AE55"/>
      <c r="AF55"/>
      <c r="AG55"/>
      <c r="AH55"/>
      <c r="AI55"/>
      <c r="AJ55"/>
    </row>
    <row r="56" spans="1:36" ht="15">
      <c r="A56" s="352" t="str">
        <f t="shared" si="3"/>
        <v>410020308</v>
      </c>
      <c r="B56" s="509" t="s">
        <v>26</v>
      </c>
      <c r="C56" s="69" t="str">
        <f>_xlfn.XLOOKUP(B:B,Master!A:A,Master!B:B)</f>
        <v>RPSPL-GUJ</v>
      </c>
      <c r="D56" s="509" t="s">
        <v>146</v>
      </c>
      <c r="E56" s="69" t="str">
        <f t="shared" si="4"/>
        <v>410020308</v>
      </c>
      <c r="F56" s="509" t="s">
        <v>902</v>
      </c>
      <c r="G56" s="70" t="str">
        <f>VLOOKUP(D56,Master!C:G,4,)</f>
        <v>T&amp;I</v>
      </c>
      <c r="H56" s="69" t="str">
        <f>VLOOKUP(D56,Master!C:G,5,)</f>
        <v>T&amp;I EX HP 2 KG</v>
      </c>
      <c r="I56" s="549">
        <v>19346.16</v>
      </c>
      <c r="J56" s="549">
        <v>10296</v>
      </c>
      <c r="K56" s="71">
        <f t="shared" si="5"/>
        <v>0.53219863786922061</v>
      </c>
      <c r="L56" s="549">
        <v>6996</v>
      </c>
      <c r="M56" s="511">
        <v>46165</v>
      </c>
      <c r="N56" s="549">
        <v>10668</v>
      </c>
      <c r="O56" s="549">
        <v>17664</v>
      </c>
      <c r="P56" s="72">
        <f t="shared" si="6"/>
        <v>-8613.84</v>
      </c>
      <c r="Q56" s="72">
        <f>IFERROR(IF(D56=20250,O56/(#REF!/30),O56/(I56/30)),0)</f>
        <v>27.391482340681563</v>
      </c>
      <c r="R56" s="72">
        <f t="shared" si="7"/>
        <v>16.542817799501297</v>
      </c>
      <c r="AC56"/>
      <c r="AD56"/>
      <c r="AE56"/>
      <c r="AF56"/>
      <c r="AG56"/>
      <c r="AH56"/>
      <c r="AI56"/>
      <c r="AJ56"/>
    </row>
    <row r="57" spans="1:36" ht="15">
      <c r="A57" s="352" t="str">
        <f t="shared" si="3"/>
        <v>410020827</v>
      </c>
      <c r="B57" s="509" t="s">
        <v>26</v>
      </c>
      <c r="C57" s="69" t="str">
        <f>_xlfn.XLOOKUP(B:B,Master!A:A,Master!B:B)</f>
        <v>RPSPL-GUJ</v>
      </c>
      <c r="D57" s="509" t="s">
        <v>149</v>
      </c>
      <c r="E57" s="69" t="str">
        <f t="shared" si="4"/>
        <v>410020827</v>
      </c>
      <c r="F57" s="509" t="s">
        <v>150</v>
      </c>
      <c r="G57" s="70" t="str">
        <f>VLOOKUP(D57,Master!C:G,4,)</f>
        <v>Ganache</v>
      </c>
      <c r="H57" s="69" t="str">
        <f>VLOOKUP(D57,Master!C:G,5,)</f>
        <v>Ganache- UF</v>
      </c>
      <c r="I57" s="549">
        <v>8814.84</v>
      </c>
      <c r="J57" s="549">
        <v>4608</v>
      </c>
      <c r="K57" s="71">
        <f t="shared" si="5"/>
        <v>0.52275480893584003</v>
      </c>
      <c r="L57" s="549">
        <v>0</v>
      </c>
      <c r="M57" s="511"/>
      <c r="N57" s="549">
        <v>9228</v>
      </c>
      <c r="O57" s="549">
        <v>9228</v>
      </c>
      <c r="P57" s="72">
        <f t="shared" si="6"/>
        <v>-5021.16</v>
      </c>
      <c r="Q57" s="72">
        <f>IFERROR(IF(D57=20250,O57/(#REF!/30),O57/(I57/30)),0)</f>
        <v>31.406128755598509</v>
      </c>
      <c r="R57" s="72">
        <f t="shared" si="7"/>
        <v>31.406128755598509</v>
      </c>
      <c r="AC57"/>
      <c r="AD57"/>
      <c r="AE57"/>
      <c r="AF57"/>
      <c r="AG57"/>
      <c r="AH57"/>
      <c r="AI57"/>
      <c r="AJ57"/>
    </row>
    <row r="58" spans="1:36" ht="15">
      <c r="A58" s="352" t="str">
        <f t="shared" si="3"/>
        <v>410021910</v>
      </c>
      <c r="B58" s="509" t="s">
        <v>26</v>
      </c>
      <c r="C58" s="69" t="str">
        <f>_xlfn.XLOOKUP(B:B,Master!A:A,Master!B:B)</f>
        <v>RPSPL-GUJ</v>
      </c>
      <c r="D58" s="509" t="s">
        <v>180</v>
      </c>
      <c r="E58" s="69" t="str">
        <f t="shared" si="4"/>
        <v>410021910</v>
      </c>
      <c r="F58" s="509" t="s">
        <v>181</v>
      </c>
      <c r="G58" s="70" t="str">
        <f>VLOOKUP(D58,Master!C:G,4,)</f>
        <v>T&amp;I</v>
      </c>
      <c r="H58" s="69" t="str">
        <f>VLOOKUP(D58,Master!C:G,5,)</f>
        <v>T&amp;I EX HP 2 KG</v>
      </c>
      <c r="I58" s="549">
        <v>2953.44</v>
      </c>
      <c r="J58" s="549">
        <v>1140</v>
      </c>
      <c r="K58" s="71">
        <f t="shared" si="5"/>
        <v>0.38599057370388429</v>
      </c>
      <c r="L58" s="549">
        <v>0</v>
      </c>
      <c r="M58" s="511"/>
      <c r="N58" s="549">
        <v>3420</v>
      </c>
      <c r="O58" s="549">
        <v>3420</v>
      </c>
      <c r="P58" s="72">
        <f t="shared" si="6"/>
        <v>-1606.56</v>
      </c>
      <c r="Q58" s="72">
        <f>IFERROR(IF(D58=20250,O58/(#REF!/30),O58/(I58/30)),0)</f>
        <v>34.739151633349586</v>
      </c>
      <c r="R58" s="72">
        <f t="shared" si="7"/>
        <v>34.739151633349586</v>
      </c>
      <c r="AC58"/>
      <c r="AD58"/>
      <c r="AE58"/>
      <c r="AF58"/>
      <c r="AG58"/>
      <c r="AH58"/>
      <c r="AI58"/>
      <c r="AJ58"/>
    </row>
    <row r="59" spans="1:36" ht="15">
      <c r="A59" s="352" t="str">
        <f t="shared" si="3"/>
        <v>410023081</v>
      </c>
      <c r="B59" s="509" t="s">
        <v>26</v>
      </c>
      <c r="C59" s="69" t="str">
        <f>_xlfn.XLOOKUP(B:B,Master!A:A,Master!B:B)</f>
        <v>RPSPL-GUJ</v>
      </c>
      <c r="D59" s="509" t="s">
        <v>189</v>
      </c>
      <c r="E59" s="69" t="str">
        <f t="shared" si="4"/>
        <v>410023081</v>
      </c>
      <c r="F59" s="509" t="s">
        <v>190</v>
      </c>
      <c r="G59" s="70" t="str">
        <f>VLOOKUP(D59,Master!C:G,4,)</f>
        <v>T&amp;I</v>
      </c>
      <c r="H59" s="69" t="str">
        <f>VLOOKUP(D59,Master!C:G,5,)</f>
        <v>T&amp;I EX HP</v>
      </c>
      <c r="I59" s="549">
        <v>257.27999999999997</v>
      </c>
      <c r="J59" s="549">
        <v>144</v>
      </c>
      <c r="K59" s="71">
        <f t="shared" si="5"/>
        <v>0.55970149253731349</v>
      </c>
      <c r="L59" s="549">
        <v>0</v>
      </c>
      <c r="M59" s="511"/>
      <c r="N59" s="549">
        <v>156</v>
      </c>
      <c r="O59" s="549">
        <v>156</v>
      </c>
      <c r="P59" s="72">
        <f t="shared" si="6"/>
        <v>-42.720000000000027</v>
      </c>
      <c r="Q59" s="72">
        <f>IFERROR(IF(D59=20250,O59/(#REF!/30),O59/(I59/30)),0)</f>
        <v>18.190298507462689</v>
      </c>
      <c r="R59" s="72">
        <f t="shared" si="7"/>
        <v>18.190298507462689</v>
      </c>
      <c r="AC59"/>
      <c r="AD59"/>
      <c r="AE59"/>
      <c r="AF59"/>
      <c r="AG59"/>
      <c r="AH59"/>
      <c r="AI59"/>
      <c r="AJ59"/>
    </row>
    <row r="60" spans="1:36" ht="15">
      <c r="A60" s="352" t="str">
        <f t="shared" si="3"/>
        <v>410023401</v>
      </c>
      <c r="B60" s="509" t="s">
        <v>26</v>
      </c>
      <c r="C60" s="69" t="str">
        <f>_xlfn.XLOOKUP(B:B,Master!A:A,Master!B:B)</f>
        <v>RPSPL-GUJ</v>
      </c>
      <c r="D60" s="509" t="s">
        <v>194</v>
      </c>
      <c r="E60" s="69" t="str">
        <f t="shared" si="4"/>
        <v>410023401</v>
      </c>
      <c r="F60" s="509" t="s">
        <v>195</v>
      </c>
      <c r="G60" s="70" t="str">
        <f>VLOOKUP(D60,Master!C:G,4,)</f>
        <v>T&amp;I</v>
      </c>
      <c r="H60" s="69" t="str">
        <f>VLOOKUP(D60,Master!C:G,5,)</f>
        <v>T&amp;I EX UF</v>
      </c>
      <c r="I60" s="549">
        <v>2500.08</v>
      </c>
      <c r="J60" s="549">
        <v>276</v>
      </c>
      <c r="K60" s="71">
        <f t="shared" si="5"/>
        <v>0.11039646731304599</v>
      </c>
      <c r="L60" s="549">
        <v>0</v>
      </c>
      <c r="M60" s="511"/>
      <c r="N60" s="549">
        <v>2220</v>
      </c>
      <c r="O60" s="549">
        <v>2220</v>
      </c>
      <c r="P60" s="72">
        <f t="shared" si="6"/>
        <v>4.0799999999999272</v>
      </c>
      <c r="Q60" s="72">
        <f>IFERROR(IF(D60=20250,O60/(#REF!/30),O60/(I60/30)),0)</f>
        <v>26.639147547278487</v>
      </c>
      <c r="R60" s="72">
        <f t="shared" si="7"/>
        <v>26.639147547278487</v>
      </c>
      <c r="AC60"/>
      <c r="AD60"/>
      <c r="AE60"/>
      <c r="AF60"/>
      <c r="AG60"/>
      <c r="AH60"/>
      <c r="AI60"/>
      <c r="AJ60"/>
    </row>
    <row r="61" spans="1:36" ht="15">
      <c r="A61" s="352" t="str">
        <f t="shared" si="3"/>
        <v>410024768</v>
      </c>
      <c r="B61" s="509" t="s">
        <v>26</v>
      </c>
      <c r="C61" s="69" t="str">
        <f>_xlfn.XLOOKUP(B:B,Master!A:A,Master!B:B)</f>
        <v>RPSPL-GUJ</v>
      </c>
      <c r="D61" s="509" t="s">
        <v>906</v>
      </c>
      <c r="E61" s="69" t="str">
        <f t="shared" si="4"/>
        <v>410024768</v>
      </c>
      <c r="F61" s="509" t="s">
        <v>912</v>
      </c>
      <c r="G61" s="70" t="str">
        <f>VLOOKUP(D61,Master!C:G,4,)</f>
        <v>T&amp;I</v>
      </c>
      <c r="H61" s="69" t="str">
        <f>VLOOKUP(D61,Master!C:G,5,)</f>
        <v>T&amp;I EX UF</v>
      </c>
      <c r="I61" s="549">
        <v>7874.64</v>
      </c>
      <c r="J61" s="549">
        <v>3252</v>
      </c>
      <c r="K61" s="71">
        <f t="shared" si="5"/>
        <v>0.41297125963853581</v>
      </c>
      <c r="L61" s="549">
        <v>0</v>
      </c>
      <c r="M61" s="511"/>
      <c r="N61" s="549">
        <v>7272</v>
      </c>
      <c r="O61" s="549">
        <v>7272</v>
      </c>
      <c r="P61" s="72">
        <f t="shared" si="6"/>
        <v>-2649.3599999999997</v>
      </c>
      <c r="Q61" s="72">
        <f>IFERROR(IF(D61=20250,O61/(#REF!/30),O61/(I61/30)),0)</f>
        <v>27.704123617079638</v>
      </c>
      <c r="R61" s="72">
        <f t="shared" si="7"/>
        <v>27.704123617079638</v>
      </c>
      <c r="AC61"/>
      <c r="AD61"/>
      <c r="AE61"/>
      <c r="AF61"/>
      <c r="AG61"/>
      <c r="AH61"/>
      <c r="AI61"/>
      <c r="AJ61"/>
    </row>
    <row r="62" spans="1:36" ht="15">
      <c r="A62" s="352" t="str">
        <f t="shared" si="3"/>
        <v>410025570</v>
      </c>
      <c r="B62" s="509" t="s">
        <v>26</v>
      </c>
      <c r="C62" s="69" t="str">
        <f>_xlfn.XLOOKUP(B:B,Master!A:A,Master!B:B)</f>
        <v>RPSPL-GUJ</v>
      </c>
      <c r="D62" s="509" t="s">
        <v>1006</v>
      </c>
      <c r="E62" s="69" t="str">
        <f t="shared" si="4"/>
        <v>410025570</v>
      </c>
      <c r="F62" s="509" t="s">
        <v>1008</v>
      </c>
      <c r="G62" s="70" t="str">
        <f>VLOOKUP(D62,Master!C:G,4,)</f>
        <v>T&amp;I</v>
      </c>
      <c r="H62" s="69" t="str">
        <f>VLOOKUP(D62,Master!C:G,5,)</f>
        <v>T&amp;I EX HP</v>
      </c>
      <c r="I62" s="549">
        <v>68.28</v>
      </c>
      <c r="J62" s="549">
        <v>84</v>
      </c>
      <c r="K62" s="71">
        <f t="shared" si="5"/>
        <v>1.2302284710017575</v>
      </c>
      <c r="L62" s="549">
        <v>0</v>
      </c>
      <c r="M62" s="511"/>
      <c r="N62" s="549">
        <v>276</v>
      </c>
      <c r="O62" s="549">
        <v>276</v>
      </c>
      <c r="P62" s="72">
        <f t="shared" si="6"/>
        <v>-291.72000000000003</v>
      </c>
      <c r="Q62" s="72">
        <f>IFERROR(IF(D62=20250,O62/(#REF!/30),O62/(I62/30)),0)</f>
        <v>121.26537785588751</v>
      </c>
      <c r="R62" s="72">
        <f t="shared" si="7"/>
        <v>121.26537785588751</v>
      </c>
      <c r="AC62"/>
      <c r="AD62"/>
      <c r="AE62"/>
      <c r="AF62"/>
      <c r="AG62"/>
      <c r="AH62"/>
      <c r="AI62"/>
      <c r="AJ62"/>
    </row>
    <row r="63" spans="1:36" ht="15">
      <c r="A63" s="352" t="str">
        <f t="shared" si="3"/>
        <v>410025598</v>
      </c>
      <c r="B63" s="509" t="s">
        <v>26</v>
      </c>
      <c r="C63" s="69" t="str">
        <f>_xlfn.XLOOKUP(B:B,Master!A:A,Master!B:B)</f>
        <v>RPSPL-GUJ</v>
      </c>
      <c r="D63" s="509" t="s">
        <v>1007</v>
      </c>
      <c r="E63" s="69" t="str">
        <f t="shared" si="4"/>
        <v>410025598</v>
      </c>
      <c r="F63" s="509" t="s">
        <v>1009</v>
      </c>
      <c r="G63" s="70" t="str">
        <f>VLOOKUP(D63,Master!C:G,4,)</f>
        <v>T&amp;I</v>
      </c>
      <c r="H63" s="69" t="str">
        <f>VLOOKUP(D63,Master!C:G,5,)</f>
        <v>T&amp;I EX HP</v>
      </c>
      <c r="I63" s="549">
        <v>513.6</v>
      </c>
      <c r="J63" s="549">
        <v>468</v>
      </c>
      <c r="K63" s="71">
        <f t="shared" si="5"/>
        <v>0.91121495327102797</v>
      </c>
      <c r="L63" s="549">
        <v>0</v>
      </c>
      <c r="M63" s="511"/>
      <c r="N63" s="549">
        <v>384</v>
      </c>
      <c r="O63" s="549">
        <v>384</v>
      </c>
      <c r="P63" s="72">
        <f t="shared" si="6"/>
        <v>-338.4</v>
      </c>
      <c r="Q63" s="72">
        <f>IFERROR(IF(D63=20250,O63/(#REF!/30),O63/(I63/30)),0)</f>
        <v>22.429906542056074</v>
      </c>
      <c r="R63" s="72">
        <f t="shared" si="7"/>
        <v>22.429906542056074</v>
      </c>
      <c r="AC63"/>
      <c r="AD63"/>
      <c r="AE63"/>
      <c r="AF63"/>
      <c r="AG63"/>
      <c r="AH63"/>
      <c r="AI63"/>
      <c r="AJ63"/>
    </row>
    <row r="64" spans="1:36" ht="15">
      <c r="A64" s="352" t="str">
        <f t="shared" si="3"/>
        <v>410106151</v>
      </c>
      <c r="B64" s="509" t="s">
        <v>86</v>
      </c>
      <c r="C64" s="69" t="str">
        <f>_xlfn.XLOOKUP(B:B,Master!A:A,Master!B:B)</f>
        <v>RPSPL-PC</v>
      </c>
      <c r="D64" s="509" t="s">
        <v>28</v>
      </c>
      <c r="E64" s="69" t="str">
        <f t="shared" si="4"/>
        <v>410106151</v>
      </c>
      <c r="F64" s="509" t="s">
        <v>29</v>
      </c>
      <c r="G64" s="70" t="str">
        <f>VLOOKUP(D64,Master!C:G,4,)</f>
        <v>DD</v>
      </c>
      <c r="H64" s="69" t="str">
        <f>VLOOKUP(D64,Master!C:G,5,)</f>
        <v>OS - Dry</v>
      </c>
      <c r="I64" s="549">
        <v>51479.28</v>
      </c>
      <c r="J64" s="549">
        <v>23316</v>
      </c>
      <c r="K64" s="71">
        <f t="shared" si="5"/>
        <v>0.45292008746043066</v>
      </c>
      <c r="L64" s="549">
        <v>0</v>
      </c>
      <c r="M64" s="511"/>
      <c r="N64" s="549">
        <v>27744</v>
      </c>
      <c r="O64" s="549">
        <v>27744</v>
      </c>
      <c r="P64" s="72">
        <f t="shared" si="6"/>
        <v>419.27999999999884</v>
      </c>
      <c r="Q64" s="72">
        <f>IFERROR(IF(D64=20250,O64/(#REF!/30),O64/(I64/30)),0)</f>
        <v>16.168058294521604</v>
      </c>
      <c r="R64" s="72">
        <f t="shared" si="7"/>
        <v>16.168058294521604</v>
      </c>
      <c r="AC64"/>
      <c r="AD64"/>
      <c r="AE64"/>
      <c r="AF64"/>
      <c r="AG64"/>
      <c r="AH64"/>
      <c r="AI64"/>
      <c r="AJ64"/>
    </row>
    <row r="65" spans="1:36" ht="15">
      <c r="A65" s="352" t="str">
        <f t="shared" si="3"/>
        <v>410113490</v>
      </c>
      <c r="B65" s="509" t="s">
        <v>86</v>
      </c>
      <c r="C65" s="69" t="str">
        <f>_xlfn.XLOOKUP(B:B,Master!A:A,Master!B:B)</f>
        <v>RPSPL-PC</v>
      </c>
      <c r="D65" s="509" t="s">
        <v>37</v>
      </c>
      <c r="E65" s="69" t="str">
        <f t="shared" si="4"/>
        <v>410113490</v>
      </c>
      <c r="F65" s="509" t="s">
        <v>38</v>
      </c>
      <c r="G65" s="70" t="str">
        <f>VLOOKUP(D65,Master!C:G,4,)</f>
        <v>NGL</v>
      </c>
      <c r="H65" s="69" t="str">
        <f>VLOOKUP(D65,Master!C:G,5,)</f>
        <v>UF-Dry</v>
      </c>
      <c r="I65" s="549">
        <v>4844.8999999999996</v>
      </c>
      <c r="J65" s="549">
        <v>4600</v>
      </c>
      <c r="K65" s="71">
        <f t="shared" si="5"/>
        <v>0.94945200107329364</v>
      </c>
      <c r="L65" s="549">
        <v>0</v>
      </c>
      <c r="M65" s="511"/>
      <c r="N65" s="549">
        <v>0</v>
      </c>
      <c r="O65" s="549">
        <v>0</v>
      </c>
      <c r="P65" s="72">
        <f t="shared" si="6"/>
        <v>244.89999999999964</v>
      </c>
      <c r="Q65" s="72">
        <f>IFERROR(IF(D65=20250,O65/(#REF!/30),O65/(I65/30)),0)</f>
        <v>0</v>
      </c>
      <c r="R65" s="72">
        <f t="shared" si="7"/>
        <v>0</v>
      </c>
      <c r="AC65"/>
      <c r="AD65"/>
      <c r="AE65"/>
      <c r="AF65"/>
      <c r="AG65"/>
      <c r="AH65"/>
      <c r="AI65"/>
      <c r="AJ65"/>
    </row>
    <row r="66" spans="1:36" ht="15">
      <c r="A66" s="352" t="str">
        <f t="shared" si="3"/>
        <v>410115300</v>
      </c>
      <c r="B66" s="509" t="s">
        <v>86</v>
      </c>
      <c r="C66" s="69" t="str">
        <f>_xlfn.XLOOKUP(B:B,Master!A:A,Master!B:B)</f>
        <v>RPSPL-PC</v>
      </c>
      <c r="D66" s="509" t="s">
        <v>43</v>
      </c>
      <c r="E66" s="69" t="str">
        <f t="shared" si="4"/>
        <v>410115300</v>
      </c>
      <c r="F66" s="509" t="s">
        <v>44</v>
      </c>
      <c r="G66" s="70" t="str">
        <f>VLOOKUP(D66,Master!C:G,4,)</f>
        <v>NGL</v>
      </c>
      <c r="H66" s="69" t="str">
        <f>VLOOKUP(D66,Master!C:G,5,)</f>
        <v>UF-Dry</v>
      </c>
      <c r="I66" s="549">
        <v>363.15</v>
      </c>
      <c r="J66" s="549">
        <v>306</v>
      </c>
      <c r="K66" s="71">
        <f t="shared" si="5"/>
        <v>0.84262701363073111</v>
      </c>
      <c r="L66" s="549">
        <v>0</v>
      </c>
      <c r="M66" s="511"/>
      <c r="N66" s="549">
        <v>54</v>
      </c>
      <c r="O66" s="549">
        <v>54</v>
      </c>
      <c r="P66" s="72">
        <f t="shared" si="6"/>
        <v>3.1499999999999773</v>
      </c>
      <c r="Q66" s="72">
        <f>IFERROR(IF(D66=20250,O66/(#REF!/30),O66/(I66/30)),0)</f>
        <v>4.4609665427509295</v>
      </c>
      <c r="R66" s="72">
        <f t="shared" si="7"/>
        <v>4.4609665427509295</v>
      </c>
      <c r="AC66"/>
      <c r="AD66"/>
      <c r="AE66"/>
      <c r="AF66"/>
      <c r="AG66"/>
      <c r="AH66"/>
      <c r="AI66"/>
      <c r="AJ66"/>
    </row>
    <row r="67" spans="1:36" ht="15">
      <c r="A67" s="352" t="str">
        <f t="shared" si="3"/>
        <v>410119690</v>
      </c>
      <c r="B67" s="509" t="s">
        <v>86</v>
      </c>
      <c r="C67" s="69" t="str">
        <f>_xlfn.XLOOKUP(B:B,Master!A:A,Master!B:B)</f>
        <v>RPSPL-PC</v>
      </c>
      <c r="D67" s="509" t="s">
        <v>88</v>
      </c>
      <c r="E67" s="69" t="str">
        <f t="shared" si="4"/>
        <v>410119690</v>
      </c>
      <c r="F67" s="509" t="s">
        <v>89</v>
      </c>
      <c r="G67" s="70" t="str">
        <f>VLOOKUP(D67,Master!C:G,4,)</f>
        <v>NFL</v>
      </c>
      <c r="H67" s="69" t="str">
        <f>VLOOKUP(D67,Master!C:G,5,)</f>
        <v>OS - Dry</v>
      </c>
      <c r="I67" s="549">
        <v>320.64</v>
      </c>
      <c r="J67" s="549">
        <v>312</v>
      </c>
      <c r="K67" s="71">
        <f t="shared" si="5"/>
        <v>0.97305389221556893</v>
      </c>
      <c r="L67" s="549">
        <v>0</v>
      </c>
      <c r="M67" s="511"/>
      <c r="N67" s="549">
        <v>72</v>
      </c>
      <c r="O67" s="549">
        <v>72</v>
      </c>
      <c r="P67" s="72">
        <f t="shared" si="6"/>
        <v>-63.360000000000014</v>
      </c>
      <c r="Q67" s="72">
        <f>IFERROR(IF(D67=20250,O67/(#REF!/30),O67/(I67/30)),0)</f>
        <v>6.7365269461077855</v>
      </c>
      <c r="R67" s="72">
        <f t="shared" si="7"/>
        <v>6.7365269461077855</v>
      </c>
      <c r="AC67"/>
      <c r="AD67"/>
      <c r="AE67"/>
      <c r="AF67"/>
      <c r="AG67"/>
      <c r="AH67"/>
      <c r="AI67"/>
      <c r="AJ67"/>
    </row>
    <row r="68" spans="1:36" ht="15">
      <c r="A68" s="352" t="str">
        <f t="shared" si="3"/>
        <v>410120661</v>
      </c>
      <c r="B68" s="509" t="s">
        <v>86</v>
      </c>
      <c r="C68" s="69" t="str">
        <f>_xlfn.XLOOKUP(B:B,Master!A:A,Master!B:B)</f>
        <v>RPSPL-PC</v>
      </c>
      <c r="D68" s="509" t="s">
        <v>167</v>
      </c>
      <c r="E68" s="69" t="str">
        <f t="shared" si="4"/>
        <v>410120661</v>
      </c>
      <c r="F68" s="509" t="s">
        <v>168</v>
      </c>
      <c r="G68" s="70" t="str">
        <f>VLOOKUP(D68,Master!C:G,4,)</f>
        <v>UHT-Chill</v>
      </c>
      <c r="H68" s="69" t="str">
        <f>VLOOKUP(D68,Master!C:G,5,)</f>
        <v>OS-Chill</v>
      </c>
      <c r="I68" s="549">
        <v>4826.04</v>
      </c>
      <c r="J68" s="549">
        <v>3168</v>
      </c>
      <c r="K68" s="71">
        <f t="shared" si="5"/>
        <v>0.65643881940472937</v>
      </c>
      <c r="L68" s="549">
        <v>0</v>
      </c>
      <c r="M68" s="511"/>
      <c r="N68" s="549">
        <v>4920</v>
      </c>
      <c r="O68" s="549">
        <v>4920</v>
      </c>
      <c r="P68" s="72">
        <f t="shared" si="6"/>
        <v>-3261.96</v>
      </c>
      <c r="Q68" s="72">
        <f>IFERROR(IF(D68=20250,O68/(#REF!/30),O68/(I68/30)),0)</f>
        <v>30.584081358629437</v>
      </c>
      <c r="R68" s="72">
        <f t="shared" si="7"/>
        <v>30.584081358629437</v>
      </c>
      <c r="AC68"/>
      <c r="AD68"/>
      <c r="AE68"/>
      <c r="AF68"/>
      <c r="AG68"/>
      <c r="AH68"/>
      <c r="AI68"/>
      <c r="AJ68"/>
    </row>
    <row r="69" spans="1:36" ht="15">
      <c r="A69" s="352" t="str">
        <f t="shared" ref="A69:A132" si="8">B69&amp;D69</f>
        <v>410123638</v>
      </c>
      <c r="B69" s="509" t="s">
        <v>86</v>
      </c>
      <c r="C69" s="69" t="str">
        <f>_xlfn.XLOOKUP(B:B,Master!A:A,Master!B:B)</f>
        <v>RPSPL-PC</v>
      </c>
      <c r="D69" s="509" t="s">
        <v>198</v>
      </c>
      <c r="E69" s="69" t="str">
        <f t="shared" ref="E69:E132" si="9">B69&amp;D69</f>
        <v>410123638</v>
      </c>
      <c r="F69" s="509" t="s">
        <v>199</v>
      </c>
      <c r="G69" s="70" t="str">
        <f>VLOOKUP(D69,Master!C:G,4,)</f>
        <v>DD</v>
      </c>
      <c r="H69" s="69" t="str">
        <f>VLOOKUP(D69,Master!C:G,5,)</f>
        <v>OS - Dry</v>
      </c>
      <c r="I69" s="549">
        <v>19999.919999999998</v>
      </c>
      <c r="J69" s="549">
        <v>9132</v>
      </c>
      <c r="K69" s="71">
        <f t="shared" ref="K69:K132" si="10">IFERROR(J69/I69,0)</f>
        <v>0.45660182640730568</v>
      </c>
      <c r="L69" s="549">
        <v>0</v>
      </c>
      <c r="M69" s="511"/>
      <c r="N69" s="549">
        <v>3540</v>
      </c>
      <c r="O69" s="549">
        <v>3540</v>
      </c>
      <c r="P69" s="72">
        <f t="shared" ref="P69:P132" si="11">I69-J69-O69</f>
        <v>7327.9199999999983</v>
      </c>
      <c r="Q69" s="72">
        <f>IFERROR(IF(D69=20250,O69/(#REF!/30),O69/(I69/30)),0)</f>
        <v>5.3100212400849607</v>
      </c>
      <c r="R69" s="72">
        <f t="shared" ref="R69:R132" si="12">IFERROR(N69/(I69/30),0)</f>
        <v>5.3100212400849607</v>
      </c>
      <c r="AC69"/>
      <c r="AD69"/>
      <c r="AE69"/>
      <c r="AF69"/>
      <c r="AG69"/>
      <c r="AH69"/>
      <c r="AI69"/>
      <c r="AJ69"/>
    </row>
    <row r="70" spans="1:36" ht="15">
      <c r="A70" s="352" t="str">
        <f t="shared" si="8"/>
        <v>410125885</v>
      </c>
      <c r="B70" s="509" t="s">
        <v>86</v>
      </c>
      <c r="C70" s="69" t="str">
        <f>_xlfn.XLOOKUP(B:B,Master!A:A,Master!B:B)</f>
        <v>RPSPL-PC</v>
      </c>
      <c r="D70" s="509" t="s">
        <v>1037</v>
      </c>
      <c r="E70" s="69" t="str">
        <f t="shared" si="9"/>
        <v>410125885</v>
      </c>
      <c r="F70" s="509" t="s">
        <v>1038</v>
      </c>
      <c r="G70" s="70" t="str">
        <f>VLOOKUP(D70,Master!C:G,4,)</f>
        <v>T&amp;I</v>
      </c>
      <c r="H70" s="69" t="str">
        <f>VLOOKUP(D70,Master!C:G,5,)</f>
        <v>T&amp;I EX UF</v>
      </c>
      <c r="I70" s="549">
        <v>9027.7199999999993</v>
      </c>
      <c r="J70" s="549">
        <v>912</v>
      </c>
      <c r="K70" s="71">
        <f t="shared" si="10"/>
        <v>0.10102218500352249</v>
      </c>
      <c r="L70" s="549">
        <v>0</v>
      </c>
      <c r="M70" s="511"/>
      <c r="N70" s="549">
        <v>14220</v>
      </c>
      <c r="O70" s="549">
        <v>14220</v>
      </c>
      <c r="P70" s="72">
        <f t="shared" si="11"/>
        <v>-6104.2800000000007</v>
      </c>
      <c r="Q70" s="72">
        <f>IFERROR(IF(D70=20250,O70/(#REF!/30),O70/(I70/30)),0)</f>
        <v>47.254456274674006</v>
      </c>
      <c r="R70" s="72">
        <f t="shared" si="12"/>
        <v>47.254456274674006</v>
      </c>
      <c r="AC70"/>
      <c r="AD70"/>
      <c r="AE70"/>
      <c r="AF70"/>
      <c r="AG70"/>
      <c r="AH70"/>
      <c r="AI70"/>
      <c r="AJ70"/>
    </row>
    <row r="71" spans="1:36" ht="15">
      <c r="A71" s="352" t="str">
        <f t="shared" si="8"/>
        <v>410126026</v>
      </c>
      <c r="B71" s="509" t="s">
        <v>86</v>
      </c>
      <c r="C71" s="69" t="str">
        <f>_xlfn.XLOOKUP(B:B,Master!A:A,Master!B:B)</f>
        <v>RPSPL-PC</v>
      </c>
      <c r="D71" s="509" t="s">
        <v>1184</v>
      </c>
      <c r="E71" s="69" t="str">
        <f t="shared" si="9"/>
        <v>410126026</v>
      </c>
      <c r="F71" s="509" t="s">
        <v>1224</v>
      </c>
      <c r="G71" s="70" t="str">
        <f>VLOOKUP(D71,Master!C:G,4,)</f>
        <v>UHT-Chill</v>
      </c>
      <c r="H71" s="69" t="str">
        <f>VLOOKUP(D71,Master!C:G,5,)</f>
        <v>OS-Chill</v>
      </c>
      <c r="I71" s="549">
        <v>1368.84</v>
      </c>
      <c r="J71" s="549">
        <v>756</v>
      </c>
      <c r="K71" s="71">
        <f t="shared" si="10"/>
        <v>0.55229245200315602</v>
      </c>
      <c r="L71" s="549">
        <v>0</v>
      </c>
      <c r="M71" s="511"/>
      <c r="N71" s="549">
        <v>3732</v>
      </c>
      <c r="O71" s="549">
        <v>3732</v>
      </c>
      <c r="P71" s="72">
        <f t="shared" si="11"/>
        <v>-3119.16</v>
      </c>
      <c r="Q71" s="72">
        <f>IFERROR(IF(D71=20250,O71/(#REF!/30),O71/(I71/30)),0)</f>
        <v>81.791882177610233</v>
      </c>
      <c r="R71" s="72">
        <f t="shared" si="12"/>
        <v>81.791882177610233</v>
      </c>
      <c r="AC71"/>
      <c r="AD71"/>
      <c r="AE71"/>
      <c r="AF71"/>
      <c r="AG71"/>
      <c r="AH71"/>
      <c r="AI71"/>
      <c r="AJ71"/>
    </row>
    <row r="72" spans="1:36" ht="15">
      <c r="A72" s="352" t="str">
        <f t="shared" si="8"/>
        <v>410126192</v>
      </c>
      <c r="B72" s="509" t="s">
        <v>86</v>
      </c>
      <c r="C72" s="69" t="str">
        <f>_xlfn.XLOOKUP(B:B,Master!A:A,Master!B:B)</f>
        <v>RPSPL-PC</v>
      </c>
      <c r="D72" s="509" t="s">
        <v>1188</v>
      </c>
      <c r="E72" s="69" t="str">
        <f t="shared" si="9"/>
        <v>410126192</v>
      </c>
      <c r="F72" s="509" t="s">
        <v>1223</v>
      </c>
      <c r="G72" s="70" t="str">
        <f>VLOOKUP(D72,Master!C:G,4,)</f>
        <v>DD</v>
      </c>
      <c r="H72" s="69" t="str">
        <f>VLOOKUP(D72,Master!C:G,5,)</f>
        <v>OS - Dry</v>
      </c>
      <c r="I72" s="549">
        <v>1979.52</v>
      </c>
      <c r="J72" s="549">
        <v>0</v>
      </c>
      <c r="K72" s="71">
        <f t="shared" si="10"/>
        <v>0</v>
      </c>
      <c r="L72" s="549">
        <v>0</v>
      </c>
      <c r="M72" s="511"/>
      <c r="N72" s="549">
        <v>0</v>
      </c>
      <c r="O72" s="549">
        <v>0</v>
      </c>
      <c r="P72" s="72">
        <f t="shared" si="11"/>
        <v>1979.52</v>
      </c>
      <c r="Q72" s="72">
        <f>IFERROR(IF(D72=20250,O72/(#REF!/30),O72/(I72/30)),0)</f>
        <v>0</v>
      </c>
      <c r="R72" s="72">
        <f t="shared" si="12"/>
        <v>0</v>
      </c>
      <c r="AC72"/>
      <c r="AD72"/>
      <c r="AE72"/>
      <c r="AF72"/>
      <c r="AG72"/>
      <c r="AH72"/>
      <c r="AI72"/>
      <c r="AJ72"/>
    </row>
    <row r="73" spans="1:36" ht="15">
      <c r="A73" s="352" t="str">
        <f t="shared" si="8"/>
        <v>410126193</v>
      </c>
      <c r="B73" s="509" t="s">
        <v>86</v>
      </c>
      <c r="C73" s="69" t="str">
        <f>_xlfn.XLOOKUP(B:B,Master!A:A,Master!B:B)</f>
        <v>RPSPL-PC</v>
      </c>
      <c r="D73" s="509" t="s">
        <v>1194</v>
      </c>
      <c r="E73" s="69" t="str">
        <f t="shared" si="9"/>
        <v>410126193</v>
      </c>
      <c r="F73" s="509" t="s">
        <v>1225</v>
      </c>
      <c r="G73" s="70" t="str">
        <f>VLOOKUP(D73,Master!C:G,4,)</f>
        <v>DD</v>
      </c>
      <c r="H73" s="69" t="str">
        <f>VLOOKUP(D73,Master!C:G,5,)</f>
        <v>OS - Dry</v>
      </c>
      <c r="I73" s="549">
        <v>2638.68</v>
      </c>
      <c r="J73" s="549">
        <v>0</v>
      </c>
      <c r="K73" s="71">
        <f t="shared" si="10"/>
        <v>0</v>
      </c>
      <c r="L73" s="549">
        <v>0</v>
      </c>
      <c r="M73" s="511"/>
      <c r="N73" s="549">
        <v>0</v>
      </c>
      <c r="O73" s="549">
        <v>0</v>
      </c>
      <c r="P73" s="72">
        <f t="shared" si="11"/>
        <v>2638.68</v>
      </c>
      <c r="Q73" s="72">
        <f>IFERROR(IF(D73=20250,O73/(#REF!/30),O73/(I73/30)),0)</f>
        <v>0</v>
      </c>
      <c r="R73" s="72">
        <f t="shared" si="12"/>
        <v>0</v>
      </c>
      <c r="AC73"/>
      <c r="AD73"/>
      <c r="AE73"/>
      <c r="AF73"/>
      <c r="AG73"/>
      <c r="AH73"/>
      <c r="AI73"/>
      <c r="AJ73"/>
    </row>
    <row r="74" spans="1:36" ht="15">
      <c r="A74" s="352" t="str">
        <f t="shared" si="8"/>
        <v>410126234</v>
      </c>
      <c r="B74" s="509" t="s">
        <v>86</v>
      </c>
      <c r="C74" s="69" t="str">
        <f>_xlfn.XLOOKUP(B:B,Master!A:A,Master!B:B)</f>
        <v>RPSPL-PC</v>
      </c>
      <c r="D74" s="509" t="s">
        <v>1176</v>
      </c>
      <c r="E74" s="69" t="str">
        <f t="shared" si="9"/>
        <v>410126234</v>
      </c>
      <c r="F74" s="509" t="s">
        <v>1182</v>
      </c>
      <c r="G74" s="70" t="str">
        <f>VLOOKUP(D74,Master!C:G,4,)</f>
        <v>T&amp;I</v>
      </c>
      <c r="H74" s="69" t="str">
        <f>VLOOKUP(D74,Master!C:G,5,)</f>
        <v>T&amp;I EX UF</v>
      </c>
      <c r="I74" s="549">
        <v>0</v>
      </c>
      <c r="J74" s="549">
        <v>24</v>
      </c>
      <c r="K74" s="71">
        <f t="shared" si="10"/>
        <v>0</v>
      </c>
      <c r="L74" s="549">
        <v>0</v>
      </c>
      <c r="M74" s="511"/>
      <c r="N74" s="549">
        <v>1728</v>
      </c>
      <c r="O74" s="549">
        <v>1728</v>
      </c>
      <c r="P74" s="72">
        <f t="shared" si="11"/>
        <v>-1752</v>
      </c>
      <c r="Q74" s="72">
        <f>IFERROR(IF(D74=20250,O74/(#REF!/30),O74/(I74/30)),0)</f>
        <v>0</v>
      </c>
      <c r="R74" s="72">
        <f t="shared" si="12"/>
        <v>0</v>
      </c>
      <c r="AC74"/>
      <c r="AD74"/>
      <c r="AE74"/>
      <c r="AF74"/>
      <c r="AG74"/>
      <c r="AH74"/>
      <c r="AI74"/>
      <c r="AJ74"/>
    </row>
    <row r="75" spans="1:36" ht="15">
      <c r="A75" s="352" t="str">
        <f t="shared" si="8"/>
        <v>410126744</v>
      </c>
      <c r="B75" s="509" t="s">
        <v>86</v>
      </c>
      <c r="C75" s="69" t="str">
        <f>_xlfn.XLOOKUP(B:B,Master!A:A,Master!B:B)</f>
        <v>RPSPL-PC</v>
      </c>
      <c r="D75" s="509" t="s">
        <v>1231</v>
      </c>
      <c r="E75" s="69" t="str">
        <f t="shared" si="9"/>
        <v>410126744</v>
      </c>
      <c r="F75" s="509" t="s">
        <v>1236</v>
      </c>
      <c r="G75" s="70" t="str">
        <f>VLOOKUP(D75,Master!C:G,4,)</f>
        <v>NFL</v>
      </c>
      <c r="H75" s="69" t="str">
        <f>VLOOKUP(D75,Master!C:G,5,)</f>
        <v>PF MFG</v>
      </c>
      <c r="I75" s="549">
        <v>0</v>
      </c>
      <c r="J75" s="549">
        <v>0</v>
      </c>
      <c r="K75" s="71">
        <f t="shared" si="10"/>
        <v>0</v>
      </c>
      <c r="L75" s="549">
        <v>0</v>
      </c>
      <c r="M75" s="511"/>
      <c r="N75" s="549">
        <v>192</v>
      </c>
      <c r="O75" s="549">
        <v>192</v>
      </c>
      <c r="P75" s="72">
        <f t="shared" si="11"/>
        <v>-192</v>
      </c>
      <c r="Q75" s="72">
        <f>IFERROR(IF(D75=20250,O75/(#REF!/30),O75/(I75/30)),0)</f>
        <v>0</v>
      </c>
      <c r="R75" s="72">
        <f t="shared" si="12"/>
        <v>0</v>
      </c>
      <c r="AC75"/>
      <c r="AD75"/>
      <c r="AE75"/>
      <c r="AF75"/>
      <c r="AG75"/>
      <c r="AH75"/>
      <c r="AI75"/>
      <c r="AJ75"/>
    </row>
    <row r="76" spans="1:36" ht="15">
      <c r="A76" s="352" t="str">
        <f t="shared" si="8"/>
        <v>410126745</v>
      </c>
      <c r="B76" s="509" t="s">
        <v>86</v>
      </c>
      <c r="C76" s="69" t="str">
        <f>_xlfn.XLOOKUP(B:B,Master!A:A,Master!B:B)</f>
        <v>RPSPL-PC</v>
      </c>
      <c r="D76" s="509" t="s">
        <v>1232</v>
      </c>
      <c r="E76" s="69" t="str">
        <f t="shared" si="9"/>
        <v>410126745</v>
      </c>
      <c r="F76" s="509" t="s">
        <v>1237</v>
      </c>
      <c r="G76" s="70" t="str">
        <f>VLOOKUP(D76,Master!C:G,4,)</f>
        <v>NFL</v>
      </c>
      <c r="H76" s="69" t="str">
        <f>VLOOKUP(D76,Master!C:G,5,)</f>
        <v>PF MFG</v>
      </c>
      <c r="I76" s="549">
        <v>0</v>
      </c>
      <c r="J76" s="549">
        <v>0</v>
      </c>
      <c r="K76" s="71">
        <f t="shared" si="10"/>
        <v>0</v>
      </c>
      <c r="L76" s="549">
        <v>0</v>
      </c>
      <c r="M76" s="511"/>
      <c r="N76" s="549">
        <v>648</v>
      </c>
      <c r="O76" s="549">
        <v>648</v>
      </c>
      <c r="P76" s="72">
        <f t="shared" si="11"/>
        <v>-648</v>
      </c>
      <c r="Q76" s="72">
        <f>IFERROR(IF(D76=20250,O76/(#REF!/30),O76/(I76/30)),0)</f>
        <v>0</v>
      </c>
      <c r="R76" s="72">
        <f t="shared" si="12"/>
        <v>0</v>
      </c>
      <c r="AC76"/>
      <c r="AD76"/>
      <c r="AE76"/>
      <c r="AF76"/>
      <c r="AG76"/>
      <c r="AH76"/>
      <c r="AI76"/>
      <c r="AJ76"/>
    </row>
    <row r="77" spans="1:36" ht="15">
      <c r="A77" s="352" t="str">
        <f t="shared" si="8"/>
        <v>410127021</v>
      </c>
      <c r="B77" s="509" t="s">
        <v>86</v>
      </c>
      <c r="C77" s="69" t="str">
        <f>_xlfn.XLOOKUP(B:B,Master!A:A,Master!B:B)</f>
        <v>RPSPL-PC</v>
      </c>
      <c r="D77" s="509" t="s">
        <v>1243</v>
      </c>
      <c r="E77" s="69" t="str">
        <f t="shared" si="9"/>
        <v>410127021</v>
      </c>
      <c r="F77" s="509" t="s">
        <v>1244</v>
      </c>
      <c r="G77" s="70" t="e">
        <f>VLOOKUP(D77,Master!C:G,4,)</f>
        <v>#N/A</v>
      </c>
      <c r="H77" s="69" t="e">
        <f>VLOOKUP(D77,Master!C:G,5,)</f>
        <v>#N/A</v>
      </c>
      <c r="I77" s="549">
        <v>0</v>
      </c>
      <c r="J77" s="549">
        <v>0</v>
      </c>
      <c r="K77" s="71">
        <f t="shared" si="10"/>
        <v>0</v>
      </c>
      <c r="L77" s="549">
        <v>0</v>
      </c>
      <c r="M77" s="511"/>
      <c r="N77" s="549">
        <v>120</v>
      </c>
      <c r="O77" s="549">
        <v>120</v>
      </c>
      <c r="P77" s="72">
        <f t="shared" si="11"/>
        <v>-120</v>
      </c>
      <c r="Q77" s="72">
        <f>IFERROR(IF(D77=20250,O77/(#REF!/30),O77/(I77/30)),0)</f>
        <v>0</v>
      </c>
      <c r="R77" s="72">
        <f t="shared" si="12"/>
        <v>0</v>
      </c>
      <c r="AC77"/>
      <c r="AD77"/>
      <c r="AE77"/>
      <c r="AF77"/>
      <c r="AG77"/>
      <c r="AH77"/>
      <c r="AI77"/>
      <c r="AJ77"/>
    </row>
    <row r="78" spans="1:36" ht="15">
      <c r="A78" s="352" t="str">
        <f t="shared" si="8"/>
        <v>410104145</v>
      </c>
      <c r="B78" s="509" t="s">
        <v>86</v>
      </c>
      <c r="C78" s="69" t="str">
        <f>_xlfn.XLOOKUP(B:B,Master!A:A,Master!B:B)</f>
        <v>RPSPL-PC</v>
      </c>
      <c r="D78" s="509" t="s">
        <v>34</v>
      </c>
      <c r="E78" s="69" t="str">
        <f t="shared" si="9"/>
        <v>410104145</v>
      </c>
      <c r="F78" s="509" t="s">
        <v>35</v>
      </c>
      <c r="G78" s="70" t="str">
        <f>VLOOKUP(D78,Master!C:G,4,)</f>
        <v>NGL</v>
      </c>
      <c r="H78" s="69" t="str">
        <f>VLOOKUP(D78,Master!C:G,5,)</f>
        <v>UF-Dry</v>
      </c>
      <c r="I78" s="549">
        <v>435.42</v>
      </c>
      <c r="J78" s="549">
        <v>378</v>
      </c>
      <c r="K78" s="71">
        <f t="shared" si="10"/>
        <v>0.86812732534104997</v>
      </c>
      <c r="L78" s="549">
        <v>0</v>
      </c>
      <c r="M78" s="511"/>
      <c r="N78" s="549">
        <v>63</v>
      </c>
      <c r="O78" s="549">
        <v>63</v>
      </c>
      <c r="P78" s="72">
        <f t="shared" si="11"/>
        <v>-5.5799999999999841</v>
      </c>
      <c r="Q78" s="72">
        <f>IFERROR(IF(D78=20250,O78/(#REF!/30),O78/(I78/30)),0)</f>
        <v>4.3406366267052494</v>
      </c>
      <c r="R78" s="72">
        <f t="shared" si="12"/>
        <v>4.3406366267052494</v>
      </c>
      <c r="AC78"/>
      <c r="AD78"/>
      <c r="AE78"/>
      <c r="AF78"/>
      <c r="AG78"/>
      <c r="AH78"/>
      <c r="AI78"/>
      <c r="AJ78"/>
    </row>
    <row r="79" spans="1:36" ht="15">
      <c r="A79" s="352" t="str">
        <f t="shared" si="8"/>
        <v>410114248</v>
      </c>
      <c r="B79" s="509" t="s">
        <v>86</v>
      </c>
      <c r="C79" s="69" t="str">
        <f>_xlfn.XLOOKUP(B:B,Master!A:A,Master!B:B)</f>
        <v>RPSPL-PC</v>
      </c>
      <c r="D79" s="509" t="s">
        <v>41</v>
      </c>
      <c r="E79" s="69" t="str">
        <f t="shared" si="9"/>
        <v>410114248</v>
      </c>
      <c r="F79" s="509" t="s">
        <v>42</v>
      </c>
      <c r="G79" s="70" t="str">
        <f>VLOOKUP(D79,Master!C:G,4,)</f>
        <v>NGL</v>
      </c>
      <c r="H79" s="69" t="str">
        <f>VLOOKUP(D79,Master!C:G,5,)</f>
        <v>UF-Dry</v>
      </c>
      <c r="I79" s="549">
        <v>5920.8</v>
      </c>
      <c r="J79" s="549">
        <v>3400</v>
      </c>
      <c r="K79" s="71">
        <f t="shared" si="10"/>
        <v>0.57424672341575456</v>
      </c>
      <c r="L79" s="549">
        <v>0</v>
      </c>
      <c r="M79" s="511"/>
      <c r="N79" s="549">
        <v>1320</v>
      </c>
      <c r="O79" s="549">
        <v>1320</v>
      </c>
      <c r="P79" s="72">
        <f t="shared" si="11"/>
        <v>1200.8000000000002</v>
      </c>
      <c r="Q79" s="72">
        <f>IFERROR(IF(D79=20250,O79/(#REF!/30),O79/(I79/30)),0)</f>
        <v>6.6882853668423179</v>
      </c>
      <c r="R79" s="72">
        <f t="shared" si="12"/>
        <v>6.6882853668423179</v>
      </c>
      <c r="AC79"/>
      <c r="AD79"/>
      <c r="AE79"/>
      <c r="AF79"/>
      <c r="AG79"/>
      <c r="AH79"/>
      <c r="AI79"/>
      <c r="AJ79"/>
    </row>
    <row r="80" spans="1:36" ht="15">
      <c r="A80" s="352" t="str">
        <f t="shared" si="8"/>
        <v>410115305</v>
      </c>
      <c r="B80" s="509" t="s">
        <v>86</v>
      </c>
      <c r="C80" s="69" t="str">
        <f>_xlfn.XLOOKUP(B:B,Master!A:A,Master!B:B)</f>
        <v>RPSPL-PC</v>
      </c>
      <c r="D80" s="509" t="s">
        <v>45</v>
      </c>
      <c r="E80" s="69" t="str">
        <f t="shared" si="9"/>
        <v>410115305</v>
      </c>
      <c r="F80" s="509" t="s">
        <v>46</v>
      </c>
      <c r="G80" s="70" t="str">
        <f>VLOOKUP(D80,Master!C:G,4,)</f>
        <v>NGL</v>
      </c>
      <c r="H80" s="69" t="str">
        <f>VLOOKUP(D80,Master!C:G,5,)</f>
        <v>UF-Dry</v>
      </c>
      <c r="I80" s="549">
        <v>206.82</v>
      </c>
      <c r="J80" s="549">
        <v>36</v>
      </c>
      <c r="K80" s="71">
        <f t="shared" si="10"/>
        <v>0.1740644038294169</v>
      </c>
      <c r="L80" s="549">
        <v>0</v>
      </c>
      <c r="M80" s="511"/>
      <c r="N80" s="549">
        <v>243</v>
      </c>
      <c r="O80" s="549">
        <v>243</v>
      </c>
      <c r="P80" s="72">
        <f t="shared" si="11"/>
        <v>-72.180000000000007</v>
      </c>
      <c r="Q80" s="72">
        <f>IFERROR(IF(D80=20250,O80/(#REF!/30),O80/(I80/30)),0)</f>
        <v>35.248041775456919</v>
      </c>
      <c r="R80" s="72">
        <f t="shared" si="12"/>
        <v>35.248041775456919</v>
      </c>
      <c r="AC80"/>
      <c r="AD80"/>
      <c r="AE80"/>
      <c r="AF80"/>
      <c r="AG80"/>
      <c r="AH80"/>
      <c r="AI80"/>
      <c r="AJ80"/>
    </row>
    <row r="81" spans="1:36" ht="15">
      <c r="A81" s="352" t="str">
        <f t="shared" si="8"/>
        <v>410115312</v>
      </c>
      <c r="B81" s="509" t="s">
        <v>86</v>
      </c>
      <c r="C81" s="69" t="str">
        <f>_xlfn.XLOOKUP(B:B,Master!A:A,Master!B:B)</f>
        <v>RPSPL-PC</v>
      </c>
      <c r="D81" s="509" t="s">
        <v>47</v>
      </c>
      <c r="E81" s="69" t="str">
        <f t="shared" si="9"/>
        <v>410115312</v>
      </c>
      <c r="F81" s="509" t="s">
        <v>48</v>
      </c>
      <c r="G81" s="70" t="str">
        <f>VLOOKUP(D81,Master!C:G,4,)</f>
        <v>NGL</v>
      </c>
      <c r="H81" s="69" t="str">
        <f>VLOOKUP(D81,Master!C:G,5,)</f>
        <v>UF-Dry</v>
      </c>
      <c r="I81" s="549">
        <v>421.56</v>
      </c>
      <c r="J81" s="549">
        <v>36</v>
      </c>
      <c r="K81" s="71">
        <f t="shared" si="10"/>
        <v>8.5397096498719044E-2</v>
      </c>
      <c r="L81" s="549">
        <v>0</v>
      </c>
      <c r="M81" s="511"/>
      <c r="N81" s="549">
        <v>387</v>
      </c>
      <c r="O81" s="549">
        <v>387</v>
      </c>
      <c r="P81" s="72">
        <f t="shared" si="11"/>
        <v>-1.4399999999999977</v>
      </c>
      <c r="Q81" s="72">
        <f>IFERROR(IF(D81=20250,O81/(#REF!/30),O81/(I81/30)),0)</f>
        <v>27.540563620836892</v>
      </c>
      <c r="R81" s="72">
        <f t="shared" si="12"/>
        <v>27.540563620836892</v>
      </c>
      <c r="AC81"/>
      <c r="AD81"/>
      <c r="AE81"/>
      <c r="AF81"/>
      <c r="AG81"/>
      <c r="AH81"/>
      <c r="AI81"/>
      <c r="AJ81"/>
    </row>
    <row r="82" spans="1:36" ht="15">
      <c r="A82" s="352" t="str">
        <f t="shared" si="8"/>
        <v>410116407</v>
      </c>
      <c r="B82" s="509" t="s">
        <v>86</v>
      </c>
      <c r="C82" s="69" t="str">
        <f>_xlfn.XLOOKUP(B:B,Master!A:A,Master!B:B)</f>
        <v>RPSPL-PC</v>
      </c>
      <c r="D82" s="509" t="s">
        <v>49</v>
      </c>
      <c r="E82" s="69" t="str">
        <f t="shared" si="9"/>
        <v>410116407</v>
      </c>
      <c r="F82" s="509" t="s">
        <v>50</v>
      </c>
      <c r="G82" s="70" t="str">
        <f>VLOOKUP(D82,Master!C:G,4,)</f>
        <v>NGL</v>
      </c>
      <c r="H82" s="69" t="str">
        <f>VLOOKUP(D82,Master!C:G,5,)</f>
        <v>UF-Dry</v>
      </c>
      <c r="I82" s="549">
        <v>1977.48</v>
      </c>
      <c r="J82" s="549">
        <v>891</v>
      </c>
      <c r="K82" s="71">
        <f t="shared" si="10"/>
        <v>0.45057345712725289</v>
      </c>
      <c r="L82" s="549">
        <v>0</v>
      </c>
      <c r="M82" s="511"/>
      <c r="N82" s="549">
        <v>1170</v>
      </c>
      <c r="O82" s="549">
        <v>1170</v>
      </c>
      <c r="P82" s="72">
        <f t="shared" si="11"/>
        <v>-83.519999999999982</v>
      </c>
      <c r="Q82" s="72">
        <f>IFERROR(IF(D82=20250,O82/(#REF!/30),O82/(I82/30)),0)</f>
        <v>17.749863462588749</v>
      </c>
      <c r="R82" s="72">
        <f t="shared" si="12"/>
        <v>17.749863462588749</v>
      </c>
      <c r="AC82"/>
      <c r="AD82"/>
      <c r="AE82"/>
      <c r="AF82"/>
      <c r="AG82"/>
      <c r="AH82"/>
      <c r="AI82"/>
      <c r="AJ82"/>
    </row>
    <row r="83" spans="1:36" ht="15">
      <c r="A83" s="352" t="str">
        <f t="shared" si="8"/>
        <v>410100189</v>
      </c>
      <c r="B83" s="509" t="s">
        <v>86</v>
      </c>
      <c r="C83" s="69" t="str">
        <f>_xlfn.XLOOKUP(B:B,Master!A:A,Master!B:B)</f>
        <v>RPSPL-PC</v>
      </c>
      <c r="D83" s="509" t="s">
        <v>51</v>
      </c>
      <c r="E83" s="69" t="str">
        <f t="shared" si="9"/>
        <v>410100189</v>
      </c>
      <c r="F83" s="509" t="s">
        <v>903</v>
      </c>
      <c r="G83" s="70" t="str">
        <f>VLOOKUP(D83,Master!C:G,4,)</f>
        <v>T&amp;I</v>
      </c>
      <c r="H83" s="69" t="str">
        <f>VLOOKUP(D83,Master!C:G,5,)</f>
        <v>T&amp;I Comm-UF</v>
      </c>
      <c r="I83" s="549">
        <v>194379.24</v>
      </c>
      <c r="J83" s="549">
        <v>107424</v>
      </c>
      <c r="K83" s="71">
        <f t="shared" si="10"/>
        <v>0.55265161032628796</v>
      </c>
      <c r="L83" s="549">
        <v>15600</v>
      </c>
      <c r="M83" s="511">
        <v>46164</v>
      </c>
      <c r="N83" s="549">
        <v>80184</v>
      </c>
      <c r="O83" s="549">
        <v>95784</v>
      </c>
      <c r="P83" s="72">
        <f t="shared" si="11"/>
        <v>-8828.7600000000093</v>
      </c>
      <c r="Q83" s="72">
        <f>IFERROR(IF(D83=20250,O83/(#REF!/30),O83/(I83/30)),0)</f>
        <v>14.783060166301709</v>
      </c>
      <c r="R83" s="72">
        <f t="shared" si="12"/>
        <v>12.375395644102735</v>
      </c>
      <c r="AC83"/>
      <c r="AD83"/>
      <c r="AE83"/>
      <c r="AF83"/>
      <c r="AG83"/>
      <c r="AH83"/>
      <c r="AI83"/>
      <c r="AJ83"/>
    </row>
    <row r="84" spans="1:36" ht="15">
      <c r="A84" s="352" t="str">
        <f t="shared" si="8"/>
        <v>410101167</v>
      </c>
      <c r="B84" s="509" t="s">
        <v>86</v>
      </c>
      <c r="C84" s="69" t="str">
        <f>_xlfn.XLOOKUP(B:B,Master!A:A,Master!B:B)</f>
        <v>RPSPL-PC</v>
      </c>
      <c r="D84" s="509" t="s">
        <v>53</v>
      </c>
      <c r="E84" s="69" t="str">
        <f t="shared" si="9"/>
        <v>410101167</v>
      </c>
      <c r="F84" s="509" t="s">
        <v>54</v>
      </c>
      <c r="G84" s="70" t="str">
        <f>VLOOKUP(D84,Master!C:G,4,)</f>
        <v>T&amp;I</v>
      </c>
      <c r="H84" s="69" t="str">
        <f>VLOOKUP(D84,Master!C:G,5,)</f>
        <v>T&amp;I EX UF</v>
      </c>
      <c r="I84" s="549">
        <v>24977.88</v>
      </c>
      <c r="J84" s="549">
        <v>17952</v>
      </c>
      <c r="K84" s="71">
        <f t="shared" si="10"/>
        <v>0.71871591984587957</v>
      </c>
      <c r="L84" s="549">
        <v>1200</v>
      </c>
      <c r="M84" s="511">
        <v>46165</v>
      </c>
      <c r="N84" s="549">
        <v>13632</v>
      </c>
      <c r="O84" s="549">
        <v>14832</v>
      </c>
      <c r="P84" s="72">
        <f t="shared" si="11"/>
        <v>-7806.119999999999</v>
      </c>
      <c r="Q84" s="72">
        <f>IFERROR(IF(D84=20250,O84/(#REF!/30),O84/(I84/30)),0)</f>
        <v>17.81416197051151</v>
      </c>
      <c r="R84" s="72">
        <f t="shared" si="12"/>
        <v>16.372886730178863</v>
      </c>
      <c r="AC84"/>
      <c r="AD84"/>
      <c r="AE84"/>
      <c r="AF84"/>
      <c r="AG84"/>
      <c r="AH84"/>
      <c r="AI84"/>
      <c r="AJ84"/>
    </row>
    <row r="85" spans="1:36" ht="15">
      <c r="A85" s="352" t="str">
        <f t="shared" si="8"/>
        <v>410101296</v>
      </c>
      <c r="B85" s="509" t="s">
        <v>86</v>
      </c>
      <c r="C85" s="69" t="str">
        <f>_xlfn.XLOOKUP(B:B,Master!A:A,Master!B:B)</f>
        <v>RPSPL-PC</v>
      </c>
      <c r="D85" s="509" t="s">
        <v>15</v>
      </c>
      <c r="E85" s="69" t="str">
        <f t="shared" si="9"/>
        <v>410101296</v>
      </c>
      <c r="F85" s="509" t="s">
        <v>16</v>
      </c>
      <c r="G85" s="70" t="str">
        <f>VLOOKUP(D85,Master!C:G,4,)</f>
        <v>T&amp;I</v>
      </c>
      <c r="H85" s="69" t="str">
        <f>VLOOKUP(D85,Master!C:G,5,)</f>
        <v>T&amp;I EX HP 2 KG</v>
      </c>
      <c r="I85" s="549">
        <v>19237.2</v>
      </c>
      <c r="J85" s="549">
        <v>11292</v>
      </c>
      <c r="K85" s="71">
        <f t="shared" si="10"/>
        <v>0.58698771130933813</v>
      </c>
      <c r="L85" s="549">
        <v>1500</v>
      </c>
      <c r="M85" s="511">
        <v>46165</v>
      </c>
      <c r="N85" s="549">
        <v>11412</v>
      </c>
      <c r="O85" s="549">
        <v>12912</v>
      </c>
      <c r="P85" s="72">
        <f t="shared" si="11"/>
        <v>-4966.7999999999993</v>
      </c>
      <c r="Q85" s="72">
        <f>IFERROR(IF(D85=20250,O85/(#REF!/30),O85/(I85/30)),0)</f>
        <v>20.135986526105668</v>
      </c>
      <c r="R85" s="72">
        <f t="shared" si="12"/>
        <v>17.796768760526479</v>
      </c>
      <c r="AC85"/>
      <c r="AD85"/>
      <c r="AE85"/>
      <c r="AF85"/>
      <c r="AG85"/>
      <c r="AH85"/>
      <c r="AI85"/>
      <c r="AJ85"/>
    </row>
    <row r="86" spans="1:36" ht="15">
      <c r="A86" s="352" t="str">
        <f t="shared" si="8"/>
        <v>410102122</v>
      </c>
      <c r="B86" s="509" t="s">
        <v>86</v>
      </c>
      <c r="C86" s="69" t="str">
        <f>_xlfn.XLOOKUP(B:B,Master!A:A,Master!B:B)</f>
        <v>RPSPL-PC</v>
      </c>
      <c r="D86" s="509" t="s">
        <v>55</v>
      </c>
      <c r="E86" s="69" t="str">
        <f t="shared" si="9"/>
        <v>410102122</v>
      </c>
      <c r="F86" s="509" t="s">
        <v>56</v>
      </c>
      <c r="G86" s="70" t="str">
        <f>VLOOKUP(D86,Master!C:G,4,)</f>
        <v>T&amp;I</v>
      </c>
      <c r="H86" s="69" t="str">
        <f>VLOOKUP(D86,Master!C:G,5,)</f>
        <v>T&amp;I EX HP 2 KG</v>
      </c>
      <c r="I86" s="549">
        <v>56073.72</v>
      </c>
      <c r="J86" s="549">
        <v>33396</v>
      </c>
      <c r="K86" s="71">
        <f t="shared" si="10"/>
        <v>0.59557311339429597</v>
      </c>
      <c r="L86" s="549">
        <v>6000</v>
      </c>
      <c r="M86" s="511">
        <v>46165</v>
      </c>
      <c r="N86" s="549">
        <v>32916</v>
      </c>
      <c r="O86" s="549">
        <v>38916</v>
      </c>
      <c r="P86" s="72">
        <f t="shared" si="11"/>
        <v>-16238.279999999999</v>
      </c>
      <c r="Q86" s="72">
        <f>IFERROR(IF(D86=20250,O86/(#REF!/30),O86/(I86/30)),0)</f>
        <v>20.820448509569189</v>
      </c>
      <c r="R86" s="72">
        <f t="shared" si="12"/>
        <v>17.610388609851459</v>
      </c>
      <c r="AC86"/>
      <c r="AD86"/>
      <c r="AE86"/>
      <c r="AF86"/>
      <c r="AG86"/>
      <c r="AH86"/>
      <c r="AI86"/>
      <c r="AJ86"/>
    </row>
    <row r="87" spans="1:36" ht="15">
      <c r="A87" s="352" t="str">
        <f t="shared" si="8"/>
        <v>410105159</v>
      </c>
      <c r="B87" s="509" t="s">
        <v>86</v>
      </c>
      <c r="C87" s="69" t="str">
        <f>_xlfn.XLOOKUP(B:B,Master!A:A,Master!B:B)</f>
        <v>RPSPL-PC</v>
      </c>
      <c r="D87" s="509" t="s">
        <v>57</v>
      </c>
      <c r="E87" s="69" t="str">
        <f t="shared" si="9"/>
        <v>410105159</v>
      </c>
      <c r="F87" s="509" t="s">
        <v>58</v>
      </c>
      <c r="G87" s="70" t="str">
        <f>VLOOKUP(D87,Master!C:G,4,)</f>
        <v>T&amp;I</v>
      </c>
      <c r="H87" s="69" t="str">
        <f>VLOOKUP(D87,Master!C:G,5,)</f>
        <v>T&amp;I EX HP</v>
      </c>
      <c r="I87" s="549">
        <v>379.08</v>
      </c>
      <c r="J87" s="549">
        <v>120</v>
      </c>
      <c r="K87" s="71">
        <f t="shared" si="10"/>
        <v>0.31655587211142766</v>
      </c>
      <c r="L87" s="549">
        <v>204</v>
      </c>
      <c r="M87" s="511">
        <v>46165</v>
      </c>
      <c r="N87" s="549">
        <v>132</v>
      </c>
      <c r="O87" s="549">
        <v>336</v>
      </c>
      <c r="P87" s="72">
        <f t="shared" si="11"/>
        <v>-76.920000000000016</v>
      </c>
      <c r="Q87" s="72">
        <f>IFERROR(IF(D87=20250,O87/(#REF!/30),O87/(I87/30)),0)</f>
        <v>26.590693257359927</v>
      </c>
      <c r="R87" s="72">
        <f t="shared" si="12"/>
        <v>10.446343779677113</v>
      </c>
      <c r="AC87"/>
      <c r="AD87"/>
      <c r="AE87"/>
      <c r="AF87"/>
      <c r="AG87"/>
      <c r="AH87"/>
      <c r="AI87"/>
      <c r="AJ87"/>
    </row>
    <row r="88" spans="1:36" ht="15">
      <c r="A88" s="352" t="str">
        <f t="shared" si="8"/>
        <v>410106982</v>
      </c>
      <c r="B88" s="509" t="s">
        <v>86</v>
      </c>
      <c r="C88" s="69" t="str">
        <f>_xlfn.XLOOKUP(B:B,Master!A:A,Master!B:B)</f>
        <v>RPSPL-PC</v>
      </c>
      <c r="D88" s="509" t="s">
        <v>59</v>
      </c>
      <c r="E88" s="69" t="str">
        <f t="shared" si="9"/>
        <v>410106982</v>
      </c>
      <c r="F88" s="509" t="s">
        <v>60</v>
      </c>
      <c r="G88" s="70" t="str">
        <f>VLOOKUP(D88,Master!C:G,4,)</f>
        <v>T&amp;I</v>
      </c>
      <c r="H88" s="69" t="str">
        <f>VLOOKUP(D88,Master!C:G,5,)</f>
        <v>T&amp;I Comm-UF</v>
      </c>
      <c r="I88" s="549">
        <v>21017.759999999998</v>
      </c>
      <c r="J88" s="549">
        <v>13368</v>
      </c>
      <c r="K88" s="71">
        <f t="shared" si="10"/>
        <v>0.6360335259323544</v>
      </c>
      <c r="L88" s="549">
        <v>144</v>
      </c>
      <c r="M88" s="511">
        <v>46160</v>
      </c>
      <c r="N88" s="549">
        <v>12840</v>
      </c>
      <c r="O88" s="549">
        <v>12984</v>
      </c>
      <c r="P88" s="72">
        <f t="shared" si="11"/>
        <v>-5334.2400000000016</v>
      </c>
      <c r="Q88" s="72">
        <f>IFERROR(IF(D88=20250,O88/(#REF!/30),O88/(I88/30)),0)</f>
        <v>18.532897892068423</v>
      </c>
      <c r="R88" s="72">
        <f t="shared" si="12"/>
        <v>18.327357434855095</v>
      </c>
      <c r="AC88"/>
      <c r="AD88"/>
      <c r="AE88"/>
      <c r="AF88"/>
      <c r="AG88"/>
      <c r="AH88"/>
      <c r="AI88"/>
      <c r="AJ88"/>
    </row>
    <row r="89" spans="1:36" ht="15">
      <c r="A89" s="352" t="str">
        <f t="shared" si="8"/>
        <v>410107310</v>
      </c>
      <c r="B89" s="509" t="s">
        <v>86</v>
      </c>
      <c r="C89" s="69" t="str">
        <f>_xlfn.XLOOKUP(B:B,Master!A:A,Master!B:B)</f>
        <v>RPSPL-PC</v>
      </c>
      <c r="D89" s="509" t="s">
        <v>19</v>
      </c>
      <c r="E89" s="69" t="str">
        <f t="shared" si="9"/>
        <v>410107310</v>
      </c>
      <c r="F89" s="509" t="s">
        <v>20</v>
      </c>
      <c r="G89" s="70" t="str">
        <f>VLOOKUP(D89,Master!C:G,4,)</f>
        <v>T&amp;I</v>
      </c>
      <c r="H89" s="69" t="str">
        <f>VLOOKUP(D89,Master!C:G,5,)</f>
        <v>T&amp;I Comm -HP</v>
      </c>
      <c r="I89" s="549">
        <v>193047</v>
      </c>
      <c r="J89" s="549">
        <v>98520</v>
      </c>
      <c r="K89" s="71">
        <f t="shared" si="10"/>
        <v>0.51034204105735914</v>
      </c>
      <c r="L89" s="549">
        <v>20304</v>
      </c>
      <c r="M89" s="511">
        <v>46165</v>
      </c>
      <c r="N89" s="549">
        <v>101136</v>
      </c>
      <c r="O89" s="549">
        <v>121440</v>
      </c>
      <c r="P89" s="72">
        <f t="shared" si="11"/>
        <v>-26913</v>
      </c>
      <c r="Q89" s="72">
        <f>IFERROR(IF(D89=20250,O89/(#REF!/30),O89/(I89/30)),0)</f>
        <v>18.872088144337908</v>
      </c>
      <c r="R89" s="72">
        <f t="shared" si="12"/>
        <v>15.716794355778646</v>
      </c>
      <c r="AC89"/>
      <c r="AD89"/>
      <c r="AE89"/>
      <c r="AF89"/>
      <c r="AG89"/>
      <c r="AH89"/>
      <c r="AI89"/>
      <c r="AJ89"/>
    </row>
    <row r="90" spans="1:36" ht="15">
      <c r="A90" s="352" t="str">
        <f t="shared" si="8"/>
        <v>410108529</v>
      </c>
      <c r="B90" s="509" t="s">
        <v>86</v>
      </c>
      <c r="C90" s="69" t="str">
        <f>_xlfn.XLOOKUP(B:B,Master!A:A,Master!B:B)</f>
        <v>RPSPL-PC</v>
      </c>
      <c r="D90" s="509" t="s">
        <v>61</v>
      </c>
      <c r="E90" s="69" t="str">
        <f t="shared" si="9"/>
        <v>410108529</v>
      </c>
      <c r="F90" s="509" t="s">
        <v>62</v>
      </c>
      <c r="G90" s="70" t="str">
        <f>VLOOKUP(D90,Master!C:G,4,)</f>
        <v>T&amp;I</v>
      </c>
      <c r="H90" s="69" t="str">
        <f>VLOOKUP(D90,Master!C:G,5,)</f>
        <v>T&amp;I EX HP 2 KG</v>
      </c>
      <c r="I90" s="549">
        <v>47885.279999999999</v>
      </c>
      <c r="J90" s="549">
        <v>29376</v>
      </c>
      <c r="K90" s="71">
        <f t="shared" si="10"/>
        <v>0.61346618418019072</v>
      </c>
      <c r="L90" s="549">
        <v>12684</v>
      </c>
      <c r="M90" s="511">
        <v>46165</v>
      </c>
      <c r="N90" s="549">
        <v>22956</v>
      </c>
      <c r="O90" s="549">
        <v>35640</v>
      </c>
      <c r="P90" s="72">
        <f t="shared" si="11"/>
        <v>-17130.72</v>
      </c>
      <c r="Q90" s="72">
        <f>IFERROR(IF(D90=20250,O90/(#REF!/30),O90/(I90/30)),0)</f>
        <v>22.328364791852529</v>
      </c>
      <c r="R90" s="72">
        <f t="shared" si="12"/>
        <v>14.381872675694911</v>
      </c>
      <c r="AC90"/>
      <c r="AD90"/>
      <c r="AE90"/>
      <c r="AF90"/>
      <c r="AG90"/>
      <c r="AH90"/>
      <c r="AI90"/>
      <c r="AJ90"/>
    </row>
    <row r="91" spans="1:36" ht="15">
      <c r="A91" s="352" t="str">
        <f t="shared" si="8"/>
        <v>410113179</v>
      </c>
      <c r="B91" s="509" t="s">
        <v>86</v>
      </c>
      <c r="C91" s="69" t="str">
        <f>_xlfn.XLOOKUP(B:B,Master!A:A,Master!B:B)</f>
        <v>RPSPL-PC</v>
      </c>
      <c r="D91" s="509" t="s">
        <v>22</v>
      </c>
      <c r="E91" s="69" t="str">
        <f t="shared" si="9"/>
        <v>410113179</v>
      </c>
      <c r="F91" s="509" t="s">
        <v>23</v>
      </c>
      <c r="G91" s="70" t="str">
        <f>VLOOKUP(D91,Master!C:G,4,)</f>
        <v>T&amp;I</v>
      </c>
      <c r="H91" s="69" t="str">
        <f>VLOOKUP(D91,Master!C:G,5,)</f>
        <v>T&amp;I EX HP 2 KG</v>
      </c>
      <c r="I91" s="549">
        <v>100932.48</v>
      </c>
      <c r="J91" s="549">
        <v>59124</v>
      </c>
      <c r="K91" s="71">
        <f t="shared" si="10"/>
        <v>0.58577773973254199</v>
      </c>
      <c r="L91" s="549">
        <v>15600</v>
      </c>
      <c r="M91" s="511">
        <v>46166</v>
      </c>
      <c r="N91" s="549">
        <v>60804</v>
      </c>
      <c r="O91" s="549">
        <v>76404</v>
      </c>
      <c r="P91" s="72">
        <f t="shared" si="11"/>
        <v>-34595.520000000004</v>
      </c>
      <c r="Q91" s="72">
        <f>IFERROR(IF(D91=20250,O91/(#REF!/30),O91/(I91/30)),0)</f>
        <v>22.709439022998346</v>
      </c>
      <c r="R91" s="72">
        <f t="shared" si="12"/>
        <v>18.072675911658965</v>
      </c>
      <c r="AC91"/>
      <c r="AD91"/>
      <c r="AE91"/>
      <c r="AF91"/>
      <c r="AG91"/>
      <c r="AH91"/>
      <c r="AI91"/>
      <c r="AJ91"/>
    </row>
    <row r="92" spans="1:36" ht="15">
      <c r="A92" s="352" t="str">
        <f t="shared" si="8"/>
        <v>410113678</v>
      </c>
      <c r="B92" s="509" t="s">
        <v>86</v>
      </c>
      <c r="C92" s="69" t="str">
        <f>_xlfn.XLOOKUP(B:B,Master!A:A,Master!B:B)</f>
        <v>RPSPL-PC</v>
      </c>
      <c r="D92" s="509" t="s">
        <v>65</v>
      </c>
      <c r="E92" s="69" t="str">
        <f t="shared" si="9"/>
        <v>410113678</v>
      </c>
      <c r="F92" s="509" t="s">
        <v>66</v>
      </c>
      <c r="G92" s="70" t="str">
        <f>VLOOKUP(D92,Master!C:G,4,)</f>
        <v>T&amp;I</v>
      </c>
      <c r="H92" s="69" t="str">
        <f>VLOOKUP(D92,Master!C:G,5,)</f>
        <v>T&amp;I EX HP</v>
      </c>
      <c r="I92" s="549">
        <v>5362.56</v>
      </c>
      <c r="J92" s="549">
        <v>3948</v>
      </c>
      <c r="K92" s="71">
        <f t="shared" si="10"/>
        <v>0.73621553884711777</v>
      </c>
      <c r="L92" s="549">
        <v>0</v>
      </c>
      <c r="M92" s="511"/>
      <c r="N92" s="549">
        <v>4440</v>
      </c>
      <c r="O92" s="549">
        <v>4440</v>
      </c>
      <c r="P92" s="72">
        <f t="shared" si="11"/>
        <v>-3025.4399999999996</v>
      </c>
      <c r="Q92" s="72">
        <f>IFERROR(IF(D92=20250,O92/(#REF!/30),O92/(I92/30)),0)</f>
        <v>24.838882921589686</v>
      </c>
      <c r="R92" s="72">
        <f t="shared" si="12"/>
        <v>24.838882921589686</v>
      </c>
      <c r="AC92"/>
      <c r="AD92"/>
      <c r="AE92"/>
      <c r="AF92"/>
      <c r="AG92"/>
      <c r="AH92"/>
      <c r="AI92"/>
      <c r="AJ92"/>
    </row>
    <row r="93" spans="1:36" ht="15">
      <c r="A93" s="352" t="str">
        <f t="shared" si="8"/>
        <v>410114654</v>
      </c>
      <c r="B93" s="509" t="s">
        <v>86</v>
      </c>
      <c r="C93" s="69" t="str">
        <f>_xlfn.XLOOKUP(B:B,Master!A:A,Master!B:B)</f>
        <v>RPSPL-PC</v>
      </c>
      <c r="D93" s="509" t="s">
        <v>67</v>
      </c>
      <c r="E93" s="69" t="str">
        <f t="shared" si="9"/>
        <v>410114654</v>
      </c>
      <c r="F93" s="509" t="s">
        <v>68</v>
      </c>
      <c r="G93" s="70" t="str">
        <f>VLOOKUP(D93,Master!C:G,4,)</f>
        <v>T&amp;I</v>
      </c>
      <c r="H93" s="69" t="str">
        <f>VLOOKUP(D93,Master!C:G,5,)</f>
        <v>T&amp;I Comm-UF</v>
      </c>
      <c r="I93" s="549">
        <v>15674.04</v>
      </c>
      <c r="J93" s="549">
        <v>7656</v>
      </c>
      <c r="K93" s="71">
        <f t="shared" si="10"/>
        <v>0.48845096733197052</v>
      </c>
      <c r="L93" s="549">
        <v>4872</v>
      </c>
      <c r="M93" s="511">
        <v>46166</v>
      </c>
      <c r="N93" s="549">
        <v>5736</v>
      </c>
      <c r="O93" s="549">
        <v>10608</v>
      </c>
      <c r="P93" s="72">
        <f t="shared" si="11"/>
        <v>-2589.9599999999991</v>
      </c>
      <c r="Q93" s="72">
        <f>IFERROR(IF(D93=20250,O93/(#REF!/30),O93/(I93/30)),0)</f>
        <v>20.303635820758398</v>
      </c>
      <c r="R93" s="72">
        <f t="shared" si="12"/>
        <v>10.978662808057143</v>
      </c>
      <c r="AC93"/>
      <c r="AD93"/>
      <c r="AE93"/>
      <c r="AF93"/>
      <c r="AG93"/>
      <c r="AH93"/>
      <c r="AI93"/>
      <c r="AJ93"/>
    </row>
    <row r="94" spans="1:36" ht="15">
      <c r="A94" s="352" t="str">
        <f t="shared" si="8"/>
        <v>410114788</v>
      </c>
      <c r="B94" s="509" t="s">
        <v>86</v>
      </c>
      <c r="C94" s="69" t="str">
        <f>_xlfn.XLOOKUP(B:B,Master!A:A,Master!B:B)</f>
        <v>RPSPL-PC</v>
      </c>
      <c r="D94" s="509" t="s">
        <v>69</v>
      </c>
      <c r="E94" s="69" t="str">
        <f t="shared" si="9"/>
        <v>410114788</v>
      </c>
      <c r="F94" s="509" t="s">
        <v>70</v>
      </c>
      <c r="G94" s="70" t="str">
        <f>VLOOKUP(D94,Master!C:G,4,)</f>
        <v>T&amp;I</v>
      </c>
      <c r="H94" s="69" t="str">
        <f>VLOOKUP(D94,Master!C:G,5,)</f>
        <v>T&amp;I EX HP</v>
      </c>
      <c r="I94" s="549">
        <v>61680.84</v>
      </c>
      <c r="J94" s="549">
        <v>34056</v>
      </c>
      <c r="K94" s="71">
        <f t="shared" si="10"/>
        <v>0.55213255850601262</v>
      </c>
      <c r="L94" s="549">
        <v>0</v>
      </c>
      <c r="M94" s="511"/>
      <c r="N94" s="549">
        <v>48372</v>
      </c>
      <c r="O94" s="549">
        <v>48372</v>
      </c>
      <c r="P94" s="72">
        <f t="shared" si="11"/>
        <v>-20747.160000000003</v>
      </c>
      <c r="Q94" s="72">
        <f>IFERROR(IF(D94=20250,O94/(#REF!/30),O94/(I94/30)),0)</f>
        <v>23.526916948601869</v>
      </c>
      <c r="R94" s="72">
        <f t="shared" si="12"/>
        <v>23.526916948601869</v>
      </c>
      <c r="AC94"/>
      <c r="AD94"/>
      <c r="AE94"/>
      <c r="AF94"/>
      <c r="AG94"/>
      <c r="AH94"/>
      <c r="AI94"/>
      <c r="AJ94"/>
    </row>
    <row r="95" spans="1:36" ht="15">
      <c r="A95" s="352" t="str">
        <f t="shared" si="8"/>
        <v>410115459</v>
      </c>
      <c r="B95" s="509" t="s">
        <v>86</v>
      </c>
      <c r="C95" s="69" t="str">
        <f>_xlfn.XLOOKUP(B:B,Master!A:A,Master!B:B)</f>
        <v>RPSPL-PC</v>
      </c>
      <c r="D95" s="509" t="s">
        <v>90</v>
      </c>
      <c r="E95" s="69" t="str">
        <f t="shared" si="9"/>
        <v>410115459</v>
      </c>
      <c r="F95" s="509" t="s">
        <v>91</v>
      </c>
      <c r="G95" s="70" t="str">
        <f>VLOOKUP(D95,Master!C:G,4,)</f>
        <v>T&amp;I</v>
      </c>
      <c r="H95" s="69" t="str">
        <f>VLOOKUP(D95,Master!C:G,5,)</f>
        <v>T&amp;I EX HP</v>
      </c>
      <c r="I95" s="549">
        <v>12870</v>
      </c>
      <c r="J95" s="549">
        <v>5000</v>
      </c>
      <c r="K95" s="71">
        <f t="shared" si="10"/>
        <v>0.38850038850038848</v>
      </c>
      <c r="L95" s="549">
        <v>0</v>
      </c>
      <c r="M95" s="511"/>
      <c r="N95" s="549">
        <v>14050</v>
      </c>
      <c r="O95" s="549">
        <v>14050</v>
      </c>
      <c r="P95" s="72">
        <f t="shared" si="11"/>
        <v>-6180</v>
      </c>
      <c r="Q95" s="72">
        <f>IFERROR(IF(D95=20250,O95/(#REF!/30),O95/(I95/30)),0)</f>
        <v>32.750582750582751</v>
      </c>
      <c r="R95" s="72">
        <f t="shared" si="12"/>
        <v>32.750582750582751</v>
      </c>
      <c r="AC95"/>
      <c r="AD95"/>
      <c r="AE95"/>
      <c r="AF95"/>
      <c r="AG95"/>
      <c r="AH95"/>
      <c r="AI95"/>
      <c r="AJ95"/>
    </row>
    <row r="96" spans="1:36" ht="15">
      <c r="A96" s="352" t="str">
        <f t="shared" si="8"/>
        <v>410115536</v>
      </c>
      <c r="B96" s="509" t="s">
        <v>86</v>
      </c>
      <c r="C96" s="69" t="str">
        <f>_xlfn.XLOOKUP(B:B,Master!A:A,Master!B:B)</f>
        <v>RPSPL-PC</v>
      </c>
      <c r="D96" s="509" t="s">
        <v>71</v>
      </c>
      <c r="E96" s="69" t="str">
        <f t="shared" si="9"/>
        <v>410115536</v>
      </c>
      <c r="F96" s="509" t="s">
        <v>72</v>
      </c>
      <c r="G96" s="70" t="str">
        <f>VLOOKUP(D96,Master!C:G,4,)</f>
        <v>Ganache</v>
      </c>
      <c r="H96" s="69" t="str">
        <f>VLOOKUP(D96,Master!C:G,5,)</f>
        <v>Ganache- UF</v>
      </c>
      <c r="I96" s="549">
        <v>23688.12</v>
      </c>
      <c r="J96" s="549">
        <v>11832</v>
      </c>
      <c r="K96" s="71">
        <f t="shared" si="10"/>
        <v>0.49949088403807479</v>
      </c>
      <c r="L96" s="549">
        <v>4824</v>
      </c>
      <c r="M96" s="511">
        <v>46164</v>
      </c>
      <c r="N96" s="549">
        <v>19224</v>
      </c>
      <c r="O96" s="549">
        <v>24048</v>
      </c>
      <c r="P96" s="72">
        <f t="shared" si="11"/>
        <v>-12191.880000000001</v>
      </c>
      <c r="Q96" s="72">
        <f>IFERROR(IF(D96=20250,O96/(#REF!/30),O96/(I96/30)),0)</f>
        <v>30.455772767108577</v>
      </c>
      <c r="R96" s="72">
        <f t="shared" si="12"/>
        <v>24.34638122400596</v>
      </c>
      <c r="AC96"/>
      <c r="AD96"/>
      <c r="AE96"/>
      <c r="AF96"/>
      <c r="AG96"/>
      <c r="AH96"/>
      <c r="AI96"/>
      <c r="AJ96"/>
    </row>
    <row r="97" spans="1:36" ht="15">
      <c r="A97" s="352" t="str">
        <f t="shared" si="8"/>
        <v>410115906</v>
      </c>
      <c r="B97" s="509" t="s">
        <v>86</v>
      </c>
      <c r="C97" s="69" t="str">
        <f>_xlfn.XLOOKUP(B:B,Master!A:A,Master!B:B)</f>
        <v>RPSPL-PC</v>
      </c>
      <c r="D97" s="509" t="s">
        <v>74</v>
      </c>
      <c r="E97" s="69" t="str">
        <f t="shared" si="9"/>
        <v>410115906</v>
      </c>
      <c r="F97" s="509" t="s">
        <v>75</v>
      </c>
      <c r="G97" s="70" t="str">
        <f>VLOOKUP(D97,Master!C:G,4,)</f>
        <v>T&amp;I</v>
      </c>
      <c r="H97" s="69" t="str">
        <f>VLOOKUP(D97,Master!C:G,5,)</f>
        <v>T&amp;I EX HP</v>
      </c>
      <c r="I97" s="549">
        <v>25744.080000000002</v>
      </c>
      <c r="J97" s="549">
        <v>9348</v>
      </c>
      <c r="K97" s="71">
        <f t="shared" si="10"/>
        <v>0.36311260685951874</v>
      </c>
      <c r="L97" s="549">
        <v>1008</v>
      </c>
      <c r="M97" s="511">
        <v>46163</v>
      </c>
      <c r="N97" s="549">
        <v>17508</v>
      </c>
      <c r="O97" s="549">
        <v>18516</v>
      </c>
      <c r="P97" s="72">
        <f t="shared" si="11"/>
        <v>-2119.9199999999983</v>
      </c>
      <c r="Q97" s="72">
        <f>IFERROR(IF(D97=20250,O97/(#REF!/30),O97/(I97/30)),0)</f>
        <v>21.576999449970632</v>
      </c>
      <c r="R97" s="72">
        <f t="shared" si="12"/>
        <v>20.402360465007877</v>
      </c>
      <c r="AC97"/>
      <c r="AD97"/>
      <c r="AE97"/>
      <c r="AF97"/>
      <c r="AG97"/>
      <c r="AH97"/>
      <c r="AI97"/>
      <c r="AJ97"/>
    </row>
    <row r="98" spans="1:36" ht="15">
      <c r="A98" s="352" t="str">
        <f t="shared" si="8"/>
        <v>410116336</v>
      </c>
      <c r="B98" s="509" t="s">
        <v>86</v>
      </c>
      <c r="C98" s="69" t="str">
        <f>_xlfn.XLOOKUP(B:B,Master!A:A,Master!B:B)</f>
        <v>RPSPL-PC</v>
      </c>
      <c r="D98" s="509" t="s">
        <v>24</v>
      </c>
      <c r="E98" s="69" t="str">
        <f t="shared" si="9"/>
        <v>410116336</v>
      </c>
      <c r="F98" s="509" t="s">
        <v>25</v>
      </c>
      <c r="G98" s="70" t="str">
        <f>VLOOKUP(D98,Master!C:G,4,)</f>
        <v>T&amp;I</v>
      </c>
      <c r="H98" s="69" t="str">
        <f>VLOOKUP(D98,Master!C:G,5,)</f>
        <v>T&amp;I Comm-UF</v>
      </c>
      <c r="I98" s="549">
        <v>102780.36</v>
      </c>
      <c r="J98" s="549">
        <v>85368</v>
      </c>
      <c r="K98" s="71">
        <f t="shared" si="10"/>
        <v>0.8305866996379464</v>
      </c>
      <c r="L98" s="549">
        <v>29256</v>
      </c>
      <c r="M98" s="511">
        <v>46165</v>
      </c>
      <c r="N98" s="549">
        <v>26148</v>
      </c>
      <c r="O98" s="549">
        <v>55404</v>
      </c>
      <c r="P98" s="72">
        <f t="shared" si="11"/>
        <v>-37991.64</v>
      </c>
      <c r="Q98" s="72">
        <f>IFERROR(IF(D98=20250,O98/(#REF!/30),O98/(I98/30)),0)</f>
        <v>16.171572078556643</v>
      </c>
      <c r="R98" s="72">
        <f t="shared" si="12"/>
        <v>7.6321974353855149</v>
      </c>
      <c r="AC98"/>
      <c r="AD98"/>
      <c r="AE98"/>
      <c r="AF98"/>
      <c r="AG98"/>
      <c r="AH98"/>
      <c r="AI98"/>
      <c r="AJ98"/>
    </row>
    <row r="99" spans="1:36" ht="15">
      <c r="A99" s="352" t="str">
        <f t="shared" si="8"/>
        <v>410116984</v>
      </c>
      <c r="B99" s="509" t="s">
        <v>86</v>
      </c>
      <c r="C99" s="69" t="str">
        <f>_xlfn.XLOOKUP(B:B,Master!A:A,Master!B:B)</f>
        <v>RPSPL-PC</v>
      </c>
      <c r="D99" s="509" t="s">
        <v>78</v>
      </c>
      <c r="E99" s="69" t="str">
        <f t="shared" si="9"/>
        <v>410116984</v>
      </c>
      <c r="F99" s="509" t="s">
        <v>79</v>
      </c>
      <c r="G99" s="70" t="str">
        <f>VLOOKUP(D99,Master!C:G,4,)</f>
        <v>T&amp;I</v>
      </c>
      <c r="H99" s="69" t="str">
        <f>VLOOKUP(D99,Master!C:G,5,)</f>
        <v>T&amp;I EX HP</v>
      </c>
      <c r="I99" s="549">
        <v>2691.12</v>
      </c>
      <c r="J99" s="549">
        <v>2172</v>
      </c>
      <c r="K99" s="71">
        <f t="shared" si="10"/>
        <v>0.80709890305894949</v>
      </c>
      <c r="L99" s="549">
        <v>0</v>
      </c>
      <c r="M99" s="511"/>
      <c r="N99" s="549">
        <v>3288</v>
      </c>
      <c r="O99" s="549">
        <v>3288</v>
      </c>
      <c r="P99" s="72">
        <f t="shared" si="11"/>
        <v>-2768.88</v>
      </c>
      <c r="Q99" s="72">
        <f>IFERROR(IF(D99=20250,O99/(#REF!/30),O99/(I99/30)),0)</f>
        <v>36.653883884776604</v>
      </c>
      <c r="R99" s="72">
        <f t="shared" si="12"/>
        <v>36.653883884776604</v>
      </c>
      <c r="AC99"/>
      <c r="AD99"/>
      <c r="AE99"/>
      <c r="AF99"/>
      <c r="AG99"/>
      <c r="AH99"/>
      <c r="AI99"/>
      <c r="AJ99"/>
    </row>
    <row r="100" spans="1:36" ht="15">
      <c r="A100" s="352" t="str">
        <f t="shared" si="8"/>
        <v>410116998</v>
      </c>
      <c r="B100" s="509" t="s">
        <v>86</v>
      </c>
      <c r="C100" s="69" t="str">
        <f>_xlfn.XLOOKUP(B:B,Master!A:A,Master!B:B)</f>
        <v>RPSPL-PC</v>
      </c>
      <c r="D100" s="509" t="s">
        <v>80</v>
      </c>
      <c r="E100" s="69" t="str">
        <f t="shared" si="9"/>
        <v>410116998</v>
      </c>
      <c r="F100" s="509" t="s">
        <v>81</v>
      </c>
      <c r="G100" s="70" t="str">
        <f>VLOOKUP(D100,Master!C:G,4,)</f>
        <v>T&amp;I</v>
      </c>
      <c r="H100" s="69" t="str">
        <f>VLOOKUP(D100,Master!C:G,5,)</f>
        <v>T&amp;I EX UF</v>
      </c>
      <c r="I100" s="549">
        <v>23215.200000000001</v>
      </c>
      <c r="J100" s="549">
        <v>10740</v>
      </c>
      <c r="K100" s="71">
        <f t="shared" si="10"/>
        <v>0.46262793342292979</v>
      </c>
      <c r="L100" s="549">
        <v>0</v>
      </c>
      <c r="M100" s="511"/>
      <c r="N100" s="549">
        <v>17388</v>
      </c>
      <c r="O100" s="549">
        <v>17388</v>
      </c>
      <c r="P100" s="72">
        <f t="shared" si="11"/>
        <v>-4912.7999999999993</v>
      </c>
      <c r="Q100" s="72">
        <f>IFERROR(IF(D100=20250,O100/(#REF!/30),O100/(I100/30)),0)</f>
        <v>22.469761190943863</v>
      </c>
      <c r="R100" s="72">
        <f t="shared" si="12"/>
        <v>22.469761190943863</v>
      </c>
      <c r="AC100"/>
      <c r="AD100"/>
      <c r="AE100"/>
      <c r="AF100"/>
      <c r="AG100"/>
      <c r="AH100"/>
      <c r="AI100"/>
      <c r="AJ100"/>
    </row>
    <row r="101" spans="1:36" ht="15">
      <c r="A101" s="352" t="str">
        <f t="shared" si="8"/>
        <v>410118098</v>
      </c>
      <c r="B101" s="509" t="s">
        <v>86</v>
      </c>
      <c r="C101" s="69" t="str">
        <f>_xlfn.XLOOKUP(B:B,Master!A:A,Master!B:B)</f>
        <v>RPSPL-PC</v>
      </c>
      <c r="D101" s="509" t="s">
        <v>84</v>
      </c>
      <c r="E101" s="69" t="str">
        <f t="shared" si="9"/>
        <v>410118098</v>
      </c>
      <c r="F101" s="509" t="s">
        <v>1222</v>
      </c>
      <c r="G101" s="70" t="str">
        <f>VLOOKUP(D101,Master!C:G,4,)</f>
        <v>T&amp;I</v>
      </c>
      <c r="H101" s="69" t="str">
        <f>VLOOKUP(D101,Master!C:G,5,)</f>
        <v>T&amp;I EX HP</v>
      </c>
      <c r="I101" s="549">
        <v>5791.08</v>
      </c>
      <c r="J101" s="549">
        <v>4944</v>
      </c>
      <c r="K101" s="71">
        <f t="shared" si="10"/>
        <v>0.85372676599183572</v>
      </c>
      <c r="L101" s="549">
        <v>3000</v>
      </c>
      <c r="M101" s="511">
        <v>46165</v>
      </c>
      <c r="N101" s="549">
        <v>1548</v>
      </c>
      <c r="O101" s="549">
        <v>4548</v>
      </c>
      <c r="P101" s="72">
        <f t="shared" si="11"/>
        <v>-3700.92</v>
      </c>
      <c r="Q101" s="72">
        <f>IFERROR(IF(D101=20250,O101/(#REF!/30),O101/(I101/30)),0)</f>
        <v>23.560372158561098</v>
      </c>
      <c r="R101" s="72">
        <f t="shared" si="12"/>
        <v>8.0192295737582633</v>
      </c>
      <c r="AC101"/>
      <c r="AD101"/>
      <c r="AE101"/>
      <c r="AF101"/>
      <c r="AG101"/>
      <c r="AH101"/>
      <c r="AI101"/>
      <c r="AJ101"/>
    </row>
    <row r="102" spans="1:36" ht="15">
      <c r="A102" s="352" t="str">
        <f t="shared" si="8"/>
        <v>410120308</v>
      </c>
      <c r="B102" s="509" t="s">
        <v>86</v>
      </c>
      <c r="C102" s="69" t="str">
        <f>_xlfn.XLOOKUP(B:B,Master!A:A,Master!B:B)</f>
        <v>RPSPL-PC</v>
      </c>
      <c r="D102" s="509" t="s">
        <v>146</v>
      </c>
      <c r="E102" s="69" t="str">
        <f t="shared" si="9"/>
        <v>410120308</v>
      </c>
      <c r="F102" s="509" t="s">
        <v>902</v>
      </c>
      <c r="G102" s="70" t="str">
        <f>VLOOKUP(D102,Master!C:G,4,)</f>
        <v>T&amp;I</v>
      </c>
      <c r="H102" s="69" t="str">
        <f>VLOOKUP(D102,Master!C:G,5,)</f>
        <v>T&amp;I EX HP 2 KG</v>
      </c>
      <c r="I102" s="549">
        <v>50820.959999999999</v>
      </c>
      <c r="J102" s="549">
        <v>28692</v>
      </c>
      <c r="K102" s="71">
        <f t="shared" si="10"/>
        <v>0.56457020882722408</v>
      </c>
      <c r="L102" s="549">
        <v>6396</v>
      </c>
      <c r="M102" s="511">
        <v>46165</v>
      </c>
      <c r="N102" s="549">
        <v>31416</v>
      </c>
      <c r="O102" s="549">
        <v>37812</v>
      </c>
      <c r="P102" s="72">
        <f t="shared" si="11"/>
        <v>-15683.04</v>
      </c>
      <c r="Q102" s="72">
        <f>IFERROR(IF(D102=20250,O102/(#REF!/30),O102/(I102/30)),0)</f>
        <v>22.320711769317228</v>
      </c>
      <c r="R102" s="72">
        <f t="shared" si="12"/>
        <v>18.545104224713583</v>
      </c>
      <c r="AC102"/>
      <c r="AD102"/>
      <c r="AE102"/>
      <c r="AF102"/>
      <c r="AG102"/>
      <c r="AH102"/>
      <c r="AI102"/>
      <c r="AJ102"/>
    </row>
    <row r="103" spans="1:36" ht="15">
      <c r="A103" s="352" t="str">
        <f t="shared" si="8"/>
        <v>410120827</v>
      </c>
      <c r="B103" s="509" t="s">
        <v>86</v>
      </c>
      <c r="C103" s="69" t="str">
        <f>_xlfn.XLOOKUP(B:B,Master!A:A,Master!B:B)</f>
        <v>RPSPL-PC</v>
      </c>
      <c r="D103" s="509" t="s">
        <v>149</v>
      </c>
      <c r="E103" s="69" t="str">
        <f t="shared" si="9"/>
        <v>410120827</v>
      </c>
      <c r="F103" s="509" t="s">
        <v>150</v>
      </c>
      <c r="G103" s="70" t="str">
        <f>VLOOKUP(D103,Master!C:G,4,)</f>
        <v>Ganache</v>
      </c>
      <c r="H103" s="69" t="str">
        <f>VLOOKUP(D103,Master!C:G,5,)</f>
        <v>Ganache- UF</v>
      </c>
      <c r="I103" s="549">
        <v>6610.68</v>
      </c>
      <c r="J103" s="549">
        <v>4344</v>
      </c>
      <c r="K103" s="71">
        <f t="shared" si="10"/>
        <v>0.65711848100346704</v>
      </c>
      <c r="L103" s="549">
        <v>0</v>
      </c>
      <c r="M103" s="511"/>
      <c r="N103" s="549">
        <v>4728</v>
      </c>
      <c r="O103" s="549">
        <v>4728</v>
      </c>
      <c r="P103" s="72">
        <f t="shared" si="11"/>
        <v>-2461.3199999999997</v>
      </c>
      <c r="Q103" s="72">
        <f>IFERROR(IF(D103=20250,O103/(#REF!/30),O103/(I103/30)),0)</f>
        <v>21.456189075859061</v>
      </c>
      <c r="R103" s="72">
        <f t="shared" si="12"/>
        <v>21.456189075859061</v>
      </c>
      <c r="AC103"/>
      <c r="AD103"/>
      <c r="AE103"/>
      <c r="AF103"/>
      <c r="AG103"/>
      <c r="AH103"/>
      <c r="AI103"/>
      <c r="AJ103"/>
    </row>
    <row r="104" spans="1:36" ht="15">
      <c r="A104" s="352" t="str">
        <f t="shared" si="8"/>
        <v>410121910</v>
      </c>
      <c r="B104" s="509" t="s">
        <v>86</v>
      </c>
      <c r="C104" s="69" t="str">
        <f>_xlfn.XLOOKUP(B:B,Master!A:A,Master!B:B)</f>
        <v>RPSPL-PC</v>
      </c>
      <c r="D104" s="509" t="s">
        <v>180</v>
      </c>
      <c r="E104" s="69" t="str">
        <f t="shared" si="9"/>
        <v>410121910</v>
      </c>
      <c r="F104" s="509" t="s">
        <v>181</v>
      </c>
      <c r="G104" s="70" t="str">
        <f>VLOOKUP(D104,Master!C:G,4,)</f>
        <v>T&amp;I</v>
      </c>
      <c r="H104" s="69" t="str">
        <f>VLOOKUP(D104,Master!C:G,5,)</f>
        <v>T&amp;I EX HP 2 KG</v>
      </c>
      <c r="I104" s="549">
        <v>2281.3200000000002</v>
      </c>
      <c r="J104" s="549">
        <v>1920</v>
      </c>
      <c r="K104" s="71">
        <f t="shared" si="10"/>
        <v>0.84161801062542729</v>
      </c>
      <c r="L104" s="549">
        <v>1008</v>
      </c>
      <c r="M104" s="511">
        <v>46165</v>
      </c>
      <c r="N104" s="549">
        <v>1044</v>
      </c>
      <c r="O104" s="549">
        <v>2052</v>
      </c>
      <c r="P104" s="72">
        <f t="shared" si="11"/>
        <v>-1690.6799999999998</v>
      </c>
      <c r="Q104" s="72">
        <f>IFERROR(IF(D104=20250,O104/(#REF!/30),O104/(I104/30)),0)</f>
        <v>26.984377465677763</v>
      </c>
      <c r="R104" s="72">
        <f t="shared" si="12"/>
        <v>13.728893798327283</v>
      </c>
      <c r="AC104"/>
      <c r="AD104"/>
      <c r="AE104"/>
      <c r="AF104"/>
      <c r="AG104"/>
      <c r="AH104"/>
      <c r="AI104"/>
      <c r="AJ104"/>
    </row>
    <row r="105" spans="1:36" ht="15">
      <c r="A105" s="352" t="str">
        <f t="shared" si="8"/>
        <v>410123081</v>
      </c>
      <c r="B105" s="509" t="s">
        <v>86</v>
      </c>
      <c r="C105" s="69" t="str">
        <f>_xlfn.XLOOKUP(B:B,Master!A:A,Master!B:B)</f>
        <v>RPSPL-PC</v>
      </c>
      <c r="D105" s="509" t="s">
        <v>189</v>
      </c>
      <c r="E105" s="69" t="str">
        <f t="shared" si="9"/>
        <v>410123081</v>
      </c>
      <c r="F105" s="509" t="s">
        <v>190</v>
      </c>
      <c r="G105" s="70" t="str">
        <f>VLOOKUP(D105,Master!C:G,4,)</f>
        <v>T&amp;I</v>
      </c>
      <c r="H105" s="69" t="str">
        <f>VLOOKUP(D105,Master!C:G,5,)</f>
        <v>T&amp;I EX HP</v>
      </c>
      <c r="I105" s="549">
        <v>2574.36</v>
      </c>
      <c r="J105" s="549">
        <v>2088</v>
      </c>
      <c r="K105" s="71">
        <f t="shared" si="10"/>
        <v>0.81107537407355612</v>
      </c>
      <c r="L105" s="549">
        <v>0</v>
      </c>
      <c r="M105" s="511"/>
      <c r="N105" s="549">
        <v>1200</v>
      </c>
      <c r="O105" s="549">
        <v>1200</v>
      </c>
      <c r="P105" s="72">
        <f t="shared" si="11"/>
        <v>-713.63999999999987</v>
      </c>
      <c r="Q105" s="72">
        <f>IFERROR(IF(D105=20250,O105/(#REF!/30),O105/(I105/30)),0)</f>
        <v>13.984058173682003</v>
      </c>
      <c r="R105" s="72">
        <f t="shared" si="12"/>
        <v>13.984058173682003</v>
      </c>
      <c r="AC105"/>
      <c r="AD105"/>
      <c r="AE105"/>
      <c r="AF105"/>
      <c r="AG105"/>
      <c r="AH105"/>
      <c r="AI105"/>
      <c r="AJ105"/>
    </row>
    <row r="106" spans="1:36" ht="15">
      <c r="A106" s="352" t="str">
        <f t="shared" si="8"/>
        <v>410123401</v>
      </c>
      <c r="B106" s="509" t="s">
        <v>86</v>
      </c>
      <c r="C106" s="69" t="str">
        <f>_xlfn.XLOOKUP(B:B,Master!A:A,Master!B:B)</f>
        <v>RPSPL-PC</v>
      </c>
      <c r="D106" s="509" t="s">
        <v>194</v>
      </c>
      <c r="E106" s="69" t="str">
        <f t="shared" si="9"/>
        <v>410123401</v>
      </c>
      <c r="F106" s="509" t="s">
        <v>195</v>
      </c>
      <c r="G106" s="70" t="str">
        <f>VLOOKUP(D106,Master!C:G,4,)</f>
        <v>T&amp;I</v>
      </c>
      <c r="H106" s="69" t="str">
        <f>VLOOKUP(D106,Master!C:G,5,)</f>
        <v>T&amp;I EX UF</v>
      </c>
      <c r="I106" s="549">
        <v>3000</v>
      </c>
      <c r="J106" s="549">
        <v>864</v>
      </c>
      <c r="K106" s="71">
        <f t="shared" si="10"/>
        <v>0.28799999999999998</v>
      </c>
      <c r="L106" s="549">
        <v>0</v>
      </c>
      <c r="M106" s="511"/>
      <c r="N106" s="549">
        <v>2232</v>
      </c>
      <c r="O106" s="549">
        <v>2232</v>
      </c>
      <c r="P106" s="72">
        <f t="shared" si="11"/>
        <v>-96</v>
      </c>
      <c r="Q106" s="72">
        <f>IFERROR(IF(D106=20250,O106/(#REF!/30),O106/(I106/30)),0)</f>
        <v>22.32</v>
      </c>
      <c r="R106" s="72">
        <f t="shared" si="12"/>
        <v>22.32</v>
      </c>
      <c r="AC106"/>
      <c r="AD106"/>
      <c r="AE106"/>
      <c r="AF106"/>
      <c r="AG106"/>
      <c r="AH106"/>
      <c r="AI106"/>
      <c r="AJ106"/>
    </row>
    <row r="107" spans="1:36" ht="15">
      <c r="A107" s="352" t="str">
        <f t="shared" si="8"/>
        <v>410123890</v>
      </c>
      <c r="B107" s="509" t="s">
        <v>86</v>
      </c>
      <c r="C107" s="69" t="str">
        <f>_xlfn.XLOOKUP(B:B,Master!A:A,Master!B:B)</f>
        <v>RPSPL-PC</v>
      </c>
      <c r="D107" s="509" t="s">
        <v>778</v>
      </c>
      <c r="E107" s="69" t="str">
        <f t="shared" si="9"/>
        <v>410123890</v>
      </c>
      <c r="F107" s="509" t="s">
        <v>780</v>
      </c>
      <c r="G107" s="70" t="str">
        <f>VLOOKUP(D107,Master!C:G,4,)</f>
        <v>T&amp;I</v>
      </c>
      <c r="H107" s="69" t="str">
        <f>VLOOKUP(D107,Master!C:G,5,)</f>
        <v>T&amp;I EX HP</v>
      </c>
      <c r="I107" s="549">
        <v>0</v>
      </c>
      <c r="J107" s="549">
        <v>0</v>
      </c>
      <c r="K107" s="71">
        <f t="shared" si="10"/>
        <v>0</v>
      </c>
      <c r="L107" s="549">
        <v>0</v>
      </c>
      <c r="M107" s="511"/>
      <c r="N107" s="549">
        <v>1116</v>
      </c>
      <c r="O107" s="549">
        <v>1116</v>
      </c>
      <c r="P107" s="72">
        <f t="shared" si="11"/>
        <v>-1116</v>
      </c>
      <c r="Q107" s="72">
        <f>IFERROR(IF(D107=20250,O107/(#REF!/30),O107/(I107/30)),0)</f>
        <v>0</v>
      </c>
      <c r="R107" s="72">
        <f t="shared" si="12"/>
        <v>0</v>
      </c>
      <c r="AC107"/>
      <c r="AD107"/>
      <c r="AE107"/>
      <c r="AF107"/>
      <c r="AG107"/>
      <c r="AH107"/>
      <c r="AI107"/>
      <c r="AJ107"/>
    </row>
    <row r="108" spans="1:36" ht="15">
      <c r="A108" s="352" t="str">
        <f t="shared" si="8"/>
        <v>410124768</v>
      </c>
      <c r="B108" s="509" t="s">
        <v>86</v>
      </c>
      <c r="C108" s="69" t="str">
        <f>_xlfn.XLOOKUP(B:B,Master!A:A,Master!B:B)</f>
        <v>RPSPL-PC</v>
      </c>
      <c r="D108" s="509" t="s">
        <v>906</v>
      </c>
      <c r="E108" s="69" t="str">
        <f t="shared" si="9"/>
        <v>410124768</v>
      </c>
      <c r="F108" s="509" t="s">
        <v>912</v>
      </c>
      <c r="G108" s="70" t="str">
        <f>VLOOKUP(D108,Master!C:G,4,)</f>
        <v>T&amp;I</v>
      </c>
      <c r="H108" s="69" t="str">
        <f>VLOOKUP(D108,Master!C:G,5,)</f>
        <v>T&amp;I EX UF</v>
      </c>
      <c r="I108" s="549">
        <v>5962.32</v>
      </c>
      <c r="J108" s="549">
        <v>2880</v>
      </c>
      <c r="K108" s="71">
        <f t="shared" si="10"/>
        <v>0.48303345006641712</v>
      </c>
      <c r="L108" s="549">
        <v>0</v>
      </c>
      <c r="M108" s="511"/>
      <c r="N108" s="549">
        <v>6720</v>
      </c>
      <c r="O108" s="549">
        <v>6720</v>
      </c>
      <c r="P108" s="72">
        <f t="shared" si="11"/>
        <v>-3637.6800000000003</v>
      </c>
      <c r="Q108" s="72">
        <f>IFERROR(IF(D108=20250,O108/(#REF!/30),O108/(I108/30)),0)</f>
        <v>33.812341504649197</v>
      </c>
      <c r="R108" s="72">
        <f t="shared" si="12"/>
        <v>33.812341504649197</v>
      </c>
      <c r="AC108"/>
      <c r="AD108"/>
      <c r="AE108"/>
      <c r="AF108"/>
      <c r="AG108"/>
      <c r="AH108"/>
      <c r="AI108"/>
      <c r="AJ108"/>
    </row>
    <row r="109" spans="1:36" ht="15">
      <c r="A109" s="352" t="str">
        <f t="shared" si="8"/>
        <v>410125570</v>
      </c>
      <c r="B109" s="509" t="s">
        <v>86</v>
      </c>
      <c r="C109" s="69" t="str">
        <f>_xlfn.XLOOKUP(B:B,Master!A:A,Master!B:B)</f>
        <v>RPSPL-PC</v>
      </c>
      <c r="D109" s="509" t="s">
        <v>1006</v>
      </c>
      <c r="E109" s="69" t="str">
        <f t="shared" si="9"/>
        <v>410125570</v>
      </c>
      <c r="F109" s="509" t="s">
        <v>1008</v>
      </c>
      <c r="G109" s="70" t="str">
        <f>VLOOKUP(D109,Master!C:G,4,)</f>
        <v>T&amp;I</v>
      </c>
      <c r="H109" s="69" t="str">
        <f>VLOOKUP(D109,Master!C:G,5,)</f>
        <v>T&amp;I EX HP</v>
      </c>
      <c r="I109" s="549">
        <v>1254.96</v>
      </c>
      <c r="J109" s="549">
        <v>888</v>
      </c>
      <c r="K109" s="71">
        <f t="shared" si="10"/>
        <v>0.70759227385733403</v>
      </c>
      <c r="L109" s="549">
        <v>3480</v>
      </c>
      <c r="M109" s="511">
        <v>46164</v>
      </c>
      <c r="N109" s="549">
        <v>1140</v>
      </c>
      <c r="O109" s="549">
        <v>4620</v>
      </c>
      <c r="P109" s="72">
        <f t="shared" si="11"/>
        <v>-4253.04</v>
      </c>
      <c r="Q109" s="72">
        <f>IFERROR(IF(D109=20250,O109/(#REF!/30),O109/(I109/30)),0)</f>
        <v>110.44176706827309</v>
      </c>
      <c r="R109" s="72">
        <f t="shared" si="12"/>
        <v>27.251864601262191</v>
      </c>
      <c r="AC109"/>
      <c r="AD109"/>
      <c r="AE109"/>
      <c r="AF109"/>
      <c r="AG109"/>
      <c r="AH109"/>
      <c r="AI109"/>
      <c r="AJ109"/>
    </row>
    <row r="110" spans="1:36" ht="15">
      <c r="A110" s="352" t="str">
        <f t="shared" si="8"/>
        <v>410125598</v>
      </c>
      <c r="B110" s="509" t="s">
        <v>86</v>
      </c>
      <c r="C110" s="69" t="str">
        <f>_xlfn.XLOOKUP(B:B,Master!A:A,Master!B:B)</f>
        <v>RPSPL-PC</v>
      </c>
      <c r="D110" s="509" t="s">
        <v>1007</v>
      </c>
      <c r="E110" s="69" t="str">
        <f t="shared" si="9"/>
        <v>410125598</v>
      </c>
      <c r="F110" s="509" t="s">
        <v>1009</v>
      </c>
      <c r="G110" s="70" t="str">
        <f>VLOOKUP(D110,Master!C:G,4,)</f>
        <v>T&amp;I</v>
      </c>
      <c r="H110" s="69" t="str">
        <f>VLOOKUP(D110,Master!C:G,5,)</f>
        <v>T&amp;I EX HP</v>
      </c>
      <c r="I110" s="549">
        <v>9399.7199999999993</v>
      </c>
      <c r="J110" s="549">
        <v>1320</v>
      </c>
      <c r="K110" s="71">
        <f t="shared" si="10"/>
        <v>0.14042971492767869</v>
      </c>
      <c r="L110" s="549">
        <v>0</v>
      </c>
      <c r="M110" s="511"/>
      <c r="N110" s="549">
        <v>4548</v>
      </c>
      <c r="O110" s="549">
        <v>4548</v>
      </c>
      <c r="P110" s="72">
        <f t="shared" si="11"/>
        <v>3531.7199999999993</v>
      </c>
      <c r="Q110" s="72">
        <f>IFERROR(IF(D110=20250,O110/(#REF!/30),O110/(I110/30)),0)</f>
        <v>14.5153259884337</v>
      </c>
      <c r="R110" s="72">
        <f t="shared" si="12"/>
        <v>14.5153259884337</v>
      </c>
      <c r="AC110"/>
      <c r="AD110"/>
      <c r="AE110"/>
      <c r="AF110"/>
      <c r="AG110"/>
      <c r="AH110"/>
      <c r="AI110"/>
      <c r="AJ110"/>
    </row>
    <row r="111" spans="1:36" ht="15">
      <c r="A111" s="352" t="str">
        <f t="shared" si="8"/>
        <v>410406151</v>
      </c>
      <c r="B111" s="509" t="s">
        <v>96</v>
      </c>
      <c r="C111" s="69" t="str">
        <f>_xlfn.XLOOKUP(B:B,Master!A:A,Master!B:B)</f>
        <v>RPSPL-RJ</v>
      </c>
      <c r="D111" s="509" t="s">
        <v>28</v>
      </c>
      <c r="E111" s="69" t="str">
        <f t="shared" si="9"/>
        <v>410406151</v>
      </c>
      <c r="F111" s="509" t="s">
        <v>29</v>
      </c>
      <c r="G111" s="70" t="str">
        <f>VLOOKUP(D111,Master!C:G,4,)</f>
        <v>DD</v>
      </c>
      <c r="H111" s="69" t="str">
        <f>VLOOKUP(D111,Master!C:G,5,)</f>
        <v>OS - Dry</v>
      </c>
      <c r="I111" s="549">
        <v>12999.96</v>
      </c>
      <c r="J111" s="549">
        <v>6840</v>
      </c>
      <c r="K111" s="71">
        <f t="shared" si="10"/>
        <v>0.52615546509373878</v>
      </c>
      <c r="L111" s="549">
        <v>0</v>
      </c>
      <c r="M111" s="511"/>
      <c r="N111" s="549">
        <v>10740</v>
      </c>
      <c r="O111" s="549">
        <v>10740</v>
      </c>
      <c r="P111" s="72">
        <f t="shared" si="11"/>
        <v>-4580.0400000000009</v>
      </c>
      <c r="Q111" s="72">
        <f>IFERROR(IF(D111=20250,O111/(#REF!/30),O111/(I111/30)),0)</f>
        <v>24.784691645205061</v>
      </c>
      <c r="R111" s="72">
        <f t="shared" si="12"/>
        <v>24.784691645205061</v>
      </c>
      <c r="AC111"/>
      <c r="AD111"/>
      <c r="AE111"/>
      <c r="AF111"/>
      <c r="AG111"/>
      <c r="AH111"/>
      <c r="AI111"/>
      <c r="AJ111"/>
    </row>
    <row r="112" spans="1:36" ht="15">
      <c r="A112" s="352" t="str">
        <f t="shared" si="8"/>
        <v>410413490</v>
      </c>
      <c r="B112" s="509" t="s">
        <v>96</v>
      </c>
      <c r="C112" s="69" t="str">
        <f>_xlfn.XLOOKUP(B:B,Master!A:A,Master!B:B)</f>
        <v>RPSPL-RJ</v>
      </c>
      <c r="D112" s="509" t="s">
        <v>37</v>
      </c>
      <c r="E112" s="69" t="str">
        <f t="shared" si="9"/>
        <v>410413490</v>
      </c>
      <c r="F112" s="509" t="s">
        <v>38</v>
      </c>
      <c r="G112" s="70" t="str">
        <f>VLOOKUP(D112,Master!C:G,4,)</f>
        <v>NGL</v>
      </c>
      <c r="H112" s="69" t="str">
        <f>VLOOKUP(D112,Master!C:G,5,)</f>
        <v>UF-Dry</v>
      </c>
      <c r="I112" s="549">
        <v>900</v>
      </c>
      <c r="J112" s="549">
        <v>290</v>
      </c>
      <c r="K112" s="71">
        <f t="shared" si="10"/>
        <v>0.32222222222222224</v>
      </c>
      <c r="L112" s="549">
        <v>0</v>
      </c>
      <c r="M112" s="511"/>
      <c r="N112" s="549">
        <v>1510</v>
      </c>
      <c r="O112" s="549">
        <v>1510</v>
      </c>
      <c r="P112" s="72">
        <f t="shared" si="11"/>
        <v>-900</v>
      </c>
      <c r="Q112" s="72">
        <f>IFERROR(IF(D112=20250,O112/(#REF!/30),O112/(I112/30)),0)</f>
        <v>50.333333333333336</v>
      </c>
      <c r="R112" s="72">
        <f t="shared" si="12"/>
        <v>50.333333333333336</v>
      </c>
      <c r="AC112"/>
      <c r="AD112"/>
      <c r="AE112"/>
      <c r="AF112"/>
      <c r="AG112"/>
      <c r="AH112"/>
      <c r="AI112"/>
      <c r="AJ112"/>
    </row>
    <row r="113" spans="1:36" ht="15">
      <c r="A113" s="352" t="str">
        <f t="shared" si="8"/>
        <v>410415300</v>
      </c>
      <c r="B113" s="509" t="s">
        <v>96</v>
      </c>
      <c r="C113" s="69" t="str">
        <f>_xlfn.XLOOKUP(B:B,Master!A:A,Master!B:B)</f>
        <v>RPSPL-RJ</v>
      </c>
      <c r="D113" s="509" t="s">
        <v>43</v>
      </c>
      <c r="E113" s="69" t="str">
        <f t="shared" si="9"/>
        <v>410415300</v>
      </c>
      <c r="F113" s="509" t="s">
        <v>44</v>
      </c>
      <c r="G113" s="70" t="str">
        <f>VLOOKUP(D113,Master!C:G,4,)</f>
        <v>NGL</v>
      </c>
      <c r="H113" s="69" t="str">
        <f>VLOOKUP(D113,Master!C:G,5,)</f>
        <v>UF-Dry</v>
      </c>
      <c r="I113" s="549">
        <v>153</v>
      </c>
      <c r="J113" s="549">
        <v>18</v>
      </c>
      <c r="K113" s="71">
        <f t="shared" si="10"/>
        <v>0.11764705882352941</v>
      </c>
      <c r="L113" s="549">
        <v>0</v>
      </c>
      <c r="M113" s="511"/>
      <c r="N113" s="549">
        <v>198</v>
      </c>
      <c r="O113" s="549">
        <v>198</v>
      </c>
      <c r="P113" s="72">
        <f t="shared" si="11"/>
        <v>-63</v>
      </c>
      <c r="Q113" s="72">
        <f>IFERROR(IF(D113=20250,O113/(#REF!/30),O113/(I113/30)),0)</f>
        <v>38.82352941176471</v>
      </c>
      <c r="R113" s="72">
        <f t="shared" si="12"/>
        <v>38.82352941176471</v>
      </c>
      <c r="AC113"/>
      <c r="AD113"/>
      <c r="AE113"/>
      <c r="AF113"/>
      <c r="AG113"/>
      <c r="AH113"/>
      <c r="AI113"/>
      <c r="AJ113"/>
    </row>
    <row r="114" spans="1:36" ht="15">
      <c r="A114" s="352" t="str">
        <f t="shared" si="8"/>
        <v>410419690</v>
      </c>
      <c r="B114" s="509" t="s">
        <v>96</v>
      </c>
      <c r="C114" s="69" t="str">
        <f>_xlfn.XLOOKUP(B:B,Master!A:A,Master!B:B)</f>
        <v>RPSPL-RJ</v>
      </c>
      <c r="D114" s="509" t="s">
        <v>88</v>
      </c>
      <c r="E114" s="69" t="str">
        <f t="shared" si="9"/>
        <v>410419690</v>
      </c>
      <c r="F114" s="509" t="s">
        <v>89</v>
      </c>
      <c r="G114" s="70" t="str">
        <f>VLOOKUP(D114,Master!C:G,4,)</f>
        <v>NFL</v>
      </c>
      <c r="H114" s="69" t="str">
        <f>VLOOKUP(D114,Master!C:G,5,)</f>
        <v>OS - Dry</v>
      </c>
      <c r="I114" s="549">
        <v>60</v>
      </c>
      <c r="J114" s="549">
        <v>24</v>
      </c>
      <c r="K114" s="71">
        <f t="shared" si="10"/>
        <v>0.4</v>
      </c>
      <c r="L114" s="549">
        <v>0</v>
      </c>
      <c r="M114" s="511"/>
      <c r="N114" s="549">
        <v>132</v>
      </c>
      <c r="O114" s="549">
        <v>132</v>
      </c>
      <c r="P114" s="72">
        <f t="shared" si="11"/>
        <v>-96</v>
      </c>
      <c r="Q114" s="72">
        <f>IFERROR(IF(D114=20250,O114/(#REF!/30),O114/(I114/30)),0)</f>
        <v>66</v>
      </c>
      <c r="R114" s="72">
        <f t="shared" si="12"/>
        <v>66</v>
      </c>
      <c r="AC114"/>
      <c r="AD114"/>
      <c r="AE114"/>
      <c r="AF114"/>
      <c r="AG114"/>
      <c r="AH114"/>
      <c r="AI114"/>
      <c r="AJ114"/>
    </row>
    <row r="115" spans="1:36" ht="15">
      <c r="A115" s="352" t="str">
        <f t="shared" si="8"/>
        <v>410420661</v>
      </c>
      <c r="B115" s="509" t="s">
        <v>96</v>
      </c>
      <c r="C115" s="69" t="str">
        <f>_xlfn.XLOOKUP(B:B,Master!A:A,Master!B:B)</f>
        <v>RPSPL-RJ</v>
      </c>
      <c r="D115" s="509" t="s">
        <v>167</v>
      </c>
      <c r="E115" s="69" t="str">
        <f t="shared" si="9"/>
        <v>410420661</v>
      </c>
      <c r="F115" s="509" t="s">
        <v>168</v>
      </c>
      <c r="G115" s="70" t="str">
        <f>VLOOKUP(D115,Master!C:G,4,)</f>
        <v>UHT-Chill</v>
      </c>
      <c r="H115" s="69" t="str">
        <f>VLOOKUP(D115,Master!C:G,5,)</f>
        <v>OS-Chill</v>
      </c>
      <c r="I115" s="549">
        <v>588</v>
      </c>
      <c r="J115" s="549">
        <v>168</v>
      </c>
      <c r="K115" s="71">
        <f t="shared" si="10"/>
        <v>0.2857142857142857</v>
      </c>
      <c r="L115" s="549">
        <v>30</v>
      </c>
      <c r="M115" s="511"/>
      <c r="N115" s="549">
        <v>108</v>
      </c>
      <c r="O115" s="549">
        <v>138</v>
      </c>
      <c r="P115" s="72">
        <f t="shared" si="11"/>
        <v>282</v>
      </c>
      <c r="Q115" s="72">
        <f>IFERROR(IF(D115=20250,O115/(#REF!/30),O115/(I115/30)),0)</f>
        <v>7.0408163265306118</v>
      </c>
      <c r="R115" s="72">
        <f t="shared" si="12"/>
        <v>5.5102040816326525</v>
      </c>
      <c r="AC115"/>
      <c r="AD115"/>
      <c r="AE115"/>
      <c r="AF115"/>
      <c r="AG115"/>
      <c r="AH115"/>
      <c r="AI115"/>
      <c r="AJ115"/>
    </row>
    <row r="116" spans="1:36" ht="15">
      <c r="A116" s="352" t="str">
        <f t="shared" si="8"/>
        <v>410423638</v>
      </c>
      <c r="B116" s="509" t="s">
        <v>96</v>
      </c>
      <c r="C116" s="69" t="str">
        <f>_xlfn.XLOOKUP(B:B,Master!A:A,Master!B:B)</f>
        <v>RPSPL-RJ</v>
      </c>
      <c r="D116" s="509" t="s">
        <v>198</v>
      </c>
      <c r="E116" s="69" t="str">
        <f t="shared" si="9"/>
        <v>410423638</v>
      </c>
      <c r="F116" s="509" t="s">
        <v>199</v>
      </c>
      <c r="G116" s="70" t="str">
        <f>VLOOKUP(D116,Master!C:G,4,)</f>
        <v>DD</v>
      </c>
      <c r="H116" s="69" t="str">
        <f>VLOOKUP(D116,Master!C:G,5,)</f>
        <v>OS - Dry</v>
      </c>
      <c r="I116" s="549">
        <v>12000</v>
      </c>
      <c r="J116" s="549">
        <v>7920</v>
      </c>
      <c r="K116" s="71">
        <f t="shared" si="10"/>
        <v>0.66</v>
      </c>
      <c r="L116" s="549">
        <v>0</v>
      </c>
      <c r="M116" s="511"/>
      <c r="N116" s="549">
        <v>2904</v>
      </c>
      <c r="O116" s="549">
        <v>2904</v>
      </c>
      <c r="P116" s="72">
        <f t="shared" si="11"/>
        <v>1176</v>
      </c>
      <c r="Q116" s="72">
        <f>IFERROR(IF(D116=20250,O116/(#REF!/30),O116/(I116/30)),0)</f>
        <v>7.26</v>
      </c>
      <c r="R116" s="72">
        <f t="shared" si="12"/>
        <v>7.26</v>
      </c>
      <c r="AC116"/>
      <c r="AD116"/>
      <c r="AE116"/>
      <c r="AF116"/>
      <c r="AG116"/>
      <c r="AH116"/>
      <c r="AI116"/>
      <c r="AJ116"/>
    </row>
    <row r="117" spans="1:36" ht="15">
      <c r="A117" s="352" t="str">
        <f t="shared" si="8"/>
        <v>410425885</v>
      </c>
      <c r="B117" s="509" t="s">
        <v>96</v>
      </c>
      <c r="C117" s="69" t="str">
        <f>_xlfn.XLOOKUP(B:B,Master!A:A,Master!B:B)</f>
        <v>RPSPL-RJ</v>
      </c>
      <c r="D117" s="509" t="s">
        <v>1037</v>
      </c>
      <c r="E117" s="69" t="str">
        <f t="shared" si="9"/>
        <v>410425885</v>
      </c>
      <c r="F117" s="509" t="s">
        <v>1038</v>
      </c>
      <c r="G117" s="70" t="str">
        <f>VLOOKUP(D117,Master!C:G,4,)</f>
        <v>T&amp;I</v>
      </c>
      <c r="H117" s="69" t="str">
        <f>VLOOKUP(D117,Master!C:G,5,)</f>
        <v>T&amp;I EX UF</v>
      </c>
      <c r="I117" s="549">
        <v>180</v>
      </c>
      <c r="J117" s="549">
        <v>0</v>
      </c>
      <c r="K117" s="71">
        <f t="shared" si="10"/>
        <v>0</v>
      </c>
      <c r="L117" s="549">
        <v>0</v>
      </c>
      <c r="M117" s="511"/>
      <c r="N117" s="549">
        <v>1200</v>
      </c>
      <c r="O117" s="549">
        <v>1200</v>
      </c>
      <c r="P117" s="72">
        <f t="shared" si="11"/>
        <v>-1020</v>
      </c>
      <c r="Q117" s="72">
        <f>IFERROR(IF(D117=20250,O117/(#REF!/30),O117/(I117/30)),0)</f>
        <v>200</v>
      </c>
      <c r="R117" s="72">
        <f t="shared" si="12"/>
        <v>200</v>
      </c>
      <c r="AC117"/>
      <c r="AD117"/>
      <c r="AE117"/>
      <c r="AF117"/>
      <c r="AG117"/>
      <c r="AH117"/>
      <c r="AI117"/>
      <c r="AJ117"/>
    </row>
    <row r="118" spans="1:36" ht="15">
      <c r="A118" s="352" t="str">
        <f t="shared" si="8"/>
        <v>410426193</v>
      </c>
      <c r="B118" s="509" t="s">
        <v>96</v>
      </c>
      <c r="C118" s="69" t="str">
        <f>_xlfn.XLOOKUP(B:B,Master!A:A,Master!B:B)</f>
        <v>RPSPL-RJ</v>
      </c>
      <c r="D118" s="509" t="s">
        <v>1194</v>
      </c>
      <c r="E118" s="69" t="str">
        <f t="shared" si="9"/>
        <v>410426193</v>
      </c>
      <c r="F118" s="509" t="s">
        <v>1225</v>
      </c>
      <c r="G118" s="70" t="str">
        <f>VLOOKUP(D118,Master!C:G,4,)</f>
        <v>DD</v>
      </c>
      <c r="H118" s="69" t="str">
        <f>VLOOKUP(D118,Master!C:G,5,)</f>
        <v>OS - Dry</v>
      </c>
      <c r="I118" s="549">
        <v>0</v>
      </c>
      <c r="J118" s="549">
        <v>720</v>
      </c>
      <c r="K118" s="71">
        <f t="shared" si="10"/>
        <v>0</v>
      </c>
      <c r="L118" s="549">
        <v>0</v>
      </c>
      <c r="M118" s="511"/>
      <c r="N118" s="549">
        <v>0</v>
      </c>
      <c r="O118" s="549">
        <v>0</v>
      </c>
      <c r="P118" s="72">
        <f t="shared" si="11"/>
        <v>-720</v>
      </c>
      <c r="Q118" s="72">
        <f>IFERROR(IF(D118=20250,O118/(#REF!/30),O118/(I118/30)),0)</f>
        <v>0</v>
      </c>
      <c r="R118" s="72">
        <f t="shared" si="12"/>
        <v>0</v>
      </c>
      <c r="AC118"/>
      <c r="AD118"/>
      <c r="AE118"/>
      <c r="AF118"/>
      <c r="AG118"/>
      <c r="AH118"/>
      <c r="AI118"/>
      <c r="AJ118"/>
    </row>
    <row r="119" spans="1:36" ht="15">
      <c r="A119" s="352" t="str">
        <f t="shared" si="8"/>
        <v>410404145</v>
      </c>
      <c r="B119" s="509" t="s">
        <v>96</v>
      </c>
      <c r="C119" s="69" t="str">
        <f>_xlfn.XLOOKUP(B:B,Master!A:A,Master!B:B)</f>
        <v>RPSPL-RJ</v>
      </c>
      <c r="D119" s="509" t="s">
        <v>34</v>
      </c>
      <c r="E119" s="69" t="str">
        <f t="shared" si="9"/>
        <v>410404145</v>
      </c>
      <c r="F119" s="509" t="s">
        <v>35</v>
      </c>
      <c r="G119" s="70" t="str">
        <f>VLOOKUP(D119,Master!C:G,4,)</f>
        <v>NGL</v>
      </c>
      <c r="H119" s="69" t="str">
        <f>VLOOKUP(D119,Master!C:G,5,)</f>
        <v>UF-Dry</v>
      </c>
      <c r="I119" s="549">
        <v>27</v>
      </c>
      <c r="J119" s="549">
        <v>27</v>
      </c>
      <c r="K119" s="71">
        <f t="shared" si="10"/>
        <v>1</v>
      </c>
      <c r="L119" s="549">
        <v>0</v>
      </c>
      <c r="M119" s="511"/>
      <c r="N119" s="549">
        <v>45</v>
      </c>
      <c r="O119" s="549">
        <v>45</v>
      </c>
      <c r="P119" s="72">
        <f t="shared" si="11"/>
        <v>-45</v>
      </c>
      <c r="Q119" s="72">
        <f>IFERROR(IF(D119=20250,O119/(#REF!/30),O119/(I119/30)),0)</f>
        <v>50</v>
      </c>
      <c r="R119" s="72">
        <f t="shared" si="12"/>
        <v>50</v>
      </c>
      <c r="AC119"/>
      <c r="AD119"/>
      <c r="AE119"/>
      <c r="AF119"/>
      <c r="AG119"/>
      <c r="AH119"/>
      <c r="AI119"/>
      <c r="AJ119"/>
    </row>
    <row r="120" spans="1:36" ht="15">
      <c r="A120" s="352" t="str">
        <f t="shared" si="8"/>
        <v>410414248</v>
      </c>
      <c r="B120" s="509" t="s">
        <v>96</v>
      </c>
      <c r="C120" s="69" t="str">
        <f>_xlfn.XLOOKUP(B:B,Master!A:A,Master!B:B)</f>
        <v>RPSPL-RJ</v>
      </c>
      <c r="D120" s="509" t="s">
        <v>41</v>
      </c>
      <c r="E120" s="69" t="str">
        <f t="shared" si="9"/>
        <v>410414248</v>
      </c>
      <c r="F120" s="509" t="s">
        <v>42</v>
      </c>
      <c r="G120" s="70" t="str">
        <f>VLOOKUP(D120,Master!C:G,4,)</f>
        <v>NGL</v>
      </c>
      <c r="H120" s="69" t="str">
        <f>VLOOKUP(D120,Master!C:G,5,)</f>
        <v>UF-Dry</v>
      </c>
      <c r="I120" s="549">
        <v>380</v>
      </c>
      <c r="J120" s="549">
        <v>300</v>
      </c>
      <c r="K120" s="71">
        <f t="shared" si="10"/>
        <v>0.78947368421052633</v>
      </c>
      <c r="L120" s="549">
        <v>0</v>
      </c>
      <c r="M120" s="511"/>
      <c r="N120" s="549">
        <v>0</v>
      </c>
      <c r="O120" s="549">
        <v>0</v>
      </c>
      <c r="P120" s="72">
        <f t="shared" si="11"/>
        <v>80</v>
      </c>
      <c r="Q120" s="72">
        <f>IFERROR(IF(D120=20250,O120/(#REF!/30),O120/(I120/30)),0)</f>
        <v>0</v>
      </c>
      <c r="R120" s="72">
        <f t="shared" si="12"/>
        <v>0</v>
      </c>
      <c r="AC120"/>
      <c r="AD120"/>
      <c r="AE120"/>
      <c r="AF120"/>
      <c r="AG120"/>
      <c r="AH120"/>
      <c r="AI120"/>
      <c r="AJ120"/>
    </row>
    <row r="121" spans="1:36" ht="15">
      <c r="A121" s="352" t="str">
        <f t="shared" si="8"/>
        <v>410415305</v>
      </c>
      <c r="B121" s="509" t="s">
        <v>96</v>
      </c>
      <c r="C121" s="69" t="str">
        <f>_xlfn.XLOOKUP(B:B,Master!A:A,Master!B:B)</f>
        <v>RPSPL-RJ</v>
      </c>
      <c r="D121" s="509" t="s">
        <v>45</v>
      </c>
      <c r="E121" s="69" t="str">
        <f t="shared" si="9"/>
        <v>410415305</v>
      </c>
      <c r="F121" s="509" t="s">
        <v>46</v>
      </c>
      <c r="G121" s="70" t="str">
        <f>VLOOKUP(D121,Master!C:G,4,)</f>
        <v>NGL</v>
      </c>
      <c r="H121" s="69" t="str">
        <f>VLOOKUP(D121,Master!C:G,5,)</f>
        <v>UF-Dry</v>
      </c>
      <c r="I121" s="549">
        <v>81</v>
      </c>
      <c r="J121" s="549">
        <v>36</v>
      </c>
      <c r="K121" s="71">
        <f t="shared" si="10"/>
        <v>0.44444444444444442</v>
      </c>
      <c r="L121" s="549">
        <v>0</v>
      </c>
      <c r="M121" s="511"/>
      <c r="N121" s="549">
        <v>126</v>
      </c>
      <c r="O121" s="549">
        <v>126</v>
      </c>
      <c r="P121" s="72">
        <f t="shared" si="11"/>
        <v>-81</v>
      </c>
      <c r="Q121" s="72">
        <f>IFERROR(IF(D121=20250,O121/(#REF!/30),O121/(I121/30)),0)</f>
        <v>46.666666666666664</v>
      </c>
      <c r="R121" s="72">
        <f t="shared" si="12"/>
        <v>46.666666666666664</v>
      </c>
      <c r="AC121"/>
      <c r="AD121"/>
      <c r="AE121"/>
      <c r="AF121"/>
      <c r="AG121"/>
      <c r="AH121"/>
      <c r="AI121"/>
      <c r="AJ121"/>
    </row>
    <row r="122" spans="1:36" ht="15">
      <c r="A122" s="352" t="str">
        <f t="shared" si="8"/>
        <v>410416407</v>
      </c>
      <c r="B122" s="509" t="s">
        <v>96</v>
      </c>
      <c r="C122" s="69" t="str">
        <f>_xlfn.XLOOKUP(B:B,Master!A:A,Master!B:B)</f>
        <v>RPSPL-RJ</v>
      </c>
      <c r="D122" s="509" t="s">
        <v>49</v>
      </c>
      <c r="E122" s="69" t="str">
        <f t="shared" si="9"/>
        <v>410416407</v>
      </c>
      <c r="F122" s="509" t="s">
        <v>50</v>
      </c>
      <c r="G122" s="70" t="str">
        <f>VLOOKUP(D122,Master!C:G,4,)</f>
        <v>NGL</v>
      </c>
      <c r="H122" s="69" t="str">
        <f>VLOOKUP(D122,Master!C:G,5,)</f>
        <v>UF-Dry</v>
      </c>
      <c r="I122" s="549">
        <v>126</v>
      </c>
      <c r="J122" s="549">
        <v>81</v>
      </c>
      <c r="K122" s="71">
        <f t="shared" si="10"/>
        <v>0.6428571428571429</v>
      </c>
      <c r="L122" s="549">
        <v>0</v>
      </c>
      <c r="M122" s="511"/>
      <c r="N122" s="549">
        <v>189</v>
      </c>
      <c r="O122" s="549">
        <v>189</v>
      </c>
      <c r="P122" s="72">
        <f t="shared" si="11"/>
        <v>-144</v>
      </c>
      <c r="Q122" s="72">
        <f>IFERROR(IF(D122=20250,O122/(#REF!/30),O122/(I122/30)),0)</f>
        <v>45</v>
      </c>
      <c r="R122" s="72">
        <f t="shared" si="12"/>
        <v>45</v>
      </c>
      <c r="AC122"/>
      <c r="AD122"/>
      <c r="AE122"/>
      <c r="AF122"/>
      <c r="AG122"/>
      <c r="AH122"/>
      <c r="AI122"/>
      <c r="AJ122"/>
    </row>
    <row r="123" spans="1:36" ht="15">
      <c r="A123" s="352" t="str">
        <f t="shared" si="8"/>
        <v>410400189</v>
      </c>
      <c r="B123" s="509" t="s">
        <v>96</v>
      </c>
      <c r="C123" s="69" t="str">
        <f>_xlfn.XLOOKUP(B:B,Master!A:A,Master!B:B)</f>
        <v>RPSPL-RJ</v>
      </c>
      <c r="D123" s="509" t="s">
        <v>51</v>
      </c>
      <c r="E123" s="69" t="str">
        <f t="shared" si="9"/>
        <v>410400189</v>
      </c>
      <c r="F123" s="509" t="s">
        <v>903</v>
      </c>
      <c r="G123" s="70" t="str">
        <f>VLOOKUP(D123,Master!C:G,4,)</f>
        <v>T&amp;I</v>
      </c>
      <c r="H123" s="69" t="str">
        <f>VLOOKUP(D123,Master!C:G,5,)</f>
        <v>T&amp;I Comm-UF</v>
      </c>
      <c r="I123" s="549">
        <v>11499.96</v>
      </c>
      <c r="J123" s="549">
        <v>5844</v>
      </c>
      <c r="K123" s="71">
        <f t="shared" si="10"/>
        <v>0.508175680611063</v>
      </c>
      <c r="L123" s="549">
        <v>0</v>
      </c>
      <c r="M123" s="511"/>
      <c r="N123" s="549">
        <v>11868</v>
      </c>
      <c r="O123" s="549">
        <v>11868</v>
      </c>
      <c r="P123" s="72">
        <f t="shared" si="11"/>
        <v>-6212.0400000000009</v>
      </c>
      <c r="Q123" s="72">
        <f>IFERROR(IF(D123=20250,O123/(#REF!/30),O123/(I123/30)),0)</f>
        <v>30.960107687331085</v>
      </c>
      <c r="R123" s="72">
        <f t="shared" si="12"/>
        <v>30.960107687331085</v>
      </c>
      <c r="AC123"/>
      <c r="AD123"/>
      <c r="AE123"/>
      <c r="AF123"/>
      <c r="AG123"/>
      <c r="AH123"/>
      <c r="AI123"/>
      <c r="AJ123"/>
    </row>
    <row r="124" spans="1:36" ht="15">
      <c r="A124" s="352" t="str">
        <f t="shared" si="8"/>
        <v>410401167</v>
      </c>
      <c r="B124" s="509" t="s">
        <v>96</v>
      </c>
      <c r="C124" s="69" t="str">
        <f>_xlfn.XLOOKUP(B:B,Master!A:A,Master!B:B)</f>
        <v>RPSPL-RJ</v>
      </c>
      <c r="D124" s="509" t="s">
        <v>53</v>
      </c>
      <c r="E124" s="69" t="str">
        <f t="shared" si="9"/>
        <v>410401167</v>
      </c>
      <c r="F124" s="509" t="s">
        <v>54</v>
      </c>
      <c r="G124" s="70" t="str">
        <f>VLOOKUP(D124,Master!C:G,4,)</f>
        <v>T&amp;I</v>
      </c>
      <c r="H124" s="69" t="str">
        <f>VLOOKUP(D124,Master!C:G,5,)</f>
        <v>T&amp;I EX UF</v>
      </c>
      <c r="I124" s="549">
        <v>864</v>
      </c>
      <c r="J124" s="549">
        <v>864</v>
      </c>
      <c r="K124" s="71">
        <f t="shared" si="10"/>
        <v>1</v>
      </c>
      <c r="L124" s="549">
        <v>0</v>
      </c>
      <c r="M124" s="511"/>
      <c r="N124" s="549">
        <v>1044</v>
      </c>
      <c r="O124" s="549">
        <v>1044</v>
      </c>
      <c r="P124" s="72">
        <f t="shared" si="11"/>
        <v>-1044</v>
      </c>
      <c r="Q124" s="72">
        <f>IFERROR(IF(D124=20250,O124/(#REF!/30),O124/(I124/30)),0)</f>
        <v>36.25</v>
      </c>
      <c r="R124" s="72">
        <f t="shared" si="12"/>
        <v>36.25</v>
      </c>
      <c r="AC124"/>
      <c r="AD124"/>
      <c r="AE124"/>
      <c r="AF124"/>
      <c r="AG124"/>
      <c r="AH124"/>
      <c r="AI124"/>
      <c r="AJ124"/>
    </row>
    <row r="125" spans="1:36" ht="15">
      <c r="A125" s="352" t="str">
        <f t="shared" si="8"/>
        <v>410401296</v>
      </c>
      <c r="B125" s="509" t="s">
        <v>96</v>
      </c>
      <c r="C125" s="69" t="str">
        <f>_xlfn.XLOOKUP(B:B,Master!A:A,Master!B:B)</f>
        <v>RPSPL-RJ</v>
      </c>
      <c r="D125" s="509" t="s">
        <v>15</v>
      </c>
      <c r="E125" s="69" t="str">
        <f t="shared" si="9"/>
        <v>410401296</v>
      </c>
      <c r="F125" s="509" t="s">
        <v>16</v>
      </c>
      <c r="G125" s="70" t="str">
        <f>VLOOKUP(D125,Master!C:G,4,)</f>
        <v>T&amp;I</v>
      </c>
      <c r="H125" s="69" t="str">
        <f>VLOOKUP(D125,Master!C:G,5,)</f>
        <v>T&amp;I EX HP 2 KG</v>
      </c>
      <c r="I125" s="549">
        <v>3048</v>
      </c>
      <c r="J125" s="549">
        <v>1644</v>
      </c>
      <c r="K125" s="71">
        <f t="shared" si="10"/>
        <v>0.53937007874015752</v>
      </c>
      <c r="L125" s="549">
        <v>0</v>
      </c>
      <c r="M125" s="511"/>
      <c r="N125" s="549">
        <v>2244</v>
      </c>
      <c r="O125" s="549">
        <v>2244</v>
      </c>
      <c r="P125" s="72">
        <f t="shared" si="11"/>
        <v>-840</v>
      </c>
      <c r="Q125" s="72">
        <f>IFERROR(IF(D125=20250,O125/(#REF!/30),O125/(I125/30)),0)</f>
        <v>22.086614173228348</v>
      </c>
      <c r="R125" s="72">
        <f t="shared" si="12"/>
        <v>22.086614173228348</v>
      </c>
      <c r="AC125"/>
      <c r="AD125"/>
      <c r="AE125"/>
      <c r="AF125"/>
      <c r="AG125"/>
      <c r="AH125"/>
      <c r="AI125"/>
      <c r="AJ125"/>
    </row>
    <row r="126" spans="1:36" ht="15">
      <c r="A126" s="352" t="str">
        <f t="shared" si="8"/>
        <v>410402122</v>
      </c>
      <c r="B126" s="509" t="s">
        <v>96</v>
      </c>
      <c r="C126" s="69" t="str">
        <f>_xlfn.XLOOKUP(B:B,Master!A:A,Master!B:B)</f>
        <v>RPSPL-RJ</v>
      </c>
      <c r="D126" s="509" t="s">
        <v>55</v>
      </c>
      <c r="E126" s="69" t="str">
        <f t="shared" si="9"/>
        <v>410402122</v>
      </c>
      <c r="F126" s="509" t="s">
        <v>56</v>
      </c>
      <c r="G126" s="70" t="str">
        <f>VLOOKUP(D126,Master!C:G,4,)</f>
        <v>T&amp;I</v>
      </c>
      <c r="H126" s="69" t="str">
        <f>VLOOKUP(D126,Master!C:G,5,)</f>
        <v>T&amp;I EX HP 2 KG</v>
      </c>
      <c r="I126" s="549">
        <v>9000</v>
      </c>
      <c r="J126" s="549">
        <v>2304</v>
      </c>
      <c r="K126" s="71">
        <f t="shared" si="10"/>
        <v>0.25600000000000001</v>
      </c>
      <c r="L126" s="549">
        <v>0</v>
      </c>
      <c r="M126" s="511"/>
      <c r="N126" s="549">
        <v>9828</v>
      </c>
      <c r="O126" s="549">
        <v>9828</v>
      </c>
      <c r="P126" s="72">
        <f t="shared" si="11"/>
        <v>-3132</v>
      </c>
      <c r="Q126" s="72">
        <f>IFERROR(IF(D126=20250,O126/(#REF!/30),O126/(I126/30)),0)</f>
        <v>32.76</v>
      </c>
      <c r="R126" s="72">
        <f t="shared" si="12"/>
        <v>32.76</v>
      </c>
      <c r="AC126"/>
      <c r="AD126"/>
      <c r="AE126"/>
      <c r="AF126"/>
      <c r="AG126"/>
      <c r="AH126"/>
      <c r="AI126"/>
      <c r="AJ126"/>
    </row>
    <row r="127" spans="1:36" ht="15">
      <c r="A127" s="352" t="str">
        <f t="shared" si="8"/>
        <v>410405159</v>
      </c>
      <c r="B127" s="509" t="s">
        <v>96</v>
      </c>
      <c r="C127" s="69" t="str">
        <f>_xlfn.XLOOKUP(B:B,Master!A:A,Master!B:B)</f>
        <v>RPSPL-RJ</v>
      </c>
      <c r="D127" s="509" t="s">
        <v>57</v>
      </c>
      <c r="E127" s="69" t="str">
        <f t="shared" si="9"/>
        <v>410405159</v>
      </c>
      <c r="F127" s="509" t="s">
        <v>58</v>
      </c>
      <c r="G127" s="70" t="str">
        <f>VLOOKUP(D127,Master!C:G,4,)</f>
        <v>T&amp;I</v>
      </c>
      <c r="H127" s="69" t="str">
        <f>VLOOKUP(D127,Master!C:G,5,)</f>
        <v>T&amp;I EX HP</v>
      </c>
      <c r="I127" s="549">
        <v>24</v>
      </c>
      <c r="J127" s="549">
        <v>48</v>
      </c>
      <c r="K127" s="71">
        <f t="shared" si="10"/>
        <v>2</v>
      </c>
      <c r="L127" s="549">
        <v>0</v>
      </c>
      <c r="M127" s="511"/>
      <c r="N127" s="549">
        <v>0</v>
      </c>
      <c r="O127" s="549">
        <v>0</v>
      </c>
      <c r="P127" s="72">
        <f t="shared" si="11"/>
        <v>-24</v>
      </c>
      <c r="Q127" s="72">
        <f>IFERROR(IF(D127=20250,O127/(#REF!/30),O127/(I127/30)),0)</f>
        <v>0</v>
      </c>
      <c r="R127" s="72">
        <f t="shared" si="12"/>
        <v>0</v>
      </c>
      <c r="AC127"/>
      <c r="AD127"/>
      <c r="AE127"/>
      <c r="AF127"/>
      <c r="AG127"/>
      <c r="AH127"/>
      <c r="AI127"/>
      <c r="AJ127"/>
    </row>
    <row r="128" spans="1:36" ht="15">
      <c r="A128" s="352" t="str">
        <f t="shared" si="8"/>
        <v>410406982</v>
      </c>
      <c r="B128" s="509" t="s">
        <v>96</v>
      </c>
      <c r="C128" s="69" t="str">
        <f>_xlfn.XLOOKUP(B:B,Master!A:A,Master!B:B)</f>
        <v>RPSPL-RJ</v>
      </c>
      <c r="D128" s="509" t="s">
        <v>59</v>
      </c>
      <c r="E128" s="69" t="str">
        <f t="shared" si="9"/>
        <v>410406982</v>
      </c>
      <c r="F128" s="509" t="s">
        <v>60</v>
      </c>
      <c r="G128" s="70" t="str">
        <f>VLOOKUP(D128,Master!C:G,4,)</f>
        <v>T&amp;I</v>
      </c>
      <c r="H128" s="69" t="str">
        <f>VLOOKUP(D128,Master!C:G,5,)</f>
        <v>T&amp;I Comm-UF</v>
      </c>
      <c r="I128" s="549">
        <v>564</v>
      </c>
      <c r="J128" s="549">
        <v>132</v>
      </c>
      <c r="K128" s="71">
        <f t="shared" si="10"/>
        <v>0.23404255319148937</v>
      </c>
      <c r="L128" s="549">
        <v>0</v>
      </c>
      <c r="M128" s="511"/>
      <c r="N128" s="549">
        <v>1416</v>
      </c>
      <c r="O128" s="549">
        <v>1416</v>
      </c>
      <c r="P128" s="72">
        <f t="shared" si="11"/>
        <v>-984</v>
      </c>
      <c r="Q128" s="72">
        <f>IFERROR(IF(D128=20250,O128/(#REF!/30),O128/(I128/30)),0)</f>
        <v>75.319148936170208</v>
      </c>
      <c r="R128" s="72">
        <f t="shared" si="12"/>
        <v>75.319148936170208</v>
      </c>
      <c r="AC128"/>
      <c r="AD128"/>
      <c r="AE128"/>
      <c r="AF128"/>
      <c r="AG128"/>
      <c r="AH128"/>
      <c r="AI128"/>
      <c r="AJ128"/>
    </row>
    <row r="129" spans="1:36" ht="15">
      <c r="A129" s="352" t="str">
        <f t="shared" si="8"/>
        <v>410407310</v>
      </c>
      <c r="B129" s="509" t="s">
        <v>96</v>
      </c>
      <c r="C129" s="69" t="str">
        <f>_xlfn.XLOOKUP(B:B,Master!A:A,Master!B:B)</f>
        <v>RPSPL-RJ</v>
      </c>
      <c r="D129" s="509" t="s">
        <v>19</v>
      </c>
      <c r="E129" s="69" t="str">
        <f t="shared" si="9"/>
        <v>410407310</v>
      </c>
      <c r="F129" s="509" t="s">
        <v>20</v>
      </c>
      <c r="G129" s="70" t="str">
        <f>VLOOKUP(D129,Master!C:G,4,)</f>
        <v>T&amp;I</v>
      </c>
      <c r="H129" s="69" t="str">
        <f>VLOOKUP(D129,Master!C:G,5,)</f>
        <v>T&amp;I Comm -HP</v>
      </c>
      <c r="I129" s="549">
        <v>19999.919999999998</v>
      </c>
      <c r="J129" s="549">
        <v>13776</v>
      </c>
      <c r="K129" s="71">
        <f t="shared" si="10"/>
        <v>0.68880275521102086</v>
      </c>
      <c r="L129" s="549">
        <v>0</v>
      </c>
      <c r="M129" s="511"/>
      <c r="N129" s="549">
        <v>26016</v>
      </c>
      <c r="O129" s="549">
        <v>26016</v>
      </c>
      <c r="P129" s="72">
        <f t="shared" si="11"/>
        <v>-19792.080000000002</v>
      </c>
      <c r="Q129" s="72">
        <f>IFERROR(IF(D129=20250,O129/(#REF!/30),O129/(I129/30)),0)</f>
        <v>39.024156096624388</v>
      </c>
      <c r="R129" s="72">
        <f t="shared" si="12"/>
        <v>39.024156096624388</v>
      </c>
      <c r="AC129"/>
      <c r="AD129"/>
      <c r="AE129"/>
      <c r="AF129"/>
      <c r="AG129"/>
      <c r="AH129"/>
      <c r="AI129"/>
      <c r="AJ129"/>
    </row>
    <row r="130" spans="1:36" ht="15">
      <c r="A130" s="352" t="str">
        <f t="shared" si="8"/>
        <v>410408529</v>
      </c>
      <c r="B130" s="509" t="s">
        <v>96</v>
      </c>
      <c r="C130" s="69" t="str">
        <f>_xlfn.XLOOKUP(B:B,Master!A:A,Master!B:B)</f>
        <v>RPSPL-RJ</v>
      </c>
      <c r="D130" s="509" t="s">
        <v>61</v>
      </c>
      <c r="E130" s="69" t="str">
        <f t="shared" si="9"/>
        <v>410408529</v>
      </c>
      <c r="F130" s="509" t="s">
        <v>62</v>
      </c>
      <c r="G130" s="70" t="str">
        <f>VLOOKUP(D130,Master!C:G,4,)</f>
        <v>T&amp;I</v>
      </c>
      <c r="H130" s="69" t="str">
        <f>VLOOKUP(D130,Master!C:G,5,)</f>
        <v>T&amp;I EX HP 2 KG</v>
      </c>
      <c r="I130" s="549">
        <v>6000</v>
      </c>
      <c r="J130" s="549">
        <v>1992</v>
      </c>
      <c r="K130" s="71">
        <f t="shared" si="10"/>
        <v>0.33200000000000002</v>
      </c>
      <c r="L130" s="549">
        <v>0</v>
      </c>
      <c r="M130" s="511"/>
      <c r="N130" s="549">
        <v>6972</v>
      </c>
      <c r="O130" s="549">
        <v>6972</v>
      </c>
      <c r="P130" s="72">
        <f t="shared" si="11"/>
        <v>-2964</v>
      </c>
      <c r="Q130" s="72">
        <f>IFERROR(IF(D130=20250,O130/(#REF!/30),O130/(I130/30)),0)</f>
        <v>34.86</v>
      </c>
      <c r="R130" s="72">
        <f t="shared" si="12"/>
        <v>34.86</v>
      </c>
      <c r="AC130"/>
      <c r="AD130"/>
      <c r="AE130"/>
      <c r="AF130"/>
      <c r="AG130"/>
      <c r="AH130"/>
      <c r="AI130"/>
      <c r="AJ130"/>
    </row>
    <row r="131" spans="1:36" ht="15">
      <c r="A131" s="352" t="str">
        <f t="shared" si="8"/>
        <v>410413179</v>
      </c>
      <c r="B131" s="509" t="s">
        <v>96</v>
      </c>
      <c r="C131" s="69" t="str">
        <f>_xlfn.XLOOKUP(B:B,Master!A:A,Master!B:B)</f>
        <v>RPSPL-RJ</v>
      </c>
      <c r="D131" s="509" t="s">
        <v>22</v>
      </c>
      <c r="E131" s="69" t="str">
        <f t="shared" si="9"/>
        <v>410413179</v>
      </c>
      <c r="F131" s="509" t="s">
        <v>23</v>
      </c>
      <c r="G131" s="70" t="str">
        <f>VLOOKUP(D131,Master!C:G,4,)</f>
        <v>T&amp;I</v>
      </c>
      <c r="H131" s="69" t="str">
        <f>VLOOKUP(D131,Master!C:G,5,)</f>
        <v>T&amp;I EX HP 2 KG</v>
      </c>
      <c r="I131" s="549">
        <v>12000</v>
      </c>
      <c r="J131" s="549">
        <v>6576</v>
      </c>
      <c r="K131" s="71">
        <f t="shared" si="10"/>
        <v>0.54800000000000004</v>
      </c>
      <c r="L131" s="549">
        <v>0</v>
      </c>
      <c r="M131" s="511"/>
      <c r="N131" s="549">
        <v>9984</v>
      </c>
      <c r="O131" s="549">
        <v>9984</v>
      </c>
      <c r="P131" s="72">
        <f t="shared" si="11"/>
        <v>-4560</v>
      </c>
      <c r="Q131" s="72">
        <f>IFERROR(IF(D131=20250,O131/(#REF!/30),O131/(I131/30)),0)</f>
        <v>24.96</v>
      </c>
      <c r="R131" s="72">
        <f t="shared" si="12"/>
        <v>24.96</v>
      </c>
      <c r="AC131"/>
      <c r="AD131"/>
      <c r="AE131"/>
      <c r="AF131"/>
      <c r="AG131"/>
      <c r="AH131"/>
      <c r="AI131"/>
      <c r="AJ131"/>
    </row>
    <row r="132" spans="1:36" ht="15">
      <c r="A132" s="352" t="str">
        <f t="shared" si="8"/>
        <v>410413678</v>
      </c>
      <c r="B132" s="509" t="s">
        <v>96</v>
      </c>
      <c r="C132" s="69" t="str">
        <f>_xlfn.XLOOKUP(B:B,Master!A:A,Master!B:B)</f>
        <v>RPSPL-RJ</v>
      </c>
      <c r="D132" s="509" t="s">
        <v>65</v>
      </c>
      <c r="E132" s="69" t="str">
        <f t="shared" si="9"/>
        <v>410413678</v>
      </c>
      <c r="F132" s="509" t="s">
        <v>66</v>
      </c>
      <c r="G132" s="70" t="str">
        <f>VLOOKUP(D132,Master!C:G,4,)</f>
        <v>T&amp;I</v>
      </c>
      <c r="H132" s="69" t="str">
        <f>VLOOKUP(D132,Master!C:G,5,)</f>
        <v>T&amp;I EX HP</v>
      </c>
      <c r="I132" s="549">
        <v>3199.92</v>
      </c>
      <c r="J132" s="549">
        <v>3432</v>
      </c>
      <c r="K132" s="71">
        <f t="shared" si="10"/>
        <v>1.0725268131703292</v>
      </c>
      <c r="L132" s="549">
        <v>0</v>
      </c>
      <c r="M132" s="511"/>
      <c r="N132" s="549">
        <v>2784</v>
      </c>
      <c r="O132" s="549">
        <v>2784</v>
      </c>
      <c r="P132" s="72">
        <f t="shared" si="11"/>
        <v>-3016.08</v>
      </c>
      <c r="Q132" s="72">
        <f>IFERROR(IF(D132=20250,O132/(#REF!/30),O132/(I132/30)),0)</f>
        <v>26.100652516312909</v>
      </c>
      <c r="R132" s="72">
        <f t="shared" si="12"/>
        <v>26.100652516312909</v>
      </c>
      <c r="AC132"/>
      <c r="AD132"/>
      <c r="AE132"/>
      <c r="AF132"/>
      <c r="AG132"/>
      <c r="AH132"/>
      <c r="AI132"/>
      <c r="AJ132"/>
    </row>
    <row r="133" spans="1:36" ht="15">
      <c r="A133" s="352" t="str">
        <f t="shared" ref="A133:A196" si="13">B133&amp;D133</f>
        <v>410414654</v>
      </c>
      <c r="B133" s="509" t="s">
        <v>96</v>
      </c>
      <c r="C133" s="69" t="str">
        <f>_xlfn.XLOOKUP(B:B,Master!A:A,Master!B:B)</f>
        <v>RPSPL-RJ</v>
      </c>
      <c r="D133" s="509" t="s">
        <v>67</v>
      </c>
      <c r="E133" s="69" t="str">
        <f t="shared" ref="E133:E196" si="14">B133&amp;D133</f>
        <v>410414654</v>
      </c>
      <c r="F133" s="509" t="s">
        <v>68</v>
      </c>
      <c r="G133" s="70" t="str">
        <f>VLOOKUP(D133,Master!C:G,4,)</f>
        <v>T&amp;I</v>
      </c>
      <c r="H133" s="69" t="str">
        <f>VLOOKUP(D133,Master!C:G,5,)</f>
        <v>T&amp;I Comm-UF</v>
      </c>
      <c r="I133" s="549">
        <v>3000</v>
      </c>
      <c r="J133" s="549">
        <v>1224</v>
      </c>
      <c r="K133" s="71">
        <f t="shared" ref="K133:K196" si="15">IFERROR(J133/I133,0)</f>
        <v>0.40799999999999997</v>
      </c>
      <c r="L133" s="549">
        <v>0</v>
      </c>
      <c r="M133" s="511"/>
      <c r="N133" s="549">
        <v>1788</v>
      </c>
      <c r="O133" s="549">
        <v>1788</v>
      </c>
      <c r="P133" s="72">
        <f t="shared" ref="P133:P196" si="16">I133-J133-O133</f>
        <v>-12</v>
      </c>
      <c r="Q133" s="72">
        <f>IFERROR(IF(D133=20250,O133/(#REF!/30),O133/(I133/30)),0)</f>
        <v>17.88</v>
      </c>
      <c r="R133" s="72">
        <f t="shared" ref="R133:R196" si="17">IFERROR(N133/(I133/30),0)</f>
        <v>17.88</v>
      </c>
      <c r="AC133"/>
      <c r="AD133"/>
      <c r="AE133"/>
      <c r="AF133"/>
      <c r="AG133"/>
      <c r="AH133"/>
      <c r="AI133"/>
      <c r="AJ133"/>
    </row>
    <row r="134" spans="1:36" ht="15">
      <c r="A134" s="352" t="str">
        <f t="shared" si="13"/>
        <v>410414788</v>
      </c>
      <c r="B134" s="509" t="s">
        <v>96</v>
      </c>
      <c r="C134" s="69" t="str">
        <f>_xlfn.XLOOKUP(B:B,Master!A:A,Master!B:B)</f>
        <v>RPSPL-RJ</v>
      </c>
      <c r="D134" s="509" t="s">
        <v>69</v>
      </c>
      <c r="E134" s="69" t="str">
        <f t="shared" si="14"/>
        <v>410414788</v>
      </c>
      <c r="F134" s="509" t="s">
        <v>70</v>
      </c>
      <c r="G134" s="70" t="str">
        <f>VLOOKUP(D134,Master!C:G,4,)</f>
        <v>T&amp;I</v>
      </c>
      <c r="H134" s="69" t="str">
        <f>VLOOKUP(D134,Master!C:G,5,)</f>
        <v>T&amp;I EX HP</v>
      </c>
      <c r="I134" s="549">
        <v>21999.96</v>
      </c>
      <c r="J134" s="549">
        <v>6060</v>
      </c>
      <c r="K134" s="71">
        <f t="shared" si="15"/>
        <v>0.27545504628190232</v>
      </c>
      <c r="L134" s="549">
        <v>0</v>
      </c>
      <c r="M134" s="511"/>
      <c r="N134" s="549">
        <v>11424</v>
      </c>
      <c r="O134" s="549">
        <v>11424</v>
      </c>
      <c r="P134" s="72">
        <f t="shared" si="16"/>
        <v>4515.9599999999991</v>
      </c>
      <c r="Q134" s="72">
        <f>IFERROR(IF(D134=20250,O134/(#REF!/30),O134/(I134/30)),0)</f>
        <v>15.578210142200259</v>
      </c>
      <c r="R134" s="72">
        <f t="shared" si="17"/>
        <v>15.578210142200259</v>
      </c>
      <c r="AC134"/>
      <c r="AD134"/>
      <c r="AE134"/>
      <c r="AF134"/>
      <c r="AG134"/>
      <c r="AH134"/>
      <c r="AI134"/>
      <c r="AJ134"/>
    </row>
    <row r="135" spans="1:36" ht="15">
      <c r="A135" s="352" t="str">
        <f t="shared" si="13"/>
        <v>410415536</v>
      </c>
      <c r="B135" s="509" t="s">
        <v>96</v>
      </c>
      <c r="C135" s="69" t="str">
        <f>_xlfn.XLOOKUP(B:B,Master!A:A,Master!B:B)</f>
        <v>RPSPL-RJ</v>
      </c>
      <c r="D135" s="509" t="s">
        <v>71</v>
      </c>
      <c r="E135" s="69" t="str">
        <f t="shared" si="14"/>
        <v>410415536</v>
      </c>
      <c r="F135" s="509" t="s">
        <v>72</v>
      </c>
      <c r="G135" s="70" t="str">
        <f>VLOOKUP(D135,Master!C:G,4,)</f>
        <v>Ganache</v>
      </c>
      <c r="H135" s="69" t="str">
        <f>VLOOKUP(D135,Master!C:G,5,)</f>
        <v>Ganache- UF</v>
      </c>
      <c r="I135" s="549">
        <v>9999.9599999999991</v>
      </c>
      <c r="J135" s="549">
        <v>4632</v>
      </c>
      <c r="K135" s="71">
        <f t="shared" si="15"/>
        <v>0.46320185280741127</v>
      </c>
      <c r="L135" s="549">
        <v>0</v>
      </c>
      <c r="M135" s="511"/>
      <c r="N135" s="549">
        <v>15804</v>
      </c>
      <c r="O135" s="549">
        <v>15804</v>
      </c>
      <c r="P135" s="72">
        <f t="shared" si="16"/>
        <v>-10436.040000000001</v>
      </c>
      <c r="Q135" s="72">
        <f>IFERROR(IF(D135=20250,O135/(#REF!/30),O135/(I135/30)),0)</f>
        <v>47.412189648758599</v>
      </c>
      <c r="R135" s="72">
        <f t="shared" si="17"/>
        <v>47.412189648758599</v>
      </c>
      <c r="AC135"/>
      <c r="AD135"/>
      <c r="AE135"/>
      <c r="AF135"/>
      <c r="AG135"/>
      <c r="AH135"/>
      <c r="AI135"/>
      <c r="AJ135"/>
    </row>
    <row r="136" spans="1:36" ht="15">
      <c r="A136" s="352" t="str">
        <f t="shared" si="13"/>
        <v>410415906</v>
      </c>
      <c r="B136" s="509" t="s">
        <v>96</v>
      </c>
      <c r="C136" s="69" t="str">
        <f>_xlfn.XLOOKUP(B:B,Master!A:A,Master!B:B)</f>
        <v>RPSPL-RJ</v>
      </c>
      <c r="D136" s="509" t="s">
        <v>74</v>
      </c>
      <c r="E136" s="69" t="str">
        <f t="shared" si="14"/>
        <v>410415906</v>
      </c>
      <c r="F136" s="509" t="s">
        <v>75</v>
      </c>
      <c r="G136" s="70" t="str">
        <f>VLOOKUP(D136,Master!C:G,4,)</f>
        <v>T&amp;I</v>
      </c>
      <c r="H136" s="69" t="str">
        <f>VLOOKUP(D136,Master!C:G,5,)</f>
        <v>T&amp;I EX HP</v>
      </c>
      <c r="I136" s="549">
        <v>1056</v>
      </c>
      <c r="J136" s="549">
        <v>636</v>
      </c>
      <c r="K136" s="71">
        <f t="shared" si="15"/>
        <v>0.60227272727272729</v>
      </c>
      <c r="L136" s="549">
        <v>0</v>
      </c>
      <c r="M136" s="511"/>
      <c r="N136" s="549">
        <v>1140</v>
      </c>
      <c r="O136" s="549">
        <v>1140</v>
      </c>
      <c r="P136" s="72">
        <f t="shared" si="16"/>
        <v>-720</v>
      </c>
      <c r="Q136" s="72">
        <f>IFERROR(IF(D136=20250,O136/(#REF!/30),O136/(I136/30)),0)</f>
        <v>32.386363636363633</v>
      </c>
      <c r="R136" s="72">
        <f t="shared" si="17"/>
        <v>32.386363636363633</v>
      </c>
      <c r="AC136"/>
      <c r="AD136"/>
      <c r="AE136"/>
      <c r="AF136"/>
      <c r="AG136"/>
      <c r="AH136"/>
      <c r="AI136"/>
      <c r="AJ136"/>
    </row>
    <row r="137" spans="1:36" ht="15">
      <c r="A137" s="352" t="str">
        <f t="shared" si="13"/>
        <v>410416336</v>
      </c>
      <c r="B137" s="509" t="s">
        <v>96</v>
      </c>
      <c r="C137" s="69" t="str">
        <f>_xlfn.XLOOKUP(B:B,Master!A:A,Master!B:B)</f>
        <v>RPSPL-RJ</v>
      </c>
      <c r="D137" s="509" t="s">
        <v>24</v>
      </c>
      <c r="E137" s="69" t="str">
        <f t="shared" si="14"/>
        <v>410416336</v>
      </c>
      <c r="F137" s="509" t="s">
        <v>25</v>
      </c>
      <c r="G137" s="70" t="str">
        <f>VLOOKUP(D137,Master!C:G,4,)</f>
        <v>T&amp;I</v>
      </c>
      <c r="H137" s="69" t="str">
        <f>VLOOKUP(D137,Master!C:G,5,)</f>
        <v>T&amp;I Comm-UF</v>
      </c>
      <c r="I137" s="549">
        <v>39999.96</v>
      </c>
      <c r="J137" s="549">
        <v>19452</v>
      </c>
      <c r="K137" s="71">
        <f t="shared" si="15"/>
        <v>0.48630048630048633</v>
      </c>
      <c r="L137" s="549">
        <v>0</v>
      </c>
      <c r="M137" s="511"/>
      <c r="N137" s="549">
        <v>35796</v>
      </c>
      <c r="O137" s="549">
        <v>35796</v>
      </c>
      <c r="P137" s="72">
        <f t="shared" si="16"/>
        <v>-15248.04</v>
      </c>
      <c r="Q137" s="72">
        <f>IFERROR(IF(D137=20250,O137/(#REF!/30),O137/(I137/30)),0)</f>
        <v>26.84702684702685</v>
      </c>
      <c r="R137" s="72">
        <f t="shared" si="17"/>
        <v>26.84702684702685</v>
      </c>
      <c r="AC137"/>
      <c r="AD137"/>
      <c r="AE137"/>
      <c r="AF137"/>
      <c r="AG137"/>
      <c r="AH137"/>
      <c r="AI137"/>
      <c r="AJ137"/>
    </row>
    <row r="138" spans="1:36" ht="15">
      <c r="A138" s="352" t="str">
        <f t="shared" si="13"/>
        <v>410416984</v>
      </c>
      <c r="B138" s="509" t="s">
        <v>96</v>
      </c>
      <c r="C138" s="69" t="str">
        <f>_xlfn.XLOOKUP(B:B,Master!A:A,Master!B:B)</f>
        <v>RPSPL-RJ</v>
      </c>
      <c r="D138" s="509" t="s">
        <v>78</v>
      </c>
      <c r="E138" s="69" t="str">
        <f t="shared" si="14"/>
        <v>410416984</v>
      </c>
      <c r="F138" s="509" t="s">
        <v>79</v>
      </c>
      <c r="G138" s="70" t="str">
        <f>VLOOKUP(D138,Master!C:G,4,)</f>
        <v>T&amp;I</v>
      </c>
      <c r="H138" s="69" t="str">
        <f>VLOOKUP(D138,Master!C:G,5,)</f>
        <v>T&amp;I EX HP</v>
      </c>
      <c r="I138" s="549">
        <v>144</v>
      </c>
      <c r="J138" s="549">
        <v>144</v>
      </c>
      <c r="K138" s="71">
        <f t="shared" si="15"/>
        <v>1</v>
      </c>
      <c r="L138" s="549">
        <v>0</v>
      </c>
      <c r="M138" s="511"/>
      <c r="N138" s="549">
        <v>204</v>
      </c>
      <c r="O138" s="549">
        <v>204</v>
      </c>
      <c r="P138" s="72">
        <f t="shared" si="16"/>
        <v>-204</v>
      </c>
      <c r="Q138" s="72">
        <f>IFERROR(IF(D138=20250,O138/(#REF!/30),O138/(I138/30)),0)</f>
        <v>42.5</v>
      </c>
      <c r="R138" s="72">
        <f t="shared" si="17"/>
        <v>42.5</v>
      </c>
      <c r="AC138"/>
      <c r="AD138"/>
      <c r="AE138"/>
      <c r="AF138"/>
      <c r="AG138"/>
      <c r="AH138"/>
      <c r="AI138"/>
      <c r="AJ138"/>
    </row>
    <row r="139" spans="1:36" ht="15">
      <c r="A139" s="352" t="str">
        <f t="shared" si="13"/>
        <v>410416998</v>
      </c>
      <c r="B139" s="509" t="s">
        <v>96</v>
      </c>
      <c r="C139" s="69" t="str">
        <f>_xlfn.XLOOKUP(B:B,Master!A:A,Master!B:B)</f>
        <v>RPSPL-RJ</v>
      </c>
      <c r="D139" s="509" t="s">
        <v>80</v>
      </c>
      <c r="E139" s="69" t="str">
        <f t="shared" si="14"/>
        <v>410416998</v>
      </c>
      <c r="F139" s="509" t="s">
        <v>81</v>
      </c>
      <c r="G139" s="70" t="str">
        <f>VLOOKUP(D139,Master!C:G,4,)</f>
        <v>T&amp;I</v>
      </c>
      <c r="H139" s="69" t="str">
        <f>VLOOKUP(D139,Master!C:G,5,)</f>
        <v>T&amp;I EX UF</v>
      </c>
      <c r="I139" s="549">
        <v>4776</v>
      </c>
      <c r="J139" s="549">
        <v>4092</v>
      </c>
      <c r="K139" s="71">
        <f t="shared" si="15"/>
        <v>0.85678391959798994</v>
      </c>
      <c r="L139" s="549">
        <v>0</v>
      </c>
      <c r="M139" s="511"/>
      <c r="N139" s="549">
        <v>6108</v>
      </c>
      <c r="O139" s="549">
        <v>6108</v>
      </c>
      <c r="P139" s="72">
        <f t="shared" si="16"/>
        <v>-5424</v>
      </c>
      <c r="Q139" s="72">
        <f>IFERROR(IF(D139=20250,O139/(#REF!/30),O139/(I139/30)),0)</f>
        <v>38.366834170854275</v>
      </c>
      <c r="R139" s="72">
        <f t="shared" si="17"/>
        <v>38.366834170854275</v>
      </c>
      <c r="AC139"/>
      <c r="AD139"/>
      <c r="AE139"/>
      <c r="AF139"/>
      <c r="AG139"/>
      <c r="AH139"/>
      <c r="AI139"/>
      <c r="AJ139"/>
    </row>
    <row r="140" spans="1:36" ht="15">
      <c r="A140" s="352" t="str">
        <f t="shared" si="13"/>
        <v>410418098</v>
      </c>
      <c r="B140" s="509" t="s">
        <v>96</v>
      </c>
      <c r="C140" s="69" t="str">
        <f>_xlfn.XLOOKUP(B:B,Master!A:A,Master!B:B)</f>
        <v>RPSPL-RJ</v>
      </c>
      <c r="D140" s="509" t="s">
        <v>84</v>
      </c>
      <c r="E140" s="69" t="str">
        <f t="shared" si="14"/>
        <v>410418098</v>
      </c>
      <c r="F140" s="509" t="s">
        <v>1222</v>
      </c>
      <c r="G140" s="70" t="str">
        <f>VLOOKUP(D140,Master!C:G,4,)</f>
        <v>T&amp;I</v>
      </c>
      <c r="H140" s="69" t="str">
        <f>VLOOKUP(D140,Master!C:G,5,)</f>
        <v>T&amp;I EX HP</v>
      </c>
      <c r="I140" s="549">
        <v>999.96</v>
      </c>
      <c r="J140" s="549">
        <v>372</v>
      </c>
      <c r="K140" s="71">
        <f t="shared" si="15"/>
        <v>0.37201488059522381</v>
      </c>
      <c r="L140" s="549">
        <v>0</v>
      </c>
      <c r="M140" s="511"/>
      <c r="N140" s="549">
        <v>996</v>
      </c>
      <c r="O140" s="549">
        <v>996</v>
      </c>
      <c r="P140" s="72">
        <f t="shared" si="16"/>
        <v>-368.03999999999996</v>
      </c>
      <c r="Q140" s="72">
        <f>IFERROR(IF(D140=20250,O140/(#REF!/30),O140/(I140/30)),0)</f>
        <v>29.881195247809913</v>
      </c>
      <c r="R140" s="72">
        <f t="shared" si="17"/>
        <v>29.881195247809913</v>
      </c>
      <c r="AC140"/>
      <c r="AD140"/>
      <c r="AE140"/>
      <c r="AF140"/>
      <c r="AG140"/>
      <c r="AH140"/>
      <c r="AI140"/>
      <c r="AJ140"/>
    </row>
    <row r="141" spans="1:36" ht="15">
      <c r="A141" s="352" t="str">
        <f t="shared" si="13"/>
        <v>410420827</v>
      </c>
      <c r="B141" s="509" t="s">
        <v>96</v>
      </c>
      <c r="C141" s="69" t="str">
        <f>_xlfn.XLOOKUP(B:B,Master!A:A,Master!B:B)</f>
        <v>RPSPL-RJ</v>
      </c>
      <c r="D141" s="509" t="s">
        <v>149</v>
      </c>
      <c r="E141" s="69" t="str">
        <f t="shared" si="14"/>
        <v>410420827</v>
      </c>
      <c r="F141" s="509" t="s">
        <v>150</v>
      </c>
      <c r="G141" s="70" t="str">
        <f>VLOOKUP(D141,Master!C:G,4,)</f>
        <v>Ganache</v>
      </c>
      <c r="H141" s="69" t="str">
        <f>VLOOKUP(D141,Master!C:G,5,)</f>
        <v>Ganache- UF</v>
      </c>
      <c r="I141" s="549">
        <v>3499.92</v>
      </c>
      <c r="J141" s="549">
        <v>1260</v>
      </c>
      <c r="K141" s="71">
        <f t="shared" si="15"/>
        <v>0.36000822875951449</v>
      </c>
      <c r="L141" s="549">
        <v>0</v>
      </c>
      <c r="M141" s="511"/>
      <c r="N141" s="549">
        <v>7080</v>
      </c>
      <c r="O141" s="549">
        <v>7080</v>
      </c>
      <c r="P141" s="72">
        <f t="shared" si="16"/>
        <v>-4840.08</v>
      </c>
      <c r="Q141" s="72">
        <f>IFERROR(IF(D141=20250,O141/(#REF!/30),O141/(I141/30)),0)</f>
        <v>60.687101419461015</v>
      </c>
      <c r="R141" s="72">
        <f t="shared" si="17"/>
        <v>60.687101419461015</v>
      </c>
      <c r="AC141"/>
      <c r="AD141"/>
      <c r="AE141"/>
      <c r="AF141"/>
      <c r="AG141"/>
      <c r="AH141"/>
      <c r="AI141"/>
      <c r="AJ141"/>
    </row>
    <row r="142" spans="1:36" ht="15">
      <c r="A142" s="352" t="str">
        <f t="shared" si="13"/>
        <v>410423081</v>
      </c>
      <c r="B142" s="509" t="s">
        <v>96</v>
      </c>
      <c r="C142" s="69" t="str">
        <f>_xlfn.XLOOKUP(B:B,Master!A:A,Master!B:B)</f>
        <v>RPSPL-RJ</v>
      </c>
      <c r="D142" s="509" t="s">
        <v>189</v>
      </c>
      <c r="E142" s="69" t="str">
        <f t="shared" si="14"/>
        <v>410423081</v>
      </c>
      <c r="F142" s="509" t="s">
        <v>190</v>
      </c>
      <c r="G142" s="70" t="str">
        <f>VLOOKUP(D142,Master!C:G,4,)</f>
        <v>T&amp;I</v>
      </c>
      <c r="H142" s="69" t="str">
        <f>VLOOKUP(D142,Master!C:G,5,)</f>
        <v>T&amp;I EX HP</v>
      </c>
      <c r="I142" s="549">
        <v>300</v>
      </c>
      <c r="J142" s="549">
        <v>84</v>
      </c>
      <c r="K142" s="71">
        <f t="shared" si="15"/>
        <v>0.28000000000000003</v>
      </c>
      <c r="L142" s="549">
        <v>0</v>
      </c>
      <c r="M142" s="511"/>
      <c r="N142" s="549">
        <v>300</v>
      </c>
      <c r="O142" s="549">
        <v>300</v>
      </c>
      <c r="P142" s="72">
        <f t="shared" si="16"/>
        <v>-84</v>
      </c>
      <c r="Q142" s="72">
        <f>IFERROR(IF(D142=20250,O142/(#REF!/30),O142/(I142/30)),0)</f>
        <v>30</v>
      </c>
      <c r="R142" s="72">
        <f t="shared" si="17"/>
        <v>30</v>
      </c>
      <c r="AC142"/>
      <c r="AD142"/>
      <c r="AE142"/>
      <c r="AF142"/>
      <c r="AG142"/>
      <c r="AH142"/>
      <c r="AI142"/>
      <c r="AJ142"/>
    </row>
    <row r="143" spans="1:36" ht="15">
      <c r="A143" s="352" t="str">
        <f t="shared" si="13"/>
        <v>410424768</v>
      </c>
      <c r="B143" s="509" t="s">
        <v>96</v>
      </c>
      <c r="C143" s="69" t="str">
        <f>_xlfn.XLOOKUP(B:B,Master!A:A,Master!B:B)</f>
        <v>RPSPL-RJ</v>
      </c>
      <c r="D143" s="509" t="s">
        <v>906</v>
      </c>
      <c r="E143" s="69" t="str">
        <f t="shared" si="14"/>
        <v>410424768</v>
      </c>
      <c r="F143" s="509" t="s">
        <v>912</v>
      </c>
      <c r="G143" s="70" t="str">
        <f>VLOOKUP(D143,Master!C:G,4,)</f>
        <v>T&amp;I</v>
      </c>
      <c r="H143" s="69" t="str">
        <f>VLOOKUP(D143,Master!C:G,5,)</f>
        <v>T&amp;I EX UF</v>
      </c>
      <c r="I143" s="549">
        <v>3499.92</v>
      </c>
      <c r="J143" s="549">
        <v>3456</v>
      </c>
      <c r="K143" s="71">
        <f t="shared" si="15"/>
        <v>0.98745114174038262</v>
      </c>
      <c r="L143" s="549">
        <v>0</v>
      </c>
      <c r="M143" s="511"/>
      <c r="N143" s="549">
        <v>2532</v>
      </c>
      <c r="O143" s="549">
        <v>2532</v>
      </c>
      <c r="P143" s="72">
        <f t="shared" si="16"/>
        <v>-2488.08</v>
      </c>
      <c r="Q143" s="72">
        <f>IFERROR(IF(D143=20250,O143/(#REF!/30),O143/(I143/30)),0)</f>
        <v>21.703353219502159</v>
      </c>
      <c r="R143" s="72">
        <f t="shared" si="17"/>
        <v>21.703353219502159</v>
      </c>
      <c r="AC143"/>
      <c r="AD143"/>
      <c r="AE143"/>
      <c r="AF143"/>
      <c r="AG143"/>
      <c r="AH143"/>
      <c r="AI143"/>
      <c r="AJ143"/>
    </row>
    <row r="144" spans="1:36" ht="15">
      <c r="A144" s="352" t="str">
        <f t="shared" si="13"/>
        <v>410425570</v>
      </c>
      <c r="B144" s="509" t="s">
        <v>96</v>
      </c>
      <c r="C144" s="69" t="str">
        <f>_xlfn.XLOOKUP(B:B,Master!A:A,Master!B:B)</f>
        <v>RPSPL-RJ</v>
      </c>
      <c r="D144" s="509" t="s">
        <v>1006</v>
      </c>
      <c r="E144" s="69" t="str">
        <f t="shared" si="14"/>
        <v>410425570</v>
      </c>
      <c r="F144" s="509" t="s">
        <v>1008</v>
      </c>
      <c r="G144" s="70" t="str">
        <f>VLOOKUP(D144,Master!C:G,4,)</f>
        <v>T&amp;I</v>
      </c>
      <c r="H144" s="69" t="str">
        <f>VLOOKUP(D144,Master!C:G,5,)</f>
        <v>T&amp;I EX HP</v>
      </c>
      <c r="I144" s="549">
        <v>1008</v>
      </c>
      <c r="J144" s="549">
        <v>1272</v>
      </c>
      <c r="K144" s="71">
        <f t="shared" si="15"/>
        <v>1.2619047619047619</v>
      </c>
      <c r="L144" s="549">
        <v>0</v>
      </c>
      <c r="M144" s="511"/>
      <c r="N144" s="549">
        <v>2760</v>
      </c>
      <c r="O144" s="549">
        <v>2760</v>
      </c>
      <c r="P144" s="72">
        <f t="shared" si="16"/>
        <v>-3024</v>
      </c>
      <c r="Q144" s="72">
        <f>IFERROR(IF(D144=20250,O144/(#REF!/30),O144/(I144/30)),0)</f>
        <v>82.142857142857139</v>
      </c>
      <c r="R144" s="72">
        <f t="shared" si="17"/>
        <v>82.142857142857139</v>
      </c>
      <c r="AC144"/>
      <c r="AD144"/>
      <c r="AE144"/>
      <c r="AF144"/>
      <c r="AG144"/>
      <c r="AH144"/>
      <c r="AI144"/>
      <c r="AJ144"/>
    </row>
    <row r="145" spans="1:36" ht="15">
      <c r="A145" s="352" t="str">
        <f t="shared" si="13"/>
        <v>410425598</v>
      </c>
      <c r="B145" s="509" t="s">
        <v>96</v>
      </c>
      <c r="C145" s="69" t="str">
        <f>_xlfn.XLOOKUP(B:B,Master!A:A,Master!B:B)</f>
        <v>RPSPL-RJ</v>
      </c>
      <c r="D145" s="509" t="s">
        <v>1007</v>
      </c>
      <c r="E145" s="69" t="str">
        <f t="shared" si="14"/>
        <v>410425598</v>
      </c>
      <c r="F145" s="509" t="s">
        <v>1009</v>
      </c>
      <c r="G145" s="70" t="str">
        <f>VLOOKUP(D145,Master!C:G,4,)</f>
        <v>T&amp;I</v>
      </c>
      <c r="H145" s="69" t="str">
        <f>VLOOKUP(D145,Master!C:G,5,)</f>
        <v>T&amp;I EX HP</v>
      </c>
      <c r="I145" s="549">
        <v>36</v>
      </c>
      <c r="J145" s="549">
        <v>12</v>
      </c>
      <c r="K145" s="71">
        <f t="shared" si="15"/>
        <v>0.33333333333333331</v>
      </c>
      <c r="L145" s="549">
        <v>0</v>
      </c>
      <c r="M145" s="511"/>
      <c r="N145" s="549">
        <v>336</v>
      </c>
      <c r="O145" s="549">
        <v>336</v>
      </c>
      <c r="P145" s="72">
        <f t="shared" si="16"/>
        <v>-312</v>
      </c>
      <c r="Q145" s="72">
        <f>IFERROR(IF(D145=20250,O145/(#REF!/30),O145/(I145/30)),0)</f>
        <v>280</v>
      </c>
      <c r="R145" s="72">
        <f t="shared" si="17"/>
        <v>280</v>
      </c>
      <c r="AC145"/>
      <c r="AD145"/>
      <c r="AE145"/>
      <c r="AF145"/>
      <c r="AG145"/>
      <c r="AH145"/>
      <c r="AI145"/>
      <c r="AJ145"/>
    </row>
    <row r="146" spans="1:36" ht="15">
      <c r="A146" s="352" t="str">
        <f t="shared" si="13"/>
        <v>410506151</v>
      </c>
      <c r="B146" s="509" t="s">
        <v>152</v>
      </c>
      <c r="C146" s="69" t="str">
        <f>_xlfn.XLOOKUP(B:B,Master!A:A,Master!B:B)</f>
        <v>RPSPL-NG</v>
      </c>
      <c r="D146" s="509" t="s">
        <v>28</v>
      </c>
      <c r="E146" s="69" t="str">
        <f t="shared" si="14"/>
        <v>410506151</v>
      </c>
      <c r="F146" s="509" t="s">
        <v>29</v>
      </c>
      <c r="G146" s="70" t="str">
        <f>VLOOKUP(D146,Master!C:G,4,)</f>
        <v>DD</v>
      </c>
      <c r="H146" s="69" t="str">
        <f>VLOOKUP(D146,Master!C:G,5,)</f>
        <v>OS - Dry</v>
      </c>
      <c r="I146" s="549">
        <v>10295.64</v>
      </c>
      <c r="J146" s="549">
        <v>5772</v>
      </c>
      <c r="K146" s="71">
        <f t="shared" si="15"/>
        <v>0.56062566290196625</v>
      </c>
      <c r="L146" s="549">
        <v>1500</v>
      </c>
      <c r="M146" s="511">
        <v>46160</v>
      </c>
      <c r="N146" s="549">
        <v>10188</v>
      </c>
      <c r="O146" s="549">
        <v>11688</v>
      </c>
      <c r="P146" s="72">
        <f t="shared" si="16"/>
        <v>-7164.3600000000006</v>
      </c>
      <c r="Q146" s="72">
        <f>IFERROR(IF(D146=20250,O146/(#REF!/30),O146/(I146/30)),0)</f>
        <v>34.057134864855414</v>
      </c>
      <c r="R146" s="72">
        <f t="shared" si="17"/>
        <v>29.686352669673767</v>
      </c>
      <c r="AC146"/>
      <c r="AD146"/>
      <c r="AE146"/>
      <c r="AF146"/>
      <c r="AG146"/>
      <c r="AH146"/>
      <c r="AI146"/>
      <c r="AJ146"/>
    </row>
    <row r="147" spans="1:36" ht="15">
      <c r="A147" s="352" t="str">
        <f t="shared" si="13"/>
        <v>410513490</v>
      </c>
      <c r="B147" s="509" t="s">
        <v>152</v>
      </c>
      <c r="C147" s="69" t="str">
        <f>_xlfn.XLOOKUP(B:B,Master!A:A,Master!B:B)</f>
        <v>RPSPL-NG</v>
      </c>
      <c r="D147" s="509" t="s">
        <v>37</v>
      </c>
      <c r="E147" s="69" t="str">
        <f t="shared" si="14"/>
        <v>410513490</v>
      </c>
      <c r="F147" s="509" t="s">
        <v>38</v>
      </c>
      <c r="G147" s="70" t="str">
        <f>VLOOKUP(D147,Master!C:G,4,)</f>
        <v>NGL</v>
      </c>
      <c r="H147" s="69" t="str">
        <f>VLOOKUP(D147,Master!C:G,5,)</f>
        <v>UF-Dry</v>
      </c>
      <c r="I147" s="549">
        <v>2152.6999999999998</v>
      </c>
      <c r="J147" s="549">
        <v>1350</v>
      </c>
      <c r="K147" s="71">
        <f t="shared" si="15"/>
        <v>0.62711943141171556</v>
      </c>
      <c r="L147" s="549">
        <v>0</v>
      </c>
      <c r="M147" s="511"/>
      <c r="N147" s="549">
        <v>2370</v>
      </c>
      <c r="O147" s="549">
        <v>2370</v>
      </c>
      <c r="P147" s="72">
        <f t="shared" si="16"/>
        <v>-1567.3000000000002</v>
      </c>
      <c r="Q147" s="72">
        <f>IFERROR(IF(D147=20250,O147/(#REF!/30),O147/(I147/30)),0)</f>
        <v>33.02829005435035</v>
      </c>
      <c r="R147" s="72">
        <f t="shared" si="17"/>
        <v>33.02829005435035</v>
      </c>
      <c r="AC147"/>
      <c r="AD147"/>
      <c r="AE147"/>
      <c r="AF147"/>
      <c r="AG147"/>
      <c r="AH147"/>
      <c r="AI147"/>
      <c r="AJ147"/>
    </row>
    <row r="148" spans="1:36" ht="15">
      <c r="A148" s="352" t="str">
        <f t="shared" si="13"/>
        <v>410515300</v>
      </c>
      <c r="B148" s="509" t="s">
        <v>152</v>
      </c>
      <c r="C148" s="69" t="str">
        <f>_xlfn.XLOOKUP(B:B,Master!A:A,Master!B:B)</f>
        <v>RPSPL-NG</v>
      </c>
      <c r="D148" s="509" t="s">
        <v>43</v>
      </c>
      <c r="E148" s="69" t="str">
        <f t="shared" si="14"/>
        <v>410515300</v>
      </c>
      <c r="F148" s="509" t="s">
        <v>44</v>
      </c>
      <c r="G148" s="70" t="str">
        <f>VLOOKUP(D148,Master!C:G,4,)</f>
        <v>NGL</v>
      </c>
      <c r="H148" s="69" t="str">
        <f>VLOOKUP(D148,Master!C:G,5,)</f>
        <v>UF-Dry</v>
      </c>
      <c r="I148" s="549">
        <v>207.81</v>
      </c>
      <c r="J148" s="549">
        <v>90</v>
      </c>
      <c r="K148" s="71">
        <f t="shared" si="15"/>
        <v>0.43308791684711995</v>
      </c>
      <c r="L148" s="549">
        <v>0</v>
      </c>
      <c r="M148" s="511"/>
      <c r="N148" s="549">
        <v>360</v>
      </c>
      <c r="O148" s="549">
        <v>360</v>
      </c>
      <c r="P148" s="72">
        <f t="shared" si="16"/>
        <v>-242.19</v>
      </c>
      <c r="Q148" s="72">
        <f>IFERROR(IF(D148=20250,O148/(#REF!/30),O148/(I148/30)),0)</f>
        <v>51.97055002165439</v>
      </c>
      <c r="R148" s="72">
        <f t="shared" si="17"/>
        <v>51.97055002165439</v>
      </c>
      <c r="AC148"/>
      <c r="AD148"/>
      <c r="AE148"/>
      <c r="AF148"/>
      <c r="AG148"/>
      <c r="AH148"/>
      <c r="AI148"/>
      <c r="AJ148"/>
    </row>
    <row r="149" spans="1:36" ht="15">
      <c r="A149" s="352" t="str">
        <f t="shared" si="13"/>
        <v>410519690</v>
      </c>
      <c r="B149" s="509" t="s">
        <v>152</v>
      </c>
      <c r="C149" s="69" t="str">
        <f>_xlfn.XLOOKUP(B:B,Master!A:A,Master!B:B)</f>
        <v>RPSPL-NG</v>
      </c>
      <c r="D149" s="509" t="s">
        <v>88</v>
      </c>
      <c r="E149" s="69" t="str">
        <f t="shared" si="14"/>
        <v>410519690</v>
      </c>
      <c r="F149" s="509" t="s">
        <v>89</v>
      </c>
      <c r="G149" s="70" t="str">
        <f>VLOOKUP(D149,Master!C:G,4,)</f>
        <v>NFL</v>
      </c>
      <c r="H149" s="69" t="str">
        <f>VLOOKUP(D149,Master!C:G,5,)</f>
        <v>OS - Dry</v>
      </c>
      <c r="I149" s="549">
        <v>0</v>
      </c>
      <c r="J149" s="549">
        <v>36</v>
      </c>
      <c r="K149" s="71">
        <f t="shared" si="15"/>
        <v>0</v>
      </c>
      <c r="L149" s="549">
        <v>0</v>
      </c>
      <c r="M149" s="511"/>
      <c r="N149" s="549">
        <v>144</v>
      </c>
      <c r="O149" s="549">
        <v>144</v>
      </c>
      <c r="P149" s="72">
        <f t="shared" si="16"/>
        <v>-180</v>
      </c>
      <c r="Q149" s="72">
        <f>IFERROR(IF(D149=20250,O149/(#REF!/30),O149/(I149/30)),0)</f>
        <v>0</v>
      </c>
      <c r="R149" s="72">
        <f t="shared" si="17"/>
        <v>0</v>
      </c>
      <c r="AC149"/>
      <c r="AD149"/>
      <c r="AE149"/>
      <c r="AF149"/>
      <c r="AG149"/>
      <c r="AH149"/>
      <c r="AI149"/>
      <c r="AJ149"/>
    </row>
    <row r="150" spans="1:36" ht="15">
      <c r="A150" s="352" t="str">
        <f t="shared" si="13"/>
        <v>410520661</v>
      </c>
      <c r="B150" s="509" t="s">
        <v>152</v>
      </c>
      <c r="C150" s="69" t="str">
        <f>_xlfn.XLOOKUP(B:B,Master!A:A,Master!B:B)</f>
        <v>RPSPL-NG</v>
      </c>
      <c r="D150" s="509" t="s">
        <v>167</v>
      </c>
      <c r="E150" s="69" t="str">
        <f t="shared" si="14"/>
        <v>410520661</v>
      </c>
      <c r="F150" s="509" t="s">
        <v>168</v>
      </c>
      <c r="G150" s="70" t="str">
        <f>VLOOKUP(D150,Master!C:G,4,)</f>
        <v>UHT-Chill</v>
      </c>
      <c r="H150" s="69" t="str">
        <f>VLOOKUP(D150,Master!C:G,5,)</f>
        <v>OS-Chill</v>
      </c>
      <c r="I150" s="549">
        <v>1608.36</v>
      </c>
      <c r="J150" s="549">
        <v>1104</v>
      </c>
      <c r="K150" s="71">
        <f t="shared" si="15"/>
        <v>0.68641348951727232</v>
      </c>
      <c r="L150" s="549">
        <v>0</v>
      </c>
      <c r="M150" s="511"/>
      <c r="N150" s="549">
        <v>912</v>
      </c>
      <c r="O150" s="549">
        <v>912</v>
      </c>
      <c r="P150" s="72">
        <f t="shared" si="16"/>
        <v>-407.6400000000001</v>
      </c>
      <c r="Q150" s="72">
        <f>IFERROR(IF(D150=20250,O150/(#REF!/30),O150/(I150/30)),0)</f>
        <v>17.011116914123704</v>
      </c>
      <c r="R150" s="72">
        <f t="shared" si="17"/>
        <v>17.011116914123704</v>
      </c>
      <c r="AC150"/>
      <c r="AD150"/>
      <c r="AE150"/>
      <c r="AF150"/>
      <c r="AG150"/>
      <c r="AH150"/>
      <c r="AI150"/>
      <c r="AJ150"/>
    </row>
    <row r="151" spans="1:36" ht="15">
      <c r="A151" s="352" t="str">
        <f t="shared" si="13"/>
        <v>410523638</v>
      </c>
      <c r="B151" s="509" t="s">
        <v>152</v>
      </c>
      <c r="C151" s="69" t="str">
        <f>_xlfn.XLOOKUP(B:B,Master!A:A,Master!B:B)</f>
        <v>RPSPL-NG</v>
      </c>
      <c r="D151" s="509" t="s">
        <v>198</v>
      </c>
      <c r="E151" s="69" t="str">
        <f t="shared" si="14"/>
        <v>410523638</v>
      </c>
      <c r="F151" s="509" t="s">
        <v>199</v>
      </c>
      <c r="G151" s="70" t="str">
        <f>VLOOKUP(D151,Master!C:G,4,)</f>
        <v>DD</v>
      </c>
      <c r="H151" s="69" t="str">
        <f>VLOOKUP(D151,Master!C:G,5,)</f>
        <v>OS - Dry</v>
      </c>
      <c r="I151" s="549">
        <v>3499.92</v>
      </c>
      <c r="J151" s="549">
        <v>324</v>
      </c>
      <c r="K151" s="71">
        <f t="shared" si="15"/>
        <v>9.2573544538160871E-2</v>
      </c>
      <c r="L151" s="549">
        <v>0</v>
      </c>
      <c r="M151" s="511"/>
      <c r="N151" s="549">
        <v>0</v>
      </c>
      <c r="O151" s="549">
        <v>0</v>
      </c>
      <c r="P151" s="72">
        <f t="shared" si="16"/>
        <v>3175.92</v>
      </c>
      <c r="Q151" s="72">
        <f>IFERROR(IF(D151=20250,O151/(#REF!/30),O151/(I151/30)),0)</f>
        <v>0</v>
      </c>
      <c r="R151" s="72">
        <f t="shared" si="17"/>
        <v>0</v>
      </c>
      <c r="AC151"/>
      <c r="AD151"/>
      <c r="AE151"/>
      <c r="AF151"/>
      <c r="AG151"/>
      <c r="AH151"/>
      <c r="AI151"/>
      <c r="AJ151"/>
    </row>
    <row r="152" spans="1:36" ht="15">
      <c r="A152" s="352" t="str">
        <f t="shared" si="13"/>
        <v>410525885</v>
      </c>
      <c r="B152" s="509" t="s">
        <v>152</v>
      </c>
      <c r="C152" s="69" t="str">
        <f>_xlfn.XLOOKUP(B:B,Master!A:A,Master!B:B)</f>
        <v>RPSPL-NG</v>
      </c>
      <c r="D152" s="509" t="s">
        <v>1037</v>
      </c>
      <c r="E152" s="69" t="str">
        <f t="shared" si="14"/>
        <v>410525885</v>
      </c>
      <c r="F152" s="509" t="s">
        <v>1038</v>
      </c>
      <c r="G152" s="70" t="str">
        <f>VLOOKUP(D152,Master!C:G,4,)</f>
        <v>T&amp;I</v>
      </c>
      <c r="H152" s="69" t="str">
        <f>VLOOKUP(D152,Master!C:G,5,)</f>
        <v>T&amp;I EX UF</v>
      </c>
      <c r="I152" s="549">
        <v>2320.92</v>
      </c>
      <c r="J152" s="549">
        <v>528</v>
      </c>
      <c r="K152" s="71">
        <f t="shared" si="15"/>
        <v>0.22749599296830567</v>
      </c>
      <c r="L152" s="549">
        <v>0</v>
      </c>
      <c r="M152" s="511"/>
      <c r="N152" s="549">
        <v>2916</v>
      </c>
      <c r="O152" s="549">
        <v>2916</v>
      </c>
      <c r="P152" s="72">
        <f t="shared" si="16"/>
        <v>-1123.08</v>
      </c>
      <c r="Q152" s="72">
        <f>IFERROR(IF(D152=20250,O152/(#REF!/30),O152/(I152/30)),0)</f>
        <v>37.691949744067003</v>
      </c>
      <c r="R152" s="72">
        <f t="shared" si="17"/>
        <v>37.691949744067003</v>
      </c>
      <c r="AC152"/>
      <c r="AD152"/>
      <c r="AE152"/>
      <c r="AF152"/>
      <c r="AG152"/>
      <c r="AH152"/>
      <c r="AI152"/>
      <c r="AJ152"/>
    </row>
    <row r="153" spans="1:36" ht="15">
      <c r="A153" s="352" t="str">
        <f t="shared" si="13"/>
        <v>410526744</v>
      </c>
      <c r="B153" s="509" t="s">
        <v>152</v>
      </c>
      <c r="C153" s="69" t="str">
        <f>_xlfn.XLOOKUP(B:B,Master!A:A,Master!B:B)</f>
        <v>RPSPL-NG</v>
      </c>
      <c r="D153" s="509" t="s">
        <v>1231</v>
      </c>
      <c r="E153" s="69" t="str">
        <f t="shared" si="14"/>
        <v>410526744</v>
      </c>
      <c r="F153" s="509" t="s">
        <v>1236</v>
      </c>
      <c r="G153" s="70" t="str">
        <f>VLOOKUP(D153,Master!C:G,4,)</f>
        <v>NFL</v>
      </c>
      <c r="H153" s="69" t="str">
        <f>VLOOKUP(D153,Master!C:G,5,)</f>
        <v>PF MFG</v>
      </c>
      <c r="I153" s="549">
        <v>0</v>
      </c>
      <c r="J153" s="549">
        <v>0</v>
      </c>
      <c r="K153" s="71">
        <f t="shared" si="15"/>
        <v>0</v>
      </c>
      <c r="L153" s="549">
        <v>0</v>
      </c>
      <c r="M153" s="511"/>
      <c r="N153" s="549">
        <v>48</v>
      </c>
      <c r="O153" s="549">
        <v>48</v>
      </c>
      <c r="P153" s="72">
        <f t="shared" si="16"/>
        <v>-48</v>
      </c>
      <c r="Q153" s="72">
        <f>IFERROR(IF(D153=20250,O153/(#REF!/30),O153/(I153/30)),0)</f>
        <v>0</v>
      </c>
      <c r="R153" s="72">
        <f t="shared" si="17"/>
        <v>0</v>
      </c>
      <c r="AC153"/>
      <c r="AD153"/>
      <c r="AE153"/>
      <c r="AF153"/>
      <c r="AG153"/>
      <c r="AH153"/>
      <c r="AI153"/>
      <c r="AJ153"/>
    </row>
    <row r="154" spans="1:36" ht="15">
      <c r="A154" s="352" t="str">
        <f t="shared" si="13"/>
        <v>410526745</v>
      </c>
      <c r="B154" s="509" t="s">
        <v>152</v>
      </c>
      <c r="C154" s="69" t="str">
        <f>_xlfn.XLOOKUP(B:B,Master!A:A,Master!B:B)</f>
        <v>RPSPL-NG</v>
      </c>
      <c r="D154" s="509" t="s">
        <v>1232</v>
      </c>
      <c r="E154" s="69" t="str">
        <f t="shared" si="14"/>
        <v>410526745</v>
      </c>
      <c r="F154" s="509" t="s">
        <v>1237</v>
      </c>
      <c r="G154" s="70" t="str">
        <f>VLOOKUP(D154,Master!C:G,4,)</f>
        <v>NFL</v>
      </c>
      <c r="H154" s="69" t="str">
        <f>VLOOKUP(D154,Master!C:G,5,)</f>
        <v>PF MFG</v>
      </c>
      <c r="I154" s="549">
        <v>0</v>
      </c>
      <c r="J154" s="549">
        <v>0</v>
      </c>
      <c r="K154" s="71">
        <f t="shared" si="15"/>
        <v>0</v>
      </c>
      <c r="L154" s="549">
        <v>0</v>
      </c>
      <c r="M154" s="511"/>
      <c r="N154" s="549">
        <v>192</v>
      </c>
      <c r="O154" s="549">
        <v>192</v>
      </c>
      <c r="P154" s="72">
        <f t="shared" si="16"/>
        <v>-192</v>
      </c>
      <c r="Q154" s="72">
        <f>IFERROR(IF(D154=20250,O154/(#REF!/30),O154/(I154/30)),0)</f>
        <v>0</v>
      </c>
      <c r="R154" s="72">
        <f t="shared" si="17"/>
        <v>0</v>
      </c>
      <c r="AC154"/>
      <c r="AD154"/>
      <c r="AE154"/>
      <c r="AF154"/>
      <c r="AG154"/>
      <c r="AH154"/>
      <c r="AI154"/>
      <c r="AJ154"/>
    </row>
    <row r="155" spans="1:36" ht="15">
      <c r="A155" s="352" t="str">
        <f t="shared" si="13"/>
        <v>410504145</v>
      </c>
      <c r="B155" s="509" t="s">
        <v>152</v>
      </c>
      <c r="C155" s="69" t="str">
        <f>_xlfn.XLOOKUP(B:B,Master!A:A,Master!B:B)</f>
        <v>RPSPL-NG</v>
      </c>
      <c r="D155" s="509" t="s">
        <v>34</v>
      </c>
      <c r="E155" s="69" t="str">
        <f t="shared" si="14"/>
        <v>410504145</v>
      </c>
      <c r="F155" s="509" t="s">
        <v>35</v>
      </c>
      <c r="G155" s="70" t="str">
        <f>VLOOKUP(D155,Master!C:G,4,)</f>
        <v>NGL</v>
      </c>
      <c r="H155" s="69" t="str">
        <f>VLOOKUP(D155,Master!C:G,5,)</f>
        <v>UF-Dry</v>
      </c>
      <c r="I155" s="549">
        <v>240.48</v>
      </c>
      <c r="J155" s="549">
        <v>117</v>
      </c>
      <c r="K155" s="71">
        <f t="shared" si="15"/>
        <v>0.48652694610778446</v>
      </c>
      <c r="L155" s="549">
        <v>0</v>
      </c>
      <c r="M155" s="511"/>
      <c r="N155" s="549">
        <v>324</v>
      </c>
      <c r="O155" s="549">
        <v>324</v>
      </c>
      <c r="P155" s="72">
        <f t="shared" si="16"/>
        <v>-200.52</v>
      </c>
      <c r="Q155" s="72">
        <f>IFERROR(IF(D155=20250,O155/(#REF!/30),O155/(I155/30)),0)</f>
        <v>40.419161676646709</v>
      </c>
      <c r="R155" s="72">
        <f t="shared" si="17"/>
        <v>40.419161676646709</v>
      </c>
      <c r="AC155"/>
      <c r="AD155"/>
      <c r="AE155"/>
      <c r="AF155"/>
      <c r="AG155"/>
      <c r="AH155"/>
      <c r="AI155"/>
      <c r="AJ155"/>
    </row>
    <row r="156" spans="1:36" ht="15">
      <c r="A156" s="352" t="str">
        <f t="shared" si="13"/>
        <v>410514248</v>
      </c>
      <c r="B156" s="509" t="s">
        <v>152</v>
      </c>
      <c r="C156" s="69" t="str">
        <f>_xlfn.XLOOKUP(B:B,Master!A:A,Master!B:B)</f>
        <v>RPSPL-NG</v>
      </c>
      <c r="D156" s="509" t="s">
        <v>41</v>
      </c>
      <c r="E156" s="69" t="str">
        <f t="shared" si="14"/>
        <v>410514248</v>
      </c>
      <c r="F156" s="509" t="s">
        <v>42</v>
      </c>
      <c r="G156" s="70" t="str">
        <f>VLOOKUP(D156,Master!C:G,4,)</f>
        <v>NGL</v>
      </c>
      <c r="H156" s="69" t="str">
        <f>VLOOKUP(D156,Master!C:G,5,)</f>
        <v>UF-Dry</v>
      </c>
      <c r="I156" s="549">
        <v>1076.8</v>
      </c>
      <c r="J156" s="549">
        <v>800</v>
      </c>
      <c r="K156" s="71">
        <f t="shared" si="15"/>
        <v>0.74294205052005946</v>
      </c>
      <c r="L156" s="549">
        <v>0</v>
      </c>
      <c r="M156" s="511"/>
      <c r="N156" s="549">
        <v>480</v>
      </c>
      <c r="O156" s="549">
        <v>480</v>
      </c>
      <c r="P156" s="72">
        <f t="shared" si="16"/>
        <v>-203.20000000000005</v>
      </c>
      <c r="Q156" s="72">
        <f>IFERROR(IF(D156=20250,O156/(#REF!/30),O156/(I156/30)),0)</f>
        <v>13.37295690936107</v>
      </c>
      <c r="R156" s="72">
        <f t="shared" si="17"/>
        <v>13.37295690936107</v>
      </c>
      <c r="AC156"/>
      <c r="AD156"/>
      <c r="AE156"/>
      <c r="AF156"/>
      <c r="AG156"/>
      <c r="AH156"/>
      <c r="AI156"/>
      <c r="AJ156"/>
    </row>
    <row r="157" spans="1:36" ht="15">
      <c r="A157" s="352" t="str">
        <f t="shared" si="13"/>
        <v>410515305</v>
      </c>
      <c r="B157" s="509" t="s">
        <v>152</v>
      </c>
      <c r="C157" s="69" t="str">
        <f>_xlfn.XLOOKUP(B:B,Master!A:A,Master!B:B)</f>
        <v>RPSPL-NG</v>
      </c>
      <c r="D157" s="509" t="s">
        <v>45</v>
      </c>
      <c r="E157" s="69" t="str">
        <f t="shared" si="14"/>
        <v>410515305</v>
      </c>
      <c r="F157" s="509" t="s">
        <v>46</v>
      </c>
      <c r="G157" s="70" t="str">
        <f>VLOOKUP(D157,Master!C:G,4,)</f>
        <v>NGL</v>
      </c>
      <c r="H157" s="69" t="str">
        <f>VLOOKUP(D157,Master!C:G,5,)</f>
        <v>UF-Dry</v>
      </c>
      <c r="I157" s="549">
        <v>73.17</v>
      </c>
      <c r="J157" s="549">
        <v>36</v>
      </c>
      <c r="K157" s="71">
        <f t="shared" si="15"/>
        <v>0.49200492004920049</v>
      </c>
      <c r="L157" s="549">
        <v>0</v>
      </c>
      <c r="M157" s="511"/>
      <c r="N157" s="549">
        <v>99</v>
      </c>
      <c r="O157" s="549">
        <v>99</v>
      </c>
      <c r="P157" s="72">
        <f t="shared" si="16"/>
        <v>-61.83</v>
      </c>
      <c r="Q157" s="72">
        <f>IFERROR(IF(D157=20250,O157/(#REF!/30),O157/(I157/30)),0)</f>
        <v>40.59040590405904</v>
      </c>
      <c r="R157" s="72">
        <f t="shared" si="17"/>
        <v>40.59040590405904</v>
      </c>
      <c r="AC157"/>
      <c r="AD157"/>
      <c r="AE157"/>
      <c r="AF157"/>
      <c r="AG157"/>
      <c r="AH157"/>
      <c r="AI157"/>
      <c r="AJ157"/>
    </row>
    <row r="158" spans="1:36" ht="15">
      <c r="A158" s="352" t="str">
        <f t="shared" si="13"/>
        <v>410515312</v>
      </c>
      <c r="B158" s="509" t="s">
        <v>152</v>
      </c>
      <c r="C158" s="69" t="str">
        <f>_xlfn.XLOOKUP(B:B,Master!A:A,Master!B:B)</f>
        <v>RPSPL-NG</v>
      </c>
      <c r="D158" s="509" t="s">
        <v>47</v>
      </c>
      <c r="E158" s="69" t="str">
        <f t="shared" si="14"/>
        <v>410515312</v>
      </c>
      <c r="F158" s="509" t="s">
        <v>48</v>
      </c>
      <c r="G158" s="70" t="str">
        <f>VLOOKUP(D158,Master!C:G,4,)</f>
        <v>NGL</v>
      </c>
      <c r="H158" s="69" t="str">
        <f>VLOOKUP(D158,Master!C:G,5,)</f>
        <v>UF-Dry</v>
      </c>
      <c r="I158" s="549">
        <v>16.739999999999998</v>
      </c>
      <c r="J158" s="549">
        <v>9</v>
      </c>
      <c r="K158" s="71">
        <f t="shared" si="15"/>
        <v>0.53763440860215062</v>
      </c>
      <c r="L158" s="549">
        <v>0</v>
      </c>
      <c r="M158" s="511"/>
      <c r="N158" s="549">
        <v>36</v>
      </c>
      <c r="O158" s="549">
        <v>36</v>
      </c>
      <c r="P158" s="72">
        <f t="shared" si="16"/>
        <v>-28.26</v>
      </c>
      <c r="Q158" s="72">
        <f>IFERROR(IF(D158=20250,O158/(#REF!/30),O158/(I158/30)),0)</f>
        <v>64.516129032258078</v>
      </c>
      <c r="R158" s="72">
        <f t="shared" si="17"/>
        <v>64.516129032258078</v>
      </c>
      <c r="AC158"/>
      <c r="AD158"/>
      <c r="AE158"/>
      <c r="AF158"/>
      <c r="AG158"/>
      <c r="AH158"/>
      <c r="AI158"/>
      <c r="AJ158"/>
    </row>
    <row r="159" spans="1:36" ht="15">
      <c r="A159" s="352" t="str">
        <f t="shared" si="13"/>
        <v>410516407</v>
      </c>
      <c r="B159" s="509" t="s">
        <v>152</v>
      </c>
      <c r="C159" s="69" t="str">
        <f>_xlfn.XLOOKUP(B:B,Master!A:A,Master!B:B)</f>
        <v>RPSPL-NG</v>
      </c>
      <c r="D159" s="509" t="s">
        <v>49</v>
      </c>
      <c r="E159" s="69" t="str">
        <f t="shared" si="14"/>
        <v>410516407</v>
      </c>
      <c r="F159" s="509" t="s">
        <v>50</v>
      </c>
      <c r="G159" s="70" t="str">
        <f>VLOOKUP(D159,Master!C:G,4,)</f>
        <v>NGL</v>
      </c>
      <c r="H159" s="69" t="str">
        <f>VLOOKUP(D159,Master!C:G,5,)</f>
        <v>UF-Dry</v>
      </c>
      <c r="I159" s="549">
        <v>668.07</v>
      </c>
      <c r="J159" s="549">
        <v>360</v>
      </c>
      <c r="K159" s="71">
        <f t="shared" si="15"/>
        <v>0.5388656877273339</v>
      </c>
      <c r="L159" s="549">
        <v>0</v>
      </c>
      <c r="M159" s="511"/>
      <c r="N159" s="549">
        <v>486</v>
      </c>
      <c r="O159" s="549">
        <v>486</v>
      </c>
      <c r="P159" s="72">
        <f t="shared" si="16"/>
        <v>-177.92999999999995</v>
      </c>
      <c r="Q159" s="72">
        <f>IFERROR(IF(D159=20250,O159/(#REF!/30),O159/(I159/30)),0)</f>
        <v>21.824060352957023</v>
      </c>
      <c r="R159" s="72">
        <f t="shared" si="17"/>
        <v>21.824060352957023</v>
      </c>
      <c r="AC159"/>
      <c r="AD159"/>
      <c r="AE159"/>
      <c r="AF159"/>
      <c r="AG159"/>
      <c r="AH159"/>
      <c r="AI159"/>
      <c r="AJ159"/>
    </row>
    <row r="160" spans="1:36" ht="15">
      <c r="A160" s="352" t="str">
        <f t="shared" si="13"/>
        <v>410500189</v>
      </c>
      <c r="B160" s="509" t="s">
        <v>152</v>
      </c>
      <c r="C160" s="69" t="str">
        <f>_xlfn.XLOOKUP(B:B,Master!A:A,Master!B:B)</f>
        <v>RPSPL-NG</v>
      </c>
      <c r="D160" s="509" t="s">
        <v>51</v>
      </c>
      <c r="E160" s="69" t="str">
        <f t="shared" si="14"/>
        <v>410500189</v>
      </c>
      <c r="F160" s="509" t="s">
        <v>903</v>
      </c>
      <c r="G160" s="70" t="str">
        <f>VLOOKUP(D160,Master!C:G,4,)</f>
        <v>T&amp;I</v>
      </c>
      <c r="H160" s="69" t="str">
        <f>VLOOKUP(D160,Master!C:G,5,)</f>
        <v>T&amp;I Comm-UF</v>
      </c>
      <c r="I160" s="549">
        <v>23215.200000000001</v>
      </c>
      <c r="J160" s="549">
        <v>16884</v>
      </c>
      <c r="K160" s="71">
        <f t="shared" si="15"/>
        <v>0.72728212550398008</v>
      </c>
      <c r="L160" s="549">
        <v>0</v>
      </c>
      <c r="M160" s="511"/>
      <c r="N160" s="549">
        <v>10080</v>
      </c>
      <c r="O160" s="549">
        <v>10080</v>
      </c>
      <c r="P160" s="72">
        <f t="shared" si="16"/>
        <v>-3748.7999999999993</v>
      </c>
      <c r="Q160" s="72">
        <f>IFERROR(IF(D160=20250,O160/(#REF!/30),O160/(I160/30)),0)</f>
        <v>13.025948516489196</v>
      </c>
      <c r="R160" s="72">
        <f t="shared" si="17"/>
        <v>13.025948516489196</v>
      </c>
      <c r="AC160"/>
      <c r="AD160"/>
      <c r="AE160"/>
      <c r="AF160"/>
      <c r="AG160"/>
      <c r="AH160"/>
      <c r="AI160"/>
      <c r="AJ160"/>
    </row>
    <row r="161" spans="1:36" ht="15">
      <c r="A161" s="352" t="str">
        <f t="shared" si="13"/>
        <v>410501167</v>
      </c>
      <c r="B161" s="509" t="s">
        <v>152</v>
      </c>
      <c r="C161" s="69" t="str">
        <f>_xlfn.XLOOKUP(B:B,Master!A:A,Master!B:B)</f>
        <v>RPSPL-NG</v>
      </c>
      <c r="D161" s="509" t="s">
        <v>53</v>
      </c>
      <c r="E161" s="69" t="str">
        <f t="shared" si="14"/>
        <v>410501167</v>
      </c>
      <c r="F161" s="509" t="s">
        <v>54</v>
      </c>
      <c r="G161" s="70" t="str">
        <f>VLOOKUP(D161,Master!C:G,4,)</f>
        <v>T&amp;I</v>
      </c>
      <c r="H161" s="69" t="str">
        <f>VLOOKUP(D161,Master!C:G,5,)</f>
        <v>T&amp;I EX UF</v>
      </c>
      <c r="I161" s="549">
        <v>5920.8</v>
      </c>
      <c r="J161" s="549">
        <v>5148</v>
      </c>
      <c r="K161" s="71">
        <f t="shared" si="15"/>
        <v>0.86947709768950143</v>
      </c>
      <c r="L161" s="549">
        <v>0</v>
      </c>
      <c r="M161" s="511"/>
      <c r="N161" s="549">
        <v>5124</v>
      </c>
      <c r="O161" s="549">
        <v>5124</v>
      </c>
      <c r="P161" s="72">
        <f t="shared" si="16"/>
        <v>-4351.2</v>
      </c>
      <c r="Q161" s="72">
        <f>IFERROR(IF(D161=20250,O161/(#REF!/30),O161/(I161/30)),0)</f>
        <v>25.962707742196997</v>
      </c>
      <c r="R161" s="72">
        <f t="shared" si="17"/>
        <v>25.962707742196997</v>
      </c>
      <c r="AC161"/>
      <c r="AD161"/>
      <c r="AE161"/>
      <c r="AF161"/>
      <c r="AG161"/>
      <c r="AH161"/>
      <c r="AI161"/>
      <c r="AJ161"/>
    </row>
    <row r="162" spans="1:36" ht="15">
      <c r="A162" s="352" t="str">
        <f t="shared" si="13"/>
        <v>410501296</v>
      </c>
      <c r="B162" s="509" t="s">
        <v>152</v>
      </c>
      <c r="C162" s="69" t="str">
        <f>_xlfn.XLOOKUP(B:B,Master!A:A,Master!B:B)</f>
        <v>RPSPL-NG</v>
      </c>
      <c r="D162" s="509" t="s">
        <v>15</v>
      </c>
      <c r="E162" s="69" t="str">
        <f t="shared" si="14"/>
        <v>410501296</v>
      </c>
      <c r="F162" s="509" t="s">
        <v>16</v>
      </c>
      <c r="G162" s="70" t="str">
        <f>VLOOKUP(D162,Master!C:G,4,)</f>
        <v>T&amp;I</v>
      </c>
      <c r="H162" s="69" t="str">
        <f>VLOOKUP(D162,Master!C:G,5,)</f>
        <v>T&amp;I EX HP 2 KG</v>
      </c>
      <c r="I162" s="549">
        <v>2415</v>
      </c>
      <c r="J162" s="549">
        <v>2184</v>
      </c>
      <c r="K162" s="71">
        <f t="shared" si="15"/>
        <v>0.90434782608695652</v>
      </c>
      <c r="L162" s="549">
        <v>0</v>
      </c>
      <c r="M162" s="511"/>
      <c r="N162" s="549">
        <v>2196</v>
      </c>
      <c r="O162" s="549">
        <v>2196</v>
      </c>
      <c r="P162" s="72">
        <f t="shared" si="16"/>
        <v>-1965</v>
      </c>
      <c r="Q162" s="72">
        <f>IFERROR(IF(D162=20250,O162/(#REF!/30),O162/(I162/30)),0)</f>
        <v>27.279503105590063</v>
      </c>
      <c r="R162" s="72">
        <f t="shared" si="17"/>
        <v>27.279503105590063</v>
      </c>
      <c r="AC162"/>
      <c r="AD162"/>
      <c r="AE162"/>
      <c r="AF162"/>
      <c r="AG162"/>
      <c r="AH162"/>
      <c r="AI162"/>
      <c r="AJ162"/>
    </row>
    <row r="163" spans="1:36" ht="15">
      <c r="A163" s="352" t="str">
        <f t="shared" si="13"/>
        <v>410502122</v>
      </c>
      <c r="B163" s="509" t="s">
        <v>152</v>
      </c>
      <c r="C163" s="69" t="str">
        <f>_xlfn.XLOOKUP(B:B,Master!A:A,Master!B:B)</f>
        <v>RPSPL-NG</v>
      </c>
      <c r="D163" s="509" t="s">
        <v>55</v>
      </c>
      <c r="E163" s="69" t="str">
        <f t="shared" si="14"/>
        <v>410502122</v>
      </c>
      <c r="F163" s="509" t="s">
        <v>56</v>
      </c>
      <c r="G163" s="70" t="str">
        <f>VLOOKUP(D163,Master!C:G,4,)</f>
        <v>T&amp;I</v>
      </c>
      <c r="H163" s="69" t="str">
        <f>VLOOKUP(D163,Master!C:G,5,)</f>
        <v>T&amp;I EX HP 2 KG</v>
      </c>
      <c r="I163" s="549">
        <v>5621.88</v>
      </c>
      <c r="J163" s="549">
        <v>912</v>
      </c>
      <c r="K163" s="71">
        <f t="shared" si="15"/>
        <v>0.16222331319772032</v>
      </c>
      <c r="L163" s="549">
        <v>0</v>
      </c>
      <c r="M163" s="511"/>
      <c r="N163" s="549">
        <v>7392</v>
      </c>
      <c r="O163" s="549">
        <v>7392</v>
      </c>
      <c r="P163" s="72">
        <f t="shared" si="16"/>
        <v>-2682.12</v>
      </c>
      <c r="Q163" s="72">
        <f>IFERROR(IF(D163=20250,O163/(#REF!/30),O163/(I163/30)),0)</f>
        <v>39.445879314393046</v>
      </c>
      <c r="R163" s="72">
        <f t="shared" si="17"/>
        <v>39.445879314393046</v>
      </c>
      <c r="AC163"/>
      <c r="AD163"/>
      <c r="AE163"/>
      <c r="AF163"/>
      <c r="AG163"/>
      <c r="AH163"/>
      <c r="AI163"/>
      <c r="AJ163"/>
    </row>
    <row r="164" spans="1:36" ht="15">
      <c r="A164" s="352" t="str">
        <f t="shared" si="13"/>
        <v>410505159</v>
      </c>
      <c r="B164" s="509" t="s">
        <v>152</v>
      </c>
      <c r="C164" s="69" t="str">
        <f>_xlfn.XLOOKUP(B:B,Master!A:A,Master!B:B)</f>
        <v>RPSPL-NG</v>
      </c>
      <c r="D164" s="509" t="s">
        <v>57</v>
      </c>
      <c r="E164" s="69" t="str">
        <f t="shared" si="14"/>
        <v>410505159</v>
      </c>
      <c r="F164" s="509" t="s">
        <v>58</v>
      </c>
      <c r="G164" s="70" t="str">
        <f>VLOOKUP(D164,Master!C:G,4,)</f>
        <v>T&amp;I</v>
      </c>
      <c r="H164" s="69" t="str">
        <f>VLOOKUP(D164,Master!C:G,5,)</f>
        <v>T&amp;I EX HP</v>
      </c>
      <c r="I164" s="549">
        <v>34.56</v>
      </c>
      <c r="J164" s="549">
        <v>0</v>
      </c>
      <c r="K164" s="71">
        <f t="shared" si="15"/>
        <v>0</v>
      </c>
      <c r="L164" s="549">
        <v>0</v>
      </c>
      <c r="M164" s="511"/>
      <c r="N164" s="549">
        <v>36</v>
      </c>
      <c r="O164" s="549">
        <v>36</v>
      </c>
      <c r="P164" s="72">
        <f t="shared" si="16"/>
        <v>-1.4399999999999977</v>
      </c>
      <c r="Q164" s="72">
        <f>IFERROR(IF(D164=20250,O164/(#REF!/30),O164/(I164/30)),0)</f>
        <v>31.249999999999996</v>
      </c>
      <c r="R164" s="72">
        <f t="shared" si="17"/>
        <v>31.249999999999996</v>
      </c>
      <c r="AC164"/>
      <c r="AD164"/>
      <c r="AE164"/>
      <c r="AF164"/>
      <c r="AG164"/>
      <c r="AH164"/>
      <c r="AI164"/>
      <c r="AJ164"/>
    </row>
    <row r="165" spans="1:36" ht="15">
      <c r="A165" s="352" t="str">
        <f t="shared" si="13"/>
        <v>410506982</v>
      </c>
      <c r="B165" s="509" t="s">
        <v>152</v>
      </c>
      <c r="C165" s="69" t="str">
        <f>_xlfn.XLOOKUP(B:B,Master!A:A,Master!B:B)</f>
        <v>RPSPL-NG</v>
      </c>
      <c r="D165" s="509" t="s">
        <v>59</v>
      </c>
      <c r="E165" s="69" t="str">
        <f t="shared" si="14"/>
        <v>410506982</v>
      </c>
      <c r="F165" s="509" t="s">
        <v>60</v>
      </c>
      <c r="G165" s="70" t="str">
        <f>VLOOKUP(D165,Master!C:G,4,)</f>
        <v>T&amp;I</v>
      </c>
      <c r="H165" s="69" t="str">
        <f>VLOOKUP(D165,Master!C:G,5,)</f>
        <v>T&amp;I Comm-UF</v>
      </c>
      <c r="I165" s="549">
        <v>8971.32</v>
      </c>
      <c r="J165" s="549">
        <v>4716</v>
      </c>
      <c r="K165" s="71">
        <f t="shared" si="15"/>
        <v>0.52567515148272492</v>
      </c>
      <c r="L165" s="549">
        <v>0</v>
      </c>
      <c r="M165" s="511"/>
      <c r="N165" s="549">
        <v>11364</v>
      </c>
      <c r="O165" s="549">
        <v>11364</v>
      </c>
      <c r="P165" s="72">
        <f t="shared" si="16"/>
        <v>-7108.68</v>
      </c>
      <c r="Q165" s="72">
        <f>IFERROR(IF(D165=20250,O165/(#REF!/30),O165/(I165/30)),0)</f>
        <v>38.00109682856035</v>
      </c>
      <c r="R165" s="72">
        <f t="shared" si="17"/>
        <v>38.00109682856035</v>
      </c>
      <c r="AC165"/>
      <c r="AD165"/>
      <c r="AE165"/>
      <c r="AF165"/>
      <c r="AG165"/>
      <c r="AH165"/>
      <c r="AI165"/>
      <c r="AJ165"/>
    </row>
    <row r="166" spans="1:36" ht="15">
      <c r="A166" s="352" t="str">
        <f t="shared" si="13"/>
        <v>410507310</v>
      </c>
      <c r="B166" s="509" t="s">
        <v>152</v>
      </c>
      <c r="C166" s="69" t="str">
        <f>_xlfn.XLOOKUP(B:B,Master!A:A,Master!B:B)</f>
        <v>RPSPL-NG</v>
      </c>
      <c r="D166" s="509" t="s">
        <v>19</v>
      </c>
      <c r="E166" s="69" t="str">
        <f t="shared" si="14"/>
        <v>410507310</v>
      </c>
      <c r="F166" s="509" t="s">
        <v>20</v>
      </c>
      <c r="G166" s="70" t="str">
        <f>VLOOKUP(D166,Master!C:G,4,)</f>
        <v>T&amp;I</v>
      </c>
      <c r="H166" s="69" t="str">
        <f>VLOOKUP(D166,Master!C:G,5,)</f>
        <v>T&amp;I Comm -HP</v>
      </c>
      <c r="I166" s="549">
        <v>13513.32</v>
      </c>
      <c r="J166" s="549">
        <v>6612</v>
      </c>
      <c r="K166" s="71">
        <f t="shared" si="15"/>
        <v>0.48929500670449599</v>
      </c>
      <c r="L166" s="549">
        <v>4920</v>
      </c>
      <c r="M166" s="511">
        <v>46165</v>
      </c>
      <c r="N166" s="549">
        <v>16572</v>
      </c>
      <c r="O166" s="549">
        <v>21492</v>
      </c>
      <c r="P166" s="72">
        <f t="shared" si="16"/>
        <v>-14590.68</v>
      </c>
      <c r="Q166" s="72">
        <f>IFERROR(IF(D166=20250,O166/(#REF!/30),O166/(I166/30)),0)</f>
        <v>47.712923249060928</v>
      </c>
      <c r="R166" s="72">
        <f t="shared" si="17"/>
        <v>36.790366838053117</v>
      </c>
      <c r="AC166"/>
      <c r="AD166"/>
      <c r="AE166"/>
      <c r="AF166"/>
      <c r="AG166"/>
      <c r="AH166"/>
      <c r="AI166"/>
      <c r="AJ166"/>
    </row>
    <row r="167" spans="1:36" ht="15">
      <c r="A167" s="352" t="str">
        <f t="shared" si="13"/>
        <v>410508529</v>
      </c>
      <c r="B167" s="509" t="s">
        <v>152</v>
      </c>
      <c r="C167" s="69" t="str">
        <f>_xlfn.XLOOKUP(B:B,Master!A:A,Master!B:B)</f>
        <v>RPSPL-NG</v>
      </c>
      <c r="D167" s="509" t="s">
        <v>61</v>
      </c>
      <c r="E167" s="69" t="str">
        <f t="shared" si="14"/>
        <v>410508529</v>
      </c>
      <c r="F167" s="509" t="s">
        <v>62</v>
      </c>
      <c r="G167" s="70" t="str">
        <f>VLOOKUP(D167,Master!C:G,4,)</f>
        <v>T&amp;I</v>
      </c>
      <c r="H167" s="69" t="str">
        <f>VLOOKUP(D167,Master!C:G,5,)</f>
        <v>T&amp;I EX HP 2 KG</v>
      </c>
      <c r="I167" s="549">
        <v>8263.56</v>
      </c>
      <c r="J167" s="549">
        <v>4524</v>
      </c>
      <c r="K167" s="71">
        <f t="shared" si="15"/>
        <v>0.54746380494605229</v>
      </c>
      <c r="L167" s="549">
        <v>0</v>
      </c>
      <c r="M167" s="511"/>
      <c r="N167" s="549">
        <v>10500</v>
      </c>
      <c r="O167" s="549">
        <v>10500</v>
      </c>
      <c r="P167" s="72">
        <f t="shared" si="16"/>
        <v>-6760.4400000000005</v>
      </c>
      <c r="Q167" s="72">
        <f>IFERROR(IF(D167=20250,O167/(#REF!/30),O167/(I167/30)),0)</f>
        <v>38.11916413749038</v>
      </c>
      <c r="R167" s="72">
        <f t="shared" si="17"/>
        <v>38.11916413749038</v>
      </c>
      <c r="AC167"/>
      <c r="AD167"/>
      <c r="AE167"/>
      <c r="AF167"/>
      <c r="AG167"/>
      <c r="AH167"/>
      <c r="AI167"/>
      <c r="AJ167"/>
    </row>
    <row r="168" spans="1:36" ht="15">
      <c r="A168" s="352" t="str">
        <f t="shared" si="13"/>
        <v>410513179</v>
      </c>
      <c r="B168" s="509" t="s">
        <v>152</v>
      </c>
      <c r="C168" s="69" t="str">
        <f>_xlfn.XLOOKUP(B:B,Master!A:A,Master!B:B)</f>
        <v>RPSPL-NG</v>
      </c>
      <c r="D168" s="509" t="s">
        <v>22</v>
      </c>
      <c r="E168" s="69" t="str">
        <f t="shared" si="14"/>
        <v>410513179</v>
      </c>
      <c r="F168" s="509" t="s">
        <v>23</v>
      </c>
      <c r="G168" s="70" t="str">
        <f>VLOOKUP(D168,Master!C:G,4,)</f>
        <v>T&amp;I</v>
      </c>
      <c r="H168" s="69" t="str">
        <f>VLOOKUP(D168,Master!C:G,5,)</f>
        <v>T&amp;I EX HP 2 KG</v>
      </c>
      <c r="I168" s="549">
        <v>16975.560000000001</v>
      </c>
      <c r="J168" s="549">
        <v>8736</v>
      </c>
      <c r="K168" s="71">
        <f t="shared" si="15"/>
        <v>0.5146221980305804</v>
      </c>
      <c r="L168" s="549">
        <v>0</v>
      </c>
      <c r="M168" s="511"/>
      <c r="N168" s="549">
        <v>17244</v>
      </c>
      <c r="O168" s="549">
        <v>17244</v>
      </c>
      <c r="P168" s="72">
        <f t="shared" si="16"/>
        <v>-9004.4399999999987</v>
      </c>
      <c r="Q168" s="72">
        <f>IFERROR(IF(D168=20250,O168/(#REF!/30),O168/(I168/30)),0)</f>
        <v>30.474399666343846</v>
      </c>
      <c r="R168" s="72">
        <f t="shared" si="17"/>
        <v>30.474399666343846</v>
      </c>
      <c r="AC168"/>
      <c r="AD168"/>
      <c r="AE168"/>
      <c r="AF168"/>
      <c r="AG168"/>
      <c r="AH168"/>
      <c r="AI168"/>
      <c r="AJ168"/>
    </row>
    <row r="169" spans="1:36" ht="15">
      <c r="A169" s="352" t="str">
        <f t="shared" si="13"/>
        <v>410513678</v>
      </c>
      <c r="B169" s="509" t="s">
        <v>152</v>
      </c>
      <c r="C169" s="69" t="str">
        <f>_xlfn.XLOOKUP(B:B,Master!A:A,Master!B:B)</f>
        <v>RPSPL-NG</v>
      </c>
      <c r="D169" s="509" t="s">
        <v>65</v>
      </c>
      <c r="E169" s="69" t="str">
        <f t="shared" si="14"/>
        <v>410513678</v>
      </c>
      <c r="F169" s="509" t="s">
        <v>66</v>
      </c>
      <c r="G169" s="70" t="str">
        <f>VLOOKUP(D169,Master!C:G,4,)</f>
        <v>T&amp;I</v>
      </c>
      <c r="H169" s="69" t="str">
        <f>VLOOKUP(D169,Master!C:G,5,)</f>
        <v>T&amp;I EX HP</v>
      </c>
      <c r="I169" s="549">
        <v>5385.36</v>
      </c>
      <c r="J169" s="549">
        <v>4176</v>
      </c>
      <c r="K169" s="71">
        <f t="shared" si="15"/>
        <v>0.77543562547350597</v>
      </c>
      <c r="L169" s="549">
        <v>0</v>
      </c>
      <c r="M169" s="511"/>
      <c r="N169" s="549">
        <v>6276</v>
      </c>
      <c r="O169" s="549">
        <v>6276</v>
      </c>
      <c r="P169" s="72">
        <f t="shared" si="16"/>
        <v>-5066.6400000000003</v>
      </c>
      <c r="Q169" s="72">
        <f>IFERROR(IF(D169=20250,O169/(#REF!/30),O169/(I169/30)),0)</f>
        <v>34.961451045055483</v>
      </c>
      <c r="R169" s="72">
        <f t="shared" si="17"/>
        <v>34.961451045055483</v>
      </c>
      <c r="AC169"/>
      <c r="AD169"/>
      <c r="AE169"/>
      <c r="AF169"/>
      <c r="AG169"/>
      <c r="AH169"/>
      <c r="AI169"/>
      <c r="AJ169"/>
    </row>
    <row r="170" spans="1:36" ht="15">
      <c r="A170" s="352" t="str">
        <f t="shared" si="13"/>
        <v>410514654</v>
      </c>
      <c r="B170" s="509" t="s">
        <v>152</v>
      </c>
      <c r="C170" s="69" t="str">
        <f>_xlfn.XLOOKUP(B:B,Master!A:A,Master!B:B)</f>
        <v>RPSPL-NG</v>
      </c>
      <c r="D170" s="509" t="s">
        <v>67</v>
      </c>
      <c r="E170" s="69" t="str">
        <f t="shared" si="14"/>
        <v>410514654</v>
      </c>
      <c r="F170" s="509" t="s">
        <v>68</v>
      </c>
      <c r="G170" s="70" t="str">
        <f>VLOOKUP(D170,Master!C:G,4,)</f>
        <v>T&amp;I</v>
      </c>
      <c r="H170" s="69" t="str">
        <f>VLOOKUP(D170,Master!C:G,5,)</f>
        <v>T&amp;I Comm-UF</v>
      </c>
      <c r="I170" s="549">
        <v>1682.52</v>
      </c>
      <c r="J170" s="549">
        <v>768</v>
      </c>
      <c r="K170" s="71">
        <f t="shared" si="15"/>
        <v>0.45645816988802512</v>
      </c>
      <c r="L170" s="549">
        <v>240</v>
      </c>
      <c r="M170" s="511">
        <v>46165</v>
      </c>
      <c r="N170" s="549">
        <v>1092</v>
      </c>
      <c r="O170" s="549">
        <v>1332</v>
      </c>
      <c r="P170" s="72">
        <f t="shared" si="16"/>
        <v>-417.48</v>
      </c>
      <c r="Q170" s="72">
        <f>IFERROR(IF(D170=20250,O170/(#REF!/30),O170/(I170/30)),0)</f>
        <v>23.750089151986309</v>
      </c>
      <c r="R170" s="72">
        <f t="shared" si="17"/>
        <v>19.470793809286072</v>
      </c>
      <c r="AC170"/>
      <c r="AD170"/>
      <c r="AE170"/>
      <c r="AF170"/>
      <c r="AG170"/>
      <c r="AH170"/>
      <c r="AI170"/>
      <c r="AJ170"/>
    </row>
    <row r="171" spans="1:36" ht="15">
      <c r="A171" s="352" t="str">
        <f t="shared" si="13"/>
        <v>410514788</v>
      </c>
      <c r="B171" s="509" t="s">
        <v>152</v>
      </c>
      <c r="C171" s="69" t="str">
        <f>_xlfn.XLOOKUP(B:B,Master!A:A,Master!B:B)</f>
        <v>RPSPL-NG</v>
      </c>
      <c r="D171" s="509" t="s">
        <v>69</v>
      </c>
      <c r="E171" s="69" t="str">
        <f t="shared" si="14"/>
        <v>410514788</v>
      </c>
      <c r="F171" s="509" t="s">
        <v>70</v>
      </c>
      <c r="G171" s="70" t="str">
        <f>VLOOKUP(D171,Master!C:G,4,)</f>
        <v>T&amp;I</v>
      </c>
      <c r="H171" s="69" t="str">
        <f>VLOOKUP(D171,Master!C:G,5,)</f>
        <v>T&amp;I EX HP</v>
      </c>
      <c r="I171" s="549">
        <v>34204.68</v>
      </c>
      <c r="J171" s="549">
        <v>16500</v>
      </c>
      <c r="K171" s="71">
        <f t="shared" si="15"/>
        <v>0.48239012907005707</v>
      </c>
      <c r="L171" s="549">
        <v>1200</v>
      </c>
      <c r="M171" s="511">
        <v>46165</v>
      </c>
      <c r="N171" s="549">
        <v>22512</v>
      </c>
      <c r="O171" s="549">
        <v>23712</v>
      </c>
      <c r="P171" s="72">
        <f t="shared" si="16"/>
        <v>-6007.32</v>
      </c>
      <c r="Q171" s="72">
        <f>IFERROR(IF(D171=20250,O171/(#REF!/30),O171/(I171/30)),0)</f>
        <v>20.797154073653079</v>
      </c>
      <c r="R171" s="72">
        <f t="shared" si="17"/>
        <v>19.744666519318411</v>
      </c>
      <c r="AC171"/>
      <c r="AD171"/>
      <c r="AE171"/>
      <c r="AF171"/>
      <c r="AG171"/>
      <c r="AH171"/>
      <c r="AI171"/>
      <c r="AJ171"/>
    </row>
    <row r="172" spans="1:36" ht="15">
      <c r="A172" s="352" t="str">
        <f t="shared" si="13"/>
        <v>410515536</v>
      </c>
      <c r="B172" s="509" t="s">
        <v>152</v>
      </c>
      <c r="C172" s="69" t="str">
        <f>_xlfn.XLOOKUP(B:B,Master!A:A,Master!B:B)</f>
        <v>RPSPL-NG</v>
      </c>
      <c r="D172" s="509" t="s">
        <v>71</v>
      </c>
      <c r="E172" s="69" t="str">
        <f t="shared" si="14"/>
        <v>410515536</v>
      </c>
      <c r="F172" s="509" t="s">
        <v>72</v>
      </c>
      <c r="G172" s="70" t="str">
        <f>VLOOKUP(D172,Master!C:G,4,)</f>
        <v>Ganache</v>
      </c>
      <c r="H172" s="69" t="str">
        <f>VLOOKUP(D172,Master!C:G,5,)</f>
        <v>Ganache- UF</v>
      </c>
      <c r="I172" s="549">
        <v>4407.3599999999997</v>
      </c>
      <c r="J172" s="549">
        <v>2400</v>
      </c>
      <c r="K172" s="71">
        <f t="shared" si="15"/>
        <v>0.54454367240252677</v>
      </c>
      <c r="L172" s="549">
        <v>2400</v>
      </c>
      <c r="M172" s="511">
        <v>46165</v>
      </c>
      <c r="N172" s="549">
        <v>4188</v>
      </c>
      <c r="O172" s="549">
        <v>6588</v>
      </c>
      <c r="P172" s="72">
        <f t="shared" si="16"/>
        <v>-4580.6400000000003</v>
      </c>
      <c r="Q172" s="72">
        <f>IFERROR(IF(D172=20250,O172/(#REF!/30),O172/(I172/30)),0)</f>
        <v>44.843171422348078</v>
      </c>
      <c r="R172" s="72">
        <f t="shared" si="17"/>
        <v>28.506861250272276</v>
      </c>
      <c r="AC172"/>
      <c r="AD172"/>
      <c r="AE172"/>
      <c r="AF172"/>
      <c r="AG172"/>
      <c r="AH172"/>
      <c r="AI172"/>
      <c r="AJ172"/>
    </row>
    <row r="173" spans="1:36" ht="15">
      <c r="A173" s="352" t="str">
        <f t="shared" si="13"/>
        <v>410515906</v>
      </c>
      <c r="B173" s="509" t="s">
        <v>152</v>
      </c>
      <c r="C173" s="69" t="str">
        <f>_xlfn.XLOOKUP(B:B,Master!A:A,Master!B:B)</f>
        <v>RPSPL-NG</v>
      </c>
      <c r="D173" s="509" t="s">
        <v>74</v>
      </c>
      <c r="E173" s="69" t="str">
        <f t="shared" si="14"/>
        <v>410515906</v>
      </c>
      <c r="F173" s="509" t="s">
        <v>75</v>
      </c>
      <c r="G173" s="70" t="str">
        <f>VLOOKUP(D173,Master!C:G,4,)</f>
        <v>T&amp;I</v>
      </c>
      <c r="H173" s="69" t="str">
        <f>VLOOKUP(D173,Master!C:G,5,)</f>
        <v>T&amp;I EX HP</v>
      </c>
      <c r="I173" s="549">
        <v>3875.88</v>
      </c>
      <c r="J173" s="549">
        <v>2424</v>
      </c>
      <c r="K173" s="71">
        <f t="shared" si="15"/>
        <v>0.62540635933001021</v>
      </c>
      <c r="L173" s="549">
        <v>0</v>
      </c>
      <c r="M173" s="511"/>
      <c r="N173" s="549">
        <v>4464</v>
      </c>
      <c r="O173" s="549">
        <v>4464</v>
      </c>
      <c r="P173" s="72">
        <f t="shared" si="16"/>
        <v>-3012.12</v>
      </c>
      <c r="Q173" s="72">
        <f>IFERROR(IF(D173=20250,O173/(#REF!/30),O173/(I173/30)),0)</f>
        <v>34.552153317440172</v>
      </c>
      <c r="R173" s="72">
        <f t="shared" si="17"/>
        <v>34.552153317440172</v>
      </c>
      <c r="AC173"/>
      <c r="AD173"/>
      <c r="AE173"/>
      <c r="AF173"/>
      <c r="AG173"/>
      <c r="AH173"/>
      <c r="AI173"/>
      <c r="AJ173"/>
    </row>
    <row r="174" spans="1:36" ht="15">
      <c r="A174" s="352" t="str">
        <f t="shared" si="13"/>
        <v>410516336</v>
      </c>
      <c r="B174" s="509" t="s">
        <v>152</v>
      </c>
      <c r="C174" s="69" t="str">
        <f>_xlfn.XLOOKUP(B:B,Master!A:A,Master!B:B)</f>
        <v>RPSPL-NG</v>
      </c>
      <c r="D174" s="509" t="s">
        <v>24</v>
      </c>
      <c r="E174" s="69" t="str">
        <f t="shared" si="14"/>
        <v>410516336</v>
      </c>
      <c r="F174" s="509" t="s">
        <v>25</v>
      </c>
      <c r="G174" s="70" t="str">
        <f>VLOOKUP(D174,Master!C:G,4,)</f>
        <v>T&amp;I</v>
      </c>
      <c r="H174" s="69" t="str">
        <f>VLOOKUP(D174,Master!C:G,5,)</f>
        <v>T&amp;I Comm-UF</v>
      </c>
      <c r="I174" s="549">
        <v>57035.88</v>
      </c>
      <c r="J174" s="549">
        <v>33648</v>
      </c>
      <c r="K174" s="71">
        <f t="shared" si="15"/>
        <v>0.58994443497671989</v>
      </c>
      <c r="L174" s="549">
        <v>12000</v>
      </c>
      <c r="M174" s="511">
        <v>46165</v>
      </c>
      <c r="N174" s="549">
        <v>44424</v>
      </c>
      <c r="O174" s="549">
        <v>56424</v>
      </c>
      <c r="P174" s="72">
        <f t="shared" si="16"/>
        <v>-33036.120000000003</v>
      </c>
      <c r="Q174" s="72">
        <f>IFERROR(IF(D174=20250,O174/(#REF!/30),O174/(I174/30)),0)</f>
        <v>29.67816048424255</v>
      </c>
      <c r="R174" s="72">
        <f t="shared" si="17"/>
        <v>23.366344132851111</v>
      </c>
      <c r="AC174"/>
      <c r="AD174"/>
      <c r="AE174"/>
      <c r="AF174"/>
      <c r="AG174"/>
      <c r="AH174"/>
      <c r="AI174"/>
      <c r="AJ174"/>
    </row>
    <row r="175" spans="1:36" ht="15">
      <c r="A175" s="352" t="str">
        <f t="shared" si="13"/>
        <v>410516984</v>
      </c>
      <c r="B175" s="509" t="s">
        <v>152</v>
      </c>
      <c r="C175" s="69" t="str">
        <f>_xlfn.XLOOKUP(B:B,Master!A:A,Master!B:B)</f>
        <v>RPSPL-NG</v>
      </c>
      <c r="D175" s="509" t="s">
        <v>78</v>
      </c>
      <c r="E175" s="69" t="str">
        <f t="shared" si="14"/>
        <v>410516984</v>
      </c>
      <c r="F175" s="509" t="s">
        <v>79</v>
      </c>
      <c r="G175" s="70" t="str">
        <f>VLOOKUP(D175,Master!C:G,4,)</f>
        <v>T&amp;I</v>
      </c>
      <c r="H175" s="69" t="str">
        <f>VLOOKUP(D175,Master!C:G,5,)</f>
        <v>T&amp;I EX HP</v>
      </c>
      <c r="I175" s="549">
        <v>64.319999999999993</v>
      </c>
      <c r="J175" s="549">
        <v>24</v>
      </c>
      <c r="K175" s="71">
        <f t="shared" si="15"/>
        <v>0.37313432835820898</v>
      </c>
      <c r="L175" s="549">
        <v>0</v>
      </c>
      <c r="M175" s="511"/>
      <c r="N175" s="549">
        <v>228</v>
      </c>
      <c r="O175" s="549">
        <v>228</v>
      </c>
      <c r="P175" s="72">
        <f t="shared" si="16"/>
        <v>-187.68</v>
      </c>
      <c r="Q175" s="72">
        <f>IFERROR(IF(D175=20250,O175/(#REF!/30),O175/(I175/30)),0)</f>
        <v>106.34328358208957</v>
      </c>
      <c r="R175" s="72">
        <f t="shared" si="17"/>
        <v>106.34328358208957</v>
      </c>
      <c r="AC175"/>
      <c r="AD175"/>
      <c r="AE175"/>
      <c r="AF175"/>
      <c r="AG175"/>
      <c r="AH175"/>
      <c r="AI175"/>
      <c r="AJ175"/>
    </row>
    <row r="176" spans="1:36" ht="15">
      <c r="A176" s="352" t="str">
        <f t="shared" si="13"/>
        <v>410516998</v>
      </c>
      <c r="B176" s="509" t="s">
        <v>152</v>
      </c>
      <c r="C176" s="69" t="str">
        <f>_xlfn.XLOOKUP(B:B,Master!A:A,Master!B:B)</f>
        <v>RPSPL-NG</v>
      </c>
      <c r="D176" s="509" t="s">
        <v>80</v>
      </c>
      <c r="E176" s="69" t="str">
        <f t="shared" si="14"/>
        <v>410516998</v>
      </c>
      <c r="F176" s="509" t="s">
        <v>81</v>
      </c>
      <c r="G176" s="70" t="str">
        <f>VLOOKUP(D176,Master!C:G,4,)</f>
        <v>T&amp;I</v>
      </c>
      <c r="H176" s="69" t="str">
        <f>VLOOKUP(D176,Master!C:G,5,)</f>
        <v>T&amp;I EX UF</v>
      </c>
      <c r="I176" s="549">
        <v>5804.04</v>
      </c>
      <c r="J176" s="549">
        <v>3084</v>
      </c>
      <c r="K176" s="71">
        <f t="shared" si="15"/>
        <v>0.53135402237062457</v>
      </c>
      <c r="L176" s="549">
        <v>1200</v>
      </c>
      <c r="M176" s="511">
        <v>46165</v>
      </c>
      <c r="N176" s="549">
        <v>7284</v>
      </c>
      <c r="O176" s="549">
        <v>8484</v>
      </c>
      <c r="P176" s="72">
        <f t="shared" si="16"/>
        <v>-5763.96</v>
      </c>
      <c r="Q176" s="72">
        <f>IFERROR(IF(D176=20250,O176/(#REF!/30),O176/(I176/30)),0)</f>
        <v>43.85221328591809</v>
      </c>
      <c r="R176" s="72">
        <f t="shared" si="17"/>
        <v>37.649637149296012</v>
      </c>
      <c r="AC176"/>
      <c r="AD176"/>
      <c r="AE176"/>
      <c r="AF176"/>
      <c r="AG176"/>
      <c r="AH176"/>
      <c r="AI176"/>
      <c r="AJ176"/>
    </row>
    <row r="177" spans="1:36" ht="15">
      <c r="A177" s="352" t="str">
        <f t="shared" si="13"/>
        <v>410518098</v>
      </c>
      <c r="B177" s="509" t="s">
        <v>152</v>
      </c>
      <c r="C177" s="69" t="str">
        <f>_xlfn.XLOOKUP(B:B,Master!A:A,Master!B:B)</f>
        <v>RPSPL-NG</v>
      </c>
      <c r="D177" s="509" t="s">
        <v>84</v>
      </c>
      <c r="E177" s="69" t="str">
        <f t="shared" si="14"/>
        <v>410518098</v>
      </c>
      <c r="F177" s="509" t="s">
        <v>1222</v>
      </c>
      <c r="G177" s="70" t="str">
        <f>VLOOKUP(D177,Master!C:G,4,)</f>
        <v>T&amp;I</v>
      </c>
      <c r="H177" s="69" t="str">
        <f>VLOOKUP(D177,Master!C:G,5,)</f>
        <v>T&amp;I EX HP</v>
      </c>
      <c r="I177" s="549">
        <v>579</v>
      </c>
      <c r="J177" s="549">
        <v>192</v>
      </c>
      <c r="K177" s="71">
        <f t="shared" si="15"/>
        <v>0.33160621761658032</v>
      </c>
      <c r="L177" s="549">
        <v>0</v>
      </c>
      <c r="M177" s="511"/>
      <c r="N177" s="549">
        <v>768</v>
      </c>
      <c r="O177" s="549">
        <v>768</v>
      </c>
      <c r="P177" s="72">
        <f t="shared" si="16"/>
        <v>-381</v>
      </c>
      <c r="Q177" s="72">
        <f>IFERROR(IF(D177=20250,O177/(#REF!/30),O177/(I177/30)),0)</f>
        <v>39.792746113989637</v>
      </c>
      <c r="R177" s="72">
        <f t="shared" si="17"/>
        <v>39.792746113989637</v>
      </c>
      <c r="AC177"/>
      <c r="AD177"/>
      <c r="AE177"/>
      <c r="AF177"/>
      <c r="AG177"/>
      <c r="AH177"/>
      <c r="AI177"/>
      <c r="AJ177"/>
    </row>
    <row r="178" spans="1:36" ht="15">
      <c r="A178" s="352" t="str">
        <f t="shared" si="13"/>
        <v>410520827</v>
      </c>
      <c r="B178" s="509" t="s">
        <v>152</v>
      </c>
      <c r="C178" s="69" t="str">
        <f>_xlfn.XLOOKUP(B:B,Master!A:A,Master!B:B)</f>
        <v>RPSPL-NG</v>
      </c>
      <c r="D178" s="509" t="s">
        <v>149</v>
      </c>
      <c r="E178" s="69" t="str">
        <f t="shared" si="14"/>
        <v>410520827</v>
      </c>
      <c r="F178" s="509" t="s">
        <v>150</v>
      </c>
      <c r="G178" s="70" t="str">
        <f>VLOOKUP(D178,Master!C:G,4,)</f>
        <v>Ganache</v>
      </c>
      <c r="H178" s="69" t="str">
        <f>VLOOKUP(D178,Master!C:G,5,)</f>
        <v>Ganache- UF</v>
      </c>
      <c r="I178" s="549">
        <v>3305.76</v>
      </c>
      <c r="J178" s="549">
        <v>1944</v>
      </c>
      <c r="K178" s="71">
        <f t="shared" si="15"/>
        <v>0.58806446928996658</v>
      </c>
      <c r="L178" s="549">
        <v>0</v>
      </c>
      <c r="M178" s="511"/>
      <c r="N178" s="549">
        <v>4440</v>
      </c>
      <c r="O178" s="549">
        <v>4440</v>
      </c>
      <c r="P178" s="72">
        <f t="shared" si="16"/>
        <v>-3078.24</v>
      </c>
      <c r="Q178" s="72">
        <f>IFERROR(IF(D178=20250,O178/(#REF!/30),O178/(I178/30)),0)</f>
        <v>40.293306229127339</v>
      </c>
      <c r="R178" s="72">
        <f t="shared" si="17"/>
        <v>40.293306229127339</v>
      </c>
      <c r="AC178"/>
      <c r="AD178"/>
      <c r="AE178"/>
      <c r="AF178"/>
      <c r="AG178"/>
      <c r="AH178"/>
      <c r="AI178"/>
      <c r="AJ178"/>
    </row>
    <row r="179" spans="1:36" ht="15">
      <c r="A179" s="352" t="str">
        <f t="shared" si="13"/>
        <v>410523081</v>
      </c>
      <c r="B179" s="509" t="s">
        <v>152</v>
      </c>
      <c r="C179" s="69" t="str">
        <f>_xlfn.XLOOKUP(B:B,Master!A:A,Master!B:B)</f>
        <v>RPSPL-NG</v>
      </c>
      <c r="D179" s="509" t="s">
        <v>189</v>
      </c>
      <c r="E179" s="69" t="str">
        <f t="shared" si="14"/>
        <v>410523081</v>
      </c>
      <c r="F179" s="509" t="s">
        <v>190</v>
      </c>
      <c r="G179" s="70" t="str">
        <f>VLOOKUP(D179,Master!C:G,4,)</f>
        <v>T&amp;I</v>
      </c>
      <c r="H179" s="69" t="str">
        <f>VLOOKUP(D179,Master!C:G,5,)</f>
        <v>T&amp;I EX HP</v>
      </c>
      <c r="I179" s="549">
        <v>257.27999999999997</v>
      </c>
      <c r="J179" s="549">
        <v>180</v>
      </c>
      <c r="K179" s="71">
        <f t="shared" si="15"/>
        <v>0.6996268656716419</v>
      </c>
      <c r="L179" s="549">
        <v>0</v>
      </c>
      <c r="M179" s="511"/>
      <c r="N179" s="549">
        <v>192</v>
      </c>
      <c r="O179" s="549">
        <v>192</v>
      </c>
      <c r="P179" s="72">
        <f t="shared" si="16"/>
        <v>-114.72000000000003</v>
      </c>
      <c r="Q179" s="72">
        <f>IFERROR(IF(D179=20250,O179/(#REF!/30),O179/(I179/30)),0)</f>
        <v>22.388059701492541</v>
      </c>
      <c r="R179" s="72">
        <f t="shared" si="17"/>
        <v>22.388059701492541</v>
      </c>
      <c r="AC179"/>
      <c r="AD179"/>
      <c r="AE179"/>
      <c r="AF179"/>
      <c r="AG179"/>
      <c r="AH179"/>
      <c r="AI179"/>
      <c r="AJ179"/>
    </row>
    <row r="180" spans="1:36" ht="15">
      <c r="A180" s="352" t="str">
        <f t="shared" si="13"/>
        <v>410523401</v>
      </c>
      <c r="B180" s="509" t="s">
        <v>152</v>
      </c>
      <c r="C180" s="69" t="str">
        <f>_xlfn.XLOOKUP(B:B,Master!A:A,Master!B:B)</f>
        <v>RPSPL-NG</v>
      </c>
      <c r="D180" s="509" t="s">
        <v>194</v>
      </c>
      <c r="E180" s="69" t="str">
        <f t="shared" si="14"/>
        <v>410523401</v>
      </c>
      <c r="F180" s="509" t="s">
        <v>195</v>
      </c>
      <c r="G180" s="70" t="str">
        <f>VLOOKUP(D180,Master!C:G,4,)</f>
        <v>T&amp;I</v>
      </c>
      <c r="H180" s="69" t="str">
        <f>VLOOKUP(D180,Master!C:G,5,)</f>
        <v>T&amp;I EX UF</v>
      </c>
      <c r="I180" s="549">
        <v>2500.08</v>
      </c>
      <c r="J180" s="549">
        <v>660</v>
      </c>
      <c r="K180" s="71">
        <f t="shared" si="15"/>
        <v>0.26399155227032733</v>
      </c>
      <c r="L180" s="549">
        <v>3000</v>
      </c>
      <c r="M180" s="511">
        <v>46165</v>
      </c>
      <c r="N180" s="549">
        <v>1200</v>
      </c>
      <c r="O180" s="549">
        <v>4200</v>
      </c>
      <c r="P180" s="72">
        <f t="shared" si="16"/>
        <v>-2359.92</v>
      </c>
      <c r="Q180" s="72">
        <f>IFERROR(IF(D180=20250,O180/(#REF!/30),O180/(I180/30)),0)</f>
        <v>50.39838725160795</v>
      </c>
      <c r="R180" s="72">
        <f t="shared" si="17"/>
        <v>14.399539214745129</v>
      </c>
      <c r="AC180"/>
      <c r="AD180"/>
      <c r="AE180"/>
      <c r="AF180"/>
      <c r="AG180"/>
      <c r="AH180"/>
      <c r="AI180"/>
      <c r="AJ180"/>
    </row>
    <row r="181" spans="1:36" ht="15">
      <c r="A181" s="352" t="str">
        <f t="shared" si="13"/>
        <v>410524768</v>
      </c>
      <c r="B181" s="509" t="s">
        <v>152</v>
      </c>
      <c r="C181" s="69" t="str">
        <f>_xlfn.XLOOKUP(B:B,Master!A:A,Master!B:B)</f>
        <v>RPSPL-NG</v>
      </c>
      <c r="D181" s="509" t="s">
        <v>906</v>
      </c>
      <c r="E181" s="69" t="str">
        <f t="shared" si="14"/>
        <v>410524768</v>
      </c>
      <c r="F181" s="509" t="s">
        <v>912</v>
      </c>
      <c r="G181" s="70" t="str">
        <f>VLOOKUP(D181,Master!C:G,4,)</f>
        <v>T&amp;I</v>
      </c>
      <c r="H181" s="69" t="str">
        <f>VLOOKUP(D181,Master!C:G,5,)</f>
        <v>T&amp;I EX UF</v>
      </c>
      <c r="I181" s="549">
        <v>3364.2</v>
      </c>
      <c r="J181" s="549">
        <v>1560</v>
      </c>
      <c r="K181" s="71">
        <f t="shared" si="15"/>
        <v>0.46370608168360977</v>
      </c>
      <c r="L181" s="549">
        <v>0</v>
      </c>
      <c r="M181" s="511"/>
      <c r="N181" s="549">
        <v>5952</v>
      </c>
      <c r="O181" s="549">
        <v>5952</v>
      </c>
      <c r="P181" s="72">
        <f t="shared" si="16"/>
        <v>-4147.8</v>
      </c>
      <c r="Q181" s="72">
        <f>IFERROR(IF(D181=20250,O181/(#REF!/30),O181/(I181/30)),0)</f>
        <v>53.076511503477796</v>
      </c>
      <c r="R181" s="72">
        <f t="shared" si="17"/>
        <v>53.076511503477796</v>
      </c>
      <c r="AC181"/>
      <c r="AD181"/>
      <c r="AE181"/>
      <c r="AF181"/>
      <c r="AG181"/>
      <c r="AH181"/>
      <c r="AI181"/>
      <c r="AJ181"/>
    </row>
    <row r="182" spans="1:36" ht="15">
      <c r="A182" s="352" t="str">
        <f t="shared" si="13"/>
        <v>410525598</v>
      </c>
      <c r="B182" s="509" t="s">
        <v>152</v>
      </c>
      <c r="C182" s="69" t="str">
        <f>_xlfn.XLOOKUP(B:B,Master!A:A,Master!B:B)</f>
        <v>RPSPL-NG</v>
      </c>
      <c r="D182" s="509" t="s">
        <v>1007</v>
      </c>
      <c r="E182" s="69" t="str">
        <f t="shared" si="14"/>
        <v>410525598</v>
      </c>
      <c r="F182" s="509" t="s">
        <v>1009</v>
      </c>
      <c r="G182" s="70" t="str">
        <f>VLOOKUP(D182,Master!C:G,4,)</f>
        <v>T&amp;I</v>
      </c>
      <c r="H182" s="69" t="str">
        <f>VLOOKUP(D182,Master!C:G,5,)</f>
        <v>T&amp;I EX HP</v>
      </c>
      <c r="I182" s="549">
        <v>307.8</v>
      </c>
      <c r="J182" s="549">
        <v>396</v>
      </c>
      <c r="K182" s="71">
        <f t="shared" si="15"/>
        <v>1.2865497076023391</v>
      </c>
      <c r="L182" s="549">
        <v>0</v>
      </c>
      <c r="M182" s="511"/>
      <c r="N182" s="549">
        <v>84</v>
      </c>
      <c r="O182" s="549">
        <v>84</v>
      </c>
      <c r="P182" s="72">
        <f t="shared" si="16"/>
        <v>-172.2</v>
      </c>
      <c r="Q182" s="72">
        <f>IFERROR(IF(D182=20250,O182/(#REF!/30),O182/(I182/30)),0)</f>
        <v>8.1871345029239766</v>
      </c>
      <c r="R182" s="72">
        <f t="shared" si="17"/>
        <v>8.1871345029239766</v>
      </c>
      <c r="AC182"/>
      <c r="AD182"/>
      <c r="AE182"/>
      <c r="AF182"/>
      <c r="AG182"/>
      <c r="AH182"/>
      <c r="AI182"/>
      <c r="AJ182"/>
    </row>
    <row r="183" spans="1:36" ht="15">
      <c r="A183" s="352" t="str">
        <f t="shared" si="13"/>
        <v>410806151</v>
      </c>
      <c r="B183" s="509" t="s">
        <v>904</v>
      </c>
      <c r="C183" s="69" t="str">
        <f>_xlfn.XLOOKUP(B:B,Master!A:A,Master!B:B)</f>
        <v>RPSPL-MP</v>
      </c>
      <c r="D183" s="509" t="s">
        <v>28</v>
      </c>
      <c r="E183" s="69" t="str">
        <f t="shared" si="14"/>
        <v>410806151</v>
      </c>
      <c r="F183" s="509" t="s">
        <v>29</v>
      </c>
      <c r="G183" s="70" t="str">
        <f>VLOOKUP(D183,Master!C:G,4,)</f>
        <v>DD</v>
      </c>
      <c r="H183" s="69" t="str">
        <f>VLOOKUP(D183,Master!C:G,5,)</f>
        <v>OS - Dry</v>
      </c>
      <c r="I183" s="549">
        <v>7722.24</v>
      </c>
      <c r="J183" s="549">
        <v>4248</v>
      </c>
      <c r="K183" s="71">
        <f t="shared" si="15"/>
        <v>0.55009945300845353</v>
      </c>
      <c r="L183" s="549">
        <v>0</v>
      </c>
      <c r="M183" s="511"/>
      <c r="N183" s="549">
        <v>10332</v>
      </c>
      <c r="O183" s="549">
        <v>10332</v>
      </c>
      <c r="P183" s="72">
        <f t="shared" si="16"/>
        <v>-6857.76</v>
      </c>
      <c r="Q183" s="72">
        <f>IFERROR(IF(D183=20250,O183/(#REF!/30),O183/(I183/30)),0)</f>
        <v>40.138612630532073</v>
      </c>
      <c r="R183" s="72">
        <f t="shared" si="17"/>
        <v>40.138612630532073</v>
      </c>
      <c r="AC183"/>
      <c r="AD183"/>
      <c r="AE183"/>
      <c r="AF183"/>
      <c r="AG183"/>
      <c r="AH183"/>
      <c r="AI183"/>
      <c r="AJ183"/>
    </row>
    <row r="184" spans="1:36" ht="15">
      <c r="A184" s="352" t="str">
        <f t="shared" si="13"/>
        <v>410813490</v>
      </c>
      <c r="B184" s="509" t="s">
        <v>904</v>
      </c>
      <c r="C184" s="69" t="str">
        <f>_xlfn.XLOOKUP(B:B,Master!A:A,Master!B:B)</f>
        <v>RPSPL-MP</v>
      </c>
      <c r="D184" s="509" t="s">
        <v>37</v>
      </c>
      <c r="E184" s="69" t="str">
        <f t="shared" si="14"/>
        <v>410813490</v>
      </c>
      <c r="F184" s="509" t="s">
        <v>38</v>
      </c>
      <c r="G184" s="70" t="str">
        <f>VLOOKUP(D184,Master!C:G,4,)</f>
        <v>NGL</v>
      </c>
      <c r="H184" s="69" t="str">
        <f>VLOOKUP(D184,Master!C:G,5,)</f>
        <v>UF-Dry</v>
      </c>
      <c r="I184" s="549">
        <v>774.9</v>
      </c>
      <c r="J184" s="549">
        <v>460</v>
      </c>
      <c r="K184" s="71">
        <f t="shared" si="15"/>
        <v>0.59362498386888629</v>
      </c>
      <c r="L184" s="549">
        <v>0</v>
      </c>
      <c r="M184" s="511"/>
      <c r="N184" s="549">
        <v>16950</v>
      </c>
      <c r="O184" s="549">
        <v>16950</v>
      </c>
      <c r="P184" s="72">
        <f t="shared" si="16"/>
        <v>-16635.099999999999</v>
      </c>
      <c r="Q184" s="72">
        <f>IFERROR(IF(D184=20250,O184/(#REF!/30),O184/(I184/30)),0)</f>
        <v>656.21370499419288</v>
      </c>
      <c r="R184" s="72">
        <f t="shared" si="17"/>
        <v>656.21370499419288</v>
      </c>
      <c r="AC184"/>
      <c r="AD184"/>
      <c r="AE184"/>
      <c r="AF184"/>
      <c r="AG184"/>
      <c r="AH184"/>
      <c r="AI184"/>
      <c r="AJ184"/>
    </row>
    <row r="185" spans="1:36" ht="15">
      <c r="A185" s="352" t="str">
        <f t="shared" si="13"/>
        <v>410815300</v>
      </c>
      <c r="B185" s="509" t="s">
        <v>904</v>
      </c>
      <c r="C185" s="69" t="str">
        <f>_xlfn.XLOOKUP(B:B,Master!A:A,Master!B:B)</f>
        <v>RPSPL-MP</v>
      </c>
      <c r="D185" s="509" t="s">
        <v>43</v>
      </c>
      <c r="E185" s="69" t="str">
        <f t="shared" si="14"/>
        <v>410815300</v>
      </c>
      <c r="F185" s="509" t="s">
        <v>44</v>
      </c>
      <c r="G185" s="70" t="str">
        <f>VLOOKUP(D185,Master!C:G,4,)</f>
        <v>NGL</v>
      </c>
      <c r="H185" s="69" t="str">
        <f>VLOOKUP(D185,Master!C:G,5,)</f>
        <v>UF-Dry</v>
      </c>
      <c r="I185" s="549">
        <v>207.81</v>
      </c>
      <c r="J185" s="549">
        <v>45</v>
      </c>
      <c r="K185" s="71">
        <f t="shared" si="15"/>
        <v>0.21654395842355997</v>
      </c>
      <c r="L185" s="549">
        <v>0</v>
      </c>
      <c r="M185" s="511"/>
      <c r="N185" s="549">
        <v>1431</v>
      </c>
      <c r="O185" s="549">
        <v>1431</v>
      </c>
      <c r="P185" s="72">
        <f t="shared" si="16"/>
        <v>-1268.19</v>
      </c>
      <c r="Q185" s="72">
        <f>IFERROR(IF(D185=20250,O185/(#REF!/30),O185/(I185/30)),0)</f>
        <v>206.58293633607622</v>
      </c>
      <c r="R185" s="72">
        <f t="shared" si="17"/>
        <v>206.58293633607622</v>
      </c>
      <c r="AC185"/>
      <c r="AD185"/>
      <c r="AE185"/>
      <c r="AF185"/>
      <c r="AG185"/>
      <c r="AH185"/>
      <c r="AI185"/>
      <c r="AJ185"/>
    </row>
    <row r="186" spans="1:36" ht="15">
      <c r="A186" s="352" t="str">
        <f t="shared" si="13"/>
        <v>410819690</v>
      </c>
      <c r="B186" s="509" t="s">
        <v>904</v>
      </c>
      <c r="C186" s="69" t="str">
        <f>_xlfn.XLOOKUP(B:B,Master!A:A,Master!B:B)</f>
        <v>RPSPL-MP</v>
      </c>
      <c r="D186" s="509" t="s">
        <v>88</v>
      </c>
      <c r="E186" s="69" t="str">
        <f t="shared" si="14"/>
        <v>410819690</v>
      </c>
      <c r="F186" s="509" t="s">
        <v>89</v>
      </c>
      <c r="G186" s="70" t="str">
        <f>VLOOKUP(D186,Master!C:G,4,)</f>
        <v>NFL</v>
      </c>
      <c r="H186" s="69" t="str">
        <f>VLOOKUP(D186,Master!C:G,5,)</f>
        <v>OS - Dry</v>
      </c>
      <c r="I186" s="549">
        <v>206.76</v>
      </c>
      <c r="J186" s="549">
        <v>12</v>
      </c>
      <c r="K186" s="71">
        <f t="shared" si="15"/>
        <v>5.8038305281485784E-2</v>
      </c>
      <c r="L186" s="549">
        <v>0</v>
      </c>
      <c r="M186" s="511"/>
      <c r="N186" s="549">
        <v>180</v>
      </c>
      <c r="O186" s="549">
        <v>180</v>
      </c>
      <c r="P186" s="72">
        <f t="shared" si="16"/>
        <v>14.759999999999991</v>
      </c>
      <c r="Q186" s="72">
        <f>IFERROR(IF(D186=20250,O186/(#REF!/30),O186/(I186/30)),0)</f>
        <v>26.117237376668605</v>
      </c>
      <c r="R186" s="72">
        <f t="shared" si="17"/>
        <v>26.117237376668605</v>
      </c>
      <c r="AC186"/>
      <c r="AD186"/>
      <c r="AE186"/>
      <c r="AF186"/>
      <c r="AG186"/>
      <c r="AH186"/>
      <c r="AI186"/>
      <c r="AJ186"/>
    </row>
    <row r="187" spans="1:36" ht="15">
      <c r="A187" s="352" t="str">
        <f t="shared" si="13"/>
        <v>410820661</v>
      </c>
      <c r="B187" s="509" t="s">
        <v>904</v>
      </c>
      <c r="C187" s="69" t="str">
        <f>_xlfn.XLOOKUP(B:B,Master!A:A,Master!B:B)</f>
        <v>RPSPL-MP</v>
      </c>
      <c r="D187" s="509" t="s">
        <v>167</v>
      </c>
      <c r="E187" s="69" t="str">
        <f t="shared" si="14"/>
        <v>410820661</v>
      </c>
      <c r="F187" s="509" t="s">
        <v>168</v>
      </c>
      <c r="G187" s="70" t="str">
        <f>VLOOKUP(D187,Master!C:G,4,)</f>
        <v>UHT-Chill</v>
      </c>
      <c r="H187" s="69" t="str">
        <f>VLOOKUP(D187,Master!C:G,5,)</f>
        <v>OS-Chill</v>
      </c>
      <c r="I187" s="549">
        <v>1286.6400000000001</v>
      </c>
      <c r="J187" s="549">
        <v>84</v>
      </c>
      <c r="K187" s="71">
        <f t="shared" si="15"/>
        <v>6.5286327177765335E-2</v>
      </c>
      <c r="L187" s="549">
        <v>0</v>
      </c>
      <c r="M187" s="511"/>
      <c r="N187" s="549">
        <v>0</v>
      </c>
      <c r="O187" s="549">
        <v>0</v>
      </c>
      <c r="P187" s="72">
        <f t="shared" si="16"/>
        <v>1202.6400000000001</v>
      </c>
      <c r="Q187" s="72">
        <f>IFERROR(IF(D187=20250,O187/(#REF!/30),O187/(I187/30)),0)</f>
        <v>0</v>
      </c>
      <c r="R187" s="72">
        <f t="shared" si="17"/>
        <v>0</v>
      </c>
      <c r="AC187"/>
      <c r="AD187"/>
      <c r="AE187"/>
      <c r="AF187"/>
      <c r="AG187"/>
      <c r="AH187"/>
      <c r="AI187"/>
      <c r="AJ187"/>
    </row>
    <row r="188" spans="1:36" ht="15">
      <c r="A188" s="352" t="str">
        <f t="shared" si="13"/>
        <v>410823638</v>
      </c>
      <c r="B188" s="509" t="s">
        <v>904</v>
      </c>
      <c r="C188" s="69" t="str">
        <f>_xlfn.XLOOKUP(B:B,Master!A:A,Master!B:B)</f>
        <v>RPSPL-MP</v>
      </c>
      <c r="D188" s="509" t="s">
        <v>198</v>
      </c>
      <c r="E188" s="69" t="str">
        <f t="shared" si="14"/>
        <v>410823638</v>
      </c>
      <c r="F188" s="509" t="s">
        <v>199</v>
      </c>
      <c r="G188" s="70" t="str">
        <f>VLOOKUP(D188,Master!C:G,4,)</f>
        <v>DD</v>
      </c>
      <c r="H188" s="69" t="str">
        <f>VLOOKUP(D188,Master!C:G,5,)</f>
        <v>OS - Dry</v>
      </c>
      <c r="I188" s="549">
        <v>4999.92</v>
      </c>
      <c r="J188" s="549">
        <v>3720</v>
      </c>
      <c r="K188" s="71">
        <f t="shared" si="15"/>
        <v>0.74401190419046703</v>
      </c>
      <c r="L188" s="549">
        <v>0</v>
      </c>
      <c r="M188" s="511"/>
      <c r="N188" s="549">
        <v>13092</v>
      </c>
      <c r="O188" s="549">
        <v>13092</v>
      </c>
      <c r="P188" s="72">
        <f t="shared" si="16"/>
        <v>-11812.08</v>
      </c>
      <c r="Q188" s="72">
        <f>IFERROR(IF(D188=20250,O188/(#REF!/30),O188/(I188/30)),0)</f>
        <v>78.553256852109627</v>
      </c>
      <c r="R188" s="72">
        <f t="shared" si="17"/>
        <v>78.553256852109627</v>
      </c>
      <c r="AC188"/>
      <c r="AD188"/>
      <c r="AE188"/>
      <c r="AF188"/>
      <c r="AG188"/>
      <c r="AH188"/>
      <c r="AI188"/>
      <c r="AJ188"/>
    </row>
    <row r="189" spans="1:36" ht="15">
      <c r="A189" s="352" t="str">
        <f t="shared" si="13"/>
        <v>410825885</v>
      </c>
      <c r="B189" s="509" t="s">
        <v>904</v>
      </c>
      <c r="C189" s="69" t="str">
        <f>_xlfn.XLOOKUP(B:B,Master!A:A,Master!B:B)</f>
        <v>RPSPL-MP</v>
      </c>
      <c r="D189" s="509" t="s">
        <v>1037</v>
      </c>
      <c r="E189" s="69" t="str">
        <f t="shared" si="14"/>
        <v>410825885</v>
      </c>
      <c r="F189" s="509" t="s">
        <v>1038</v>
      </c>
      <c r="G189" s="70" t="str">
        <f>VLOOKUP(D189,Master!C:G,4,)</f>
        <v>T&amp;I</v>
      </c>
      <c r="H189" s="69" t="str">
        <f>VLOOKUP(D189,Master!C:G,5,)</f>
        <v>T&amp;I EX UF</v>
      </c>
      <c r="I189" s="549">
        <v>1548</v>
      </c>
      <c r="J189" s="549">
        <v>72</v>
      </c>
      <c r="K189" s="71">
        <f t="shared" si="15"/>
        <v>4.6511627906976744E-2</v>
      </c>
      <c r="L189" s="549">
        <v>0</v>
      </c>
      <c r="M189" s="511"/>
      <c r="N189" s="549">
        <v>39996</v>
      </c>
      <c r="O189" s="549">
        <v>39996</v>
      </c>
      <c r="P189" s="72">
        <f t="shared" si="16"/>
        <v>-38520</v>
      </c>
      <c r="Q189" s="72">
        <f>IFERROR(IF(D189=20250,O189/(#REF!/30),O189/(I189/30)),0)</f>
        <v>775.11627906976742</v>
      </c>
      <c r="R189" s="72">
        <f t="shared" si="17"/>
        <v>775.11627906976742</v>
      </c>
      <c r="AC189"/>
      <c r="AD189"/>
      <c r="AE189"/>
      <c r="AF189"/>
      <c r="AG189"/>
      <c r="AH189"/>
      <c r="AI189"/>
      <c r="AJ189"/>
    </row>
    <row r="190" spans="1:36" ht="15">
      <c r="A190" s="352" t="str">
        <f t="shared" si="13"/>
        <v>410826234</v>
      </c>
      <c r="B190" s="509" t="s">
        <v>904</v>
      </c>
      <c r="C190" s="69" t="str">
        <f>_xlfn.XLOOKUP(B:B,Master!A:A,Master!B:B)</f>
        <v>RPSPL-MP</v>
      </c>
      <c r="D190" s="509" t="s">
        <v>1176</v>
      </c>
      <c r="E190" s="69" t="str">
        <f t="shared" si="14"/>
        <v>410826234</v>
      </c>
      <c r="F190" s="509" t="s">
        <v>1182</v>
      </c>
      <c r="G190" s="70" t="str">
        <f>VLOOKUP(D190,Master!C:G,4,)</f>
        <v>T&amp;I</v>
      </c>
      <c r="H190" s="69" t="str">
        <f>VLOOKUP(D190,Master!C:G,5,)</f>
        <v>T&amp;I EX UF</v>
      </c>
      <c r="I190" s="549">
        <v>0</v>
      </c>
      <c r="J190" s="549">
        <v>0</v>
      </c>
      <c r="K190" s="71">
        <f t="shared" si="15"/>
        <v>0</v>
      </c>
      <c r="L190" s="549">
        <v>0</v>
      </c>
      <c r="M190" s="511"/>
      <c r="N190" s="549">
        <v>10680</v>
      </c>
      <c r="O190" s="549">
        <v>10680</v>
      </c>
      <c r="P190" s="72">
        <f t="shared" si="16"/>
        <v>-10680</v>
      </c>
      <c r="Q190" s="72">
        <f>IFERROR(IF(D190=20250,O190/(#REF!/30),O190/(I190/30)),0)</f>
        <v>0</v>
      </c>
      <c r="R190" s="72">
        <f t="shared" si="17"/>
        <v>0</v>
      </c>
      <c r="AC190"/>
      <c r="AD190"/>
      <c r="AE190"/>
      <c r="AF190"/>
      <c r="AG190"/>
      <c r="AH190"/>
      <c r="AI190"/>
      <c r="AJ190"/>
    </row>
    <row r="191" spans="1:36" ht="15">
      <c r="A191" s="352" t="str">
        <f t="shared" si="13"/>
        <v>410827021</v>
      </c>
      <c r="B191" s="509" t="s">
        <v>904</v>
      </c>
      <c r="C191" s="69" t="str">
        <f>_xlfn.XLOOKUP(B:B,Master!A:A,Master!B:B)</f>
        <v>RPSPL-MP</v>
      </c>
      <c r="D191" s="509" t="s">
        <v>1243</v>
      </c>
      <c r="E191" s="69" t="str">
        <f t="shared" si="14"/>
        <v>410827021</v>
      </c>
      <c r="F191" s="509" t="s">
        <v>1244</v>
      </c>
      <c r="G191" s="70" t="e">
        <f>VLOOKUP(D191,Master!C:G,4,)</f>
        <v>#N/A</v>
      </c>
      <c r="H191" s="69" t="e">
        <f>VLOOKUP(D191,Master!C:G,5,)</f>
        <v>#N/A</v>
      </c>
      <c r="I191" s="549">
        <v>0</v>
      </c>
      <c r="J191" s="549">
        <v>0</v>
      </c>
      <c r="K191" s="71">
        <f t="shared" si="15"/>
        <v>0</v>
      </c>
      <c r="L191" s="549">
        <v>0</v>
      </c>
      <c r="M191" s="511"/>
      <c r="N191" s="549">
        <v>696</v>
      </c>
      <c r="O191" s="549">
        <v>696</v>
      </c>
      <c r="P191" s="72">
        <f t="shared" si="16"/>
        <v>-696</v>
      </c>
      <c r="Q191" s="72">
        <f>IFERROR(IF(D191=20250,O191/(#REF!/30),O191/(I191/30)),0)</f>
        <v>0</v>
      </c>
      <c r="R191" s="72">
        <f t="shared" si="17"/>
        <v>0</v>
      </c>
      <c r="AC191"/>
      <c r="AD191"/>
      <c r="AE191"/>
      <c r="AF191"/>
      <c r="AG191"/>
      <c r="AH191"/>
      <c r="AI191"/>
      <c r="AJ191"/>
    </row>
    <row r="192" spans="1:36" ht="15">
      <c r="A192" s="352" t="str">
        <f t="shared" si="13"/>
        <v>410804145</v>
      </c>
      <c r="B192" s="509" t="s">
        <v>904</v>
      </c>
      <c r="C192" s="69" t="str">
        <f>_xlfn.XLOOKUP(B:B,Master!A:A,Master!B:B)</f>
        <v>RPSPL-MP</v>
      </c>
      <c r="D192" s="509" t="s">
        <v>34</v>
      </c>
      <c r="E192" s="69" t="str">
        <f t="shared" si="14"/>
        <v>410804145</v>
      </c>
      <c r="F192" s="509" t="s">
        <v>35</v>
      </c>
      <c r="G192" s="70" t="str">
        <f>VLOOKUP(D192,Master!C:G,4,)</f>
        <v>NGL</v>
      </c>
      <c r="H192" s="69" t="str">
        <f>VLOOKUP(D192,Master!C:G,5,)</f>
        <v>UF-Dry</v>
      </c>
      <c r="I192" s="549">
        <v>131.58000000000001</v>
      </c>
      <c r="J192" s="549">
        <v>54</v>
      </c>
      <c r="K192" s="71">
        <f t="shared" si="15"/>
        <v>0.41039671682626533</v>
      </c>
      <c r="L192" s="549">
        <v>0</v>
      </c>
      <c r="M192" s="511"/>
      <c r="N192" s="549">
        <v>1269</v>
      </c>
      <c r="O192" s="549">
        <v>1269</v>
      </c>
      <c r="P192" s="72">
        <f t="shared" si="16"/>
        <v>-1191.42</v>
      </c>
      <c r="Q192" s="72">
        <f>IFERROR(IF(D192=20250,O192/(#REF!/30),O192/(I192/30)),0)</f>
        <v>289.32968536251707</v>
      </c>
      <c r="R192" s="72">
        <f t="shared" si="17"/>
        <v>289.32968536251707</v>
      </c>
      <c r="AC192"/>
      <c r="AD192"/>
      <c r="AE192"/>
      <c r="AF192"/>
      <c r="AG192"/>
      <c r="AH192"/>
      <c r="AI192"/>
      <c r="AJ192"/>
    </row>
    <row r="193" spans="1:36" ht="15">
      <c r="A193" s="352" t="str">
        <f t="shared" si="13"/>
        <v>410814248</v>
      </c>
      <c r="B193" s="509" t="s">
        <v>904</v>
      </c>
      <c r="C193" s="69" t="str">
        <f>_xlfn.XLOOKUP(B:B,Master!A:A,Master!B:B)</f>
        <v>RPSPL-MP</v>
      </c>
      <c r="D193" s="509" t="s">
        <v>41</v>
      </c>
      <c r="E193" s="69" t="str">
        <f t="shared" si="14"/>
        <v>410814248</v>
      </c>
      <c r="F193" s="509" t="s">
        <v>42</v>
      </c>
      <c r="G193" s="70" t="str">
        <f>VLOOKUP(D193,Master!C:G,4,)</f>
        <v>NGL</v>
      </c>
      <c r="H193" s="69" t="str">
        <f>VLOOKUP(D193,Master!C:G,5,)</f>
        <v>UF-Dry</v>
      </c>
      <c r="I193" s="549">
        <v>129.6</v>
      </c>
      <c r="J193" s="549">
        <v>80</v>
      </c>
      <c r="K193" s="71">
        <f t="shared" si="15"/>
        <v>0.61728395061728403</v>
      </c>
      <c r="L193" s="549">
        <v>0</v>
      </c>
      <c r="M193" s="511"/>
      <c r="N193" s="549">
        <v>13070</v>
      </c>
      <c r="O193" s="549">
        <v>13070</v>
      </c>
      <c r="P193" s="72">
        <f t="shared" si="16"/>
        <v>-13020.4</v>
      </c>
      <c r="Q193" s="72">
        <f>IFERROR(IF(D193=20250,O193/(#REF!/30),O193/(I193/30)),0)</f>
        <v>3025.4629629629635</v>
      </c>
      <c r="R193" s="72">
        <f t="shared" si="17"/>
        <v>3025.4629629629635</v>
      </c>
      <c r="AC193"/>
      <c r="AD193"/>
      <c r="AE193"/>
      <c r="AF193"/>
      <c r="AG193"/>
      <c r="AH193"/>
      <c r="AI193"/>
      <c r="AJ193"/>
    </row>
    <row r="194" spans="1:36" ht="15">
      <c r="A194" s="352" t="str">
        <f t="shared" si="13"/>
        <v>410815305</v>
      </c>
      <c r="B194" s="509" t="s">
        <v>904</v>
      </c>
      <c r="C194" s="69" t="str">
        <f>_xlfn.XLOOKUP(B:B,Master!A:A,Master!B:B)</f>
        <v>RPSPL-MP</v>
      </c>
      <c r="D194" s="509" t="s">
        <v>45</v>
      </c>
      <c r="E194" s="69" t="str">
        <f t="shared" si="14"/>
        <v>410815305</v>
      </c>
      <c r="F194" s="509" t="s">
        <v>46</v>
      </c>
      <c r="G194" s="70" t="str">
        <f>VLOOKUP(D194,Master!C:G,4,)</f>
        <v>NGL</v>
      </c>
      <c r="H194" s="69" t="str">
        <f>VLOOKUP(D194,Master!C:G,5,)</f>
        <v>UF-Dry</v>
      </c>
      <c r="I194" s="549">
        <v>54.36</v>
      </c>
      <c r="J194" s="549">
        <v>36</v>
      </c>
      <c r="K194" s="71">
        <f t="shared" si="15"/>
        <v>0.66225165562913912</v>
      </c>
      <c r="L194" s="549">
        <v>0</v>
      </c>
      <c r="M194" s="511"/>
      <c r="N194" s="549">
        <v>3447</v>
      </c>
      <c r="O194" s="549">
        <v>3447</v>
      </c>
      <c r="P194" s="72">
        <f t="shared" si="16"/>
        <v>-3428.64</v>
      </c>
      <c r="Q194" s="72">
        <f>IFERROR(IF(D194=20250,O194/(#REF!/30),O194/(I194/30)),0)</f>
        <v>1902.317880794702</v>
      </c>
      <c r="R194" s="72">
        <f t="shared" si="17"/>
        <v>1902.317880794702</v>
      </c>
      <c r="AC194"/>
      <c r="AD194"/>
      <c r="AE194"/>
      <c r="AF194"/>
      <c r="AG194"/>
      <c r="AH194"/>
      <c r="AI194"/>
      <c r="AJ194"/>
    </row>
    <row r="195" spans="1:36" ht="15">
      <c r="A195" s="352" t="str">
        <f t="shared" si="13"/>
        <v>410815312</v>
      </c>
      <c r="B195" s="509" t="s">
        <v>904</v>
      </c>
      <c r="C195" s="69" t="str">
        <f>_xlfn.XLOOKUP(B:B,Master!A:A,Master!B:B)</f>
        <v>RPSPL-MP</v>
      </c>
      <c r="D195" s="509" t="s">
        <v>47</v>
      </c>
      <c r="E195" s="69" t="str">
        <f t="shared" si="14"/>
        <v>410815312</v>
      </c>
      <c r="F195" s="509" t="s">
        <v>48</v>
      </c>
      <c r="G195" s="70" t="str">
        <f>VLOOKUP(D195,Master!C:G,4,)</f>
        <v>NGL</v>
      </c>
      <c r="H195" s="69" t="str">
        <f>VLOOKUP(D195,Master!C:G,5,)</f>
        <v>UF-Dry</v>
      </c>
      <c r="I195" s="549">
        <v>0</v>
      </c>
      <c r="J195" s="549">
        <v>0</v>
      </c>
      <c r="K195" s="71">
        <f t="shared" si="15"/>
        <v>0</v>
      </c>
      <c r="L195" s="549">
        <v>0</v>
      </c>
      <c r="M195" s="511"/>
      <c r="N195" s="549">
        <v>1602</v>
      </c>
      <c r="O195" s="549">
        <v>1602</v>
      </c>
      <c r="P195" s="72">
        <f t="shared" si="16"/>
        <v>-1602</v>
      </c>
      <c r="Q195" s="72">
        <f>IFERROR(IF(D195=20250,O195/(#REF!/30),O195/(I195/30)),0)</f>
        <v>0</v>
      </c>
      <c r="R195" s="72">
        <f t="shared" si="17"/>
        <v>0</v>
      </c>
      <c r="AC195"/>
      <c r="AD195"/>
      <c r="AE195"/>
      <c r="AF195"/>
      <c r="AG195"/>
      <c r="AH195"/>
      <c r="AI195"/>
      <c r="AJ195"/>
    </row>
    <row r="196" spans="1:36" ht="15">
      <c r="A196" s="352" t="str">
        <f t="shared" si="13"/>
        <v>410816407</v>
      </c>
      <c r="B196" s="509" t="s">
        <v>904</v>
      </c>
      <c r="C196" s="69" t="str">
        <f>_xlfn.XLOOKUP(B:B,Master!A:A,Master!B:B)</f>
        <v>RPSPL-MP</v>
      </c>
      <c r="D196" s="509" t="s">
        <v>49</v>
      </c>
      <c r="E196" s="69" t="str">
        <f t="shared" si="14"/>
        <v>410816407</v>
      </c>
      <c r="F196" s="509" t="s">
        <v>50</v>
      </c>
      <c r="G196" s="70" t="str">
        <f>VLOOKUP(D196,Master!C:G,4,)</f>
        <v>NGL</v>
      </c>
      <c r="H196" s="69" t="str">
        <f>VLOOKUP(D196,Master!C:G,5,)</f>
        <v>UF-Dry</v>
      </c>
      <c r="I196" s="549">
        <v>130.59</v>
      </c>
      <c r="J196" s="549">
        <v>27</v>
      </c>
      <c r="K196" s="71">
        <f t="shared" si="15"/>
        <v>0.2067539627842867</v>
      </c>
      <c r="L196" s="549">
        <v>0</v>
      </c>
      <c r="M196" s="511"/>
      <c r="N196" s="549">
        <v>2034</v>
      </c>
      <c r="O196" s="549">
        <v>2034</v>
      </c>
      <c r="P196" s="72">
        <f t="shared" si="16"/>
        <v>-1930.41</v>
      </c>
      <c r="Q196" s="72">
        <f>IFERROR(IF(D196=20250,O196/(#REF!/30),O196/(I196/30)),0)</f>
        <v>467.26395589248796</v>
      </c>
      <c r="R196" s="72">
        <f t="shared" si="17"/>
        <v>467.26395589248796</v>
      </c>
      <c r="AC196"/>
      <c r="AD196"/>
      <c r="AE196"/>
      <c r="AF196"/>
      <c r="AG196"/>
      <c r="AH196"/>
      <c r="AI196"/>
      <c r="AJ196"/>
    </row>
    <row r="197" spans="1:36" ht="15">
      <c r="A197" s="352" t="str">
        <f t="shared" ref="A197:A260" si="18">B197&amp;D197</f>
        <v>410800189</v>
      </c>
      <c r="B197" s="509" t="s">
        <v>904</v>
      </c>
      <c r="C197" s="69" t="str">
        <f>_xlfn.XLOOKUP(B:B,Master!A:A,Master!B:B)</f>
        <v>RPSPL-MP</v>
      </c>
      <c r="D197" s="509" t="s">
        <v>51</v>
      </c>
      <c r="E197" s="69" t="str">
        <f t="shared" ref="E197:E260" si="19">B197&amp;D197</f>
        <v>410800189</v>
      </c>
      <c r="F197" s="509" t="s">
        <v>903</v>
      </c>
      <c r="G197" s="70" t="str">
        <f>VLOOKUP(D197,Master!C:G,4,)</f>
        <v>T&amp;I</v>
      </c>
      <c r="H197" s="69" t="str">
        <f>VLOOKUP(D197,Master!C:G,5,)</f>
        <v>T&amp;I Comm-UF</v>
      </c>
      <c r="I197" s="549">
        <v>10317.36</v>
      </c>
      <c r="J197" s="549">
        <v>26376</v>
      </c>
      <c r="K197" s="71">
        <f t="shared" ref="K197:K260" si="20">IFERROR(J197/I197,0)</f>
        <v>2.556467933657447</v>
      </c>
      <c r="L197" s="549">
        <v>0</v>
      </c>
      <c r="M197" s="511"/>
      <c r="N197" s="549">
        <v>1536</v>
      </c>
      <c r="O197" s="549">
        <v>1536</v>
      </c>
      <c r="P197" s="72">
        <f t="shared" ref="P197:P260" si="21">I197-J197-O197</f>
        <v>-17594.64</v>
      </c>
      <c r="Q197" s="72">
        <f>IFERROR(IF(D197=20250,O197/(#REF!/30),O197/(I197/30)),0)</f>
        <v>4.4662588103933558</v>
      </c>
      <c r="R197" s="72">
        <f t="shared" ref="R197:R260" si="22">IFERROR(N197/(I197/30),0)</f>
        <v>4.4662588103933558</v>
      </c>
      <c r="AC197"/>
      <c r="AD197"/>
      <c r="AE197"/>
      <c r="AF197"/>
      <c r="AG197"/>
      <c r="AH197"/>
      <c r="AI197"/>
      <c r="AJ197"/>
    </row>
    <row r="198" spans="1:36" ht="15">
      <c r="A198" s="352" t="str">
        <f t="shared" si="18"/>
        <v>410801167</v>
      </c>
      <c r="B198" s="509" t="s">
        <v>904</v>
      </c>
      <c r="C198" s="69" t="str">
        <f>_xlfn.XLOOKUP(B:B,Master!A:A,Master!B:B)</f>
        <v>RPSPL-MP</v>
      </c>
      <c r="D198" s="509" t="s">
        <v>53</v>
      </c>
      <c r="E198" s="69" t="str">
        <f t="shared" si="19"/>
        <v>410801167</v>
      </c>
      <c r="F198" s="509" t="s">
        <v>54</v>
      </c>
      <c r="G198" s="70" t="str">
        <f>VLOOKUP(D198,Master!C:G,4,)</f>
        <v>T&amp;I</v>
      </c>
      <c r="H198" s="69" t="str">
        <f>VLOOKUP(D198,Master!C:G,5,)</f>
        <v>T&amp;I EX UF</v>
      </c>
      <c r="I198" s="549">
        <v>1615.2</v>
      </c>
      <c r="J198" s="549">
        <v>1116</v>
      </c>
      <c r="K198" s="71">
        <f t="shared" si="20"/>
        <v>0.69093610698365526</v>
      </c>
      <c r="L198" s="549">
        <v>0</v>
      </c>
      <c r="M198" s="511"/>
      <c r="N198" s="549">
        <v>2052</v>
      </c>
      <c r="O198" s="549">
        <v>2052</v>
      </c>
      <c r="P198" s="72">
        <f t="shared" si="21"/>
        <v>-1552.8</v>
      </c>
      <c r="Q198" s="72">
        <f>IFERROR(IF(D198=20250,O198/(#REF!/30),O198/(I198/30)),0)</f>
        <v>38.112927191679049</v>
      </c>
      <c r="R198" s="72">
        <f t="shared" si="22"/>
        <v>38.112927191679049</v>
      </c>
      <c r="AC198"/>
      <c r="AD198"/>
      <c r="AE198"/>
      <c r="AF198"/>
      <c r="AG198"/>
      <c r="AH198"/>
      <c r="AI198"/>
      <c r="AJ198"/>
    </row>
    <row r="199" spans="1:36" ht="15">
      <c r="A199" s="352" t="str">
        <f t="shared" si="18"/>
        <v>410801296</v>
      </c>
      <c r="B199" s="509" t="s">
        <v>904</v>
      </c>
      <c r="C199" s="69" t="str">
        <f>_xlfn.XLOOKUP(B:B,Master!A:A,Master!B:B)</f>
        <v>RPSPL-MP</v>
      </c>
      <c r="D199" s="509" t="s">
        <v>15</v>
      </c>
      <c r="E199" s="69" t="str">
        <f t="shared" si="19"/>
        <v>410801296</v>
      </c>
      <c r="F199" s="509" t="s">
        <v>16</v>
      </c>
      <c r="G199" s="70" t="str">
        <f>VLOOKUP(D199,Master!C:G,4,)</f>
        <v>T&amp;I</v>
      </c>
      <c r="H199" s="69" t="str">
        <f>VLOOKUP(D199,Master!C:G,5,)</f>
        <v>T&amp;I EX HP 2 KG</v>
      </c>
      <c r="I199" s="549">
        <v>1262.8800000000001</v>
      </c>
      <c r="J199" s="549">
        <v>864</v>
      </c>
      <c r="K199" s="71">
        <f t="shared" si="20"/>
        <v>0.68415051311288477</v>
      </c>
      <c r="L199" s="549">
        <v>0</v>
      </c>
      <c r="M199" s="511"/>
      <c r="N199" s="549">
        <v>1716</v>
      </c>
      <c r="O199" s="549">
        <v>1716</v>
      </c>
      <c r="P199" s="72">
        <f t="shared" si="21"/>
        <v>-1317.12</v>
      </c>
      <c r="Q199" s="72">
        <f>IFERROR(IF(D199=20250,O199/(#REF!/30),O199/(I199/30)),0)</f>
        <v>40.763968072976049</v>
      </c>
      <c r="R199" s="72">
        <f t="shared" si="22"/>
        <v>40.763968072976049</v>
      </c>
      <c r="AC199"/>
      <c r="AD199"/>
      <c r="AE199"/>
      <c r="AF199"/>
      <c r="AG199"/>
      <c r="AH199"/>
      <c r="AI199"/>
      <c r="AJ199"/>
    </row>
    <row r="200" spans="1:36" ht="15">
      <c r="A200" s="352" t="str">
        <f t="shared" si="18"/>
        <v>410802122</v>
      </c>
      <c r="B200" s="509" t="s">
        <v>904</v>
      </c>
      <c r="C200" s="69" t="str">
        <f>_xlfn.XLOOKUP(B:B,Master!A:A,Master!B:B)</f>
        <v>RPSPL-MP</v>
      </c>
      <c r="D200" s="509" t="s">
        <v>55</v>
      </c>
      <c r="E200" s="69" t="str">
        <f t="shared" si="19"/>
        <v>410802122</v>
      </c>
      <c r="F200" s="509" t="s">
        <v>56</v>
      </c>
      <c r="G200" s="70" t="str">
        <f>VLOOKUP(D200,Master!C:G,4,)</f>
        <v>T&amp;I</v>
      </c>
      <c r="H200" s="69" t="str">
        <f>VLOOKUP(D200,Master!C:G,5,)</f>
        <v>T&amp;I EX HP 2 KG</v>
      </c>
      <c r="I200" s="549">
        <v>3978.84</v>
      </c>
      <c r="J200" s="549">
        <v>1692</v>
      </c>
      <c r="K200" s="71">
        <f t="shared" si="20"/>
        <v>0.42524957022649817</v>
      </c>
      <c r="L200" s="549">
        <v>0</v>
      </c>
      <c r="M200" s="511"/>
      <c r="N200" s="549">
        <v>4788</v>
      </c>
      <c r="O200" s="549">
        <v>4788</v>
      </c>
      <c r="P200" s="72">
        <f t="shared" si="21"/>
        <v>-2501.16</v>
      </c>
      <c r="Q200" s="72">
        <f>IFERROR(IF(D200=20250,O200/(#REF!/30),O200/(I200/30)),0)</f>
        <v>36.100974153270798</v>
      </c>
      <c r="R200" s="72">
        <f t="shared" si="22"/>
        <v>36.100974153270798</v>
      </c>
      <c r="AC200"/>
      <c r="AD200"/>
      <c r="AE200"/>
      <c r="AF200"/>
      <c r="AG200"/>
      <c r="AH200"/>
      <c r="AI200"/>
      <c r="AJ200"/>
    </row>
    <row r="201" spans="1:36" ht="15">
      <c r="A201" s="352" t="str">
        <f t="shared" si="18"/>
        <v>410806982</v>
      </c>
      <c r="B201" s="509" t="s">
        <v>904</v>
      </c>
      <c r="C201" s="69" t="str">
        <f>_xlfn.XLOOKUP(B:B,Master!A:A,Master!B:B)</f>
        <v>RPSPL-MP</v>
      </c>
      <c r="D201" s="509" t="s">
        <v>59</v>
      </c>
      <c r="E201" s="69" t="str">
        <f t="shared" si="19"/>
        <v>410806982</v>
      </c>
      <c r="F201" s="509" t="s">
        <v>60</v>
      </c>
      <c r="G201" s="70" t="str">
        <f>VLOOKUP(D201,Master!C:G,4,)</f>
        <v>T&amp;I</v>
      </c>
      <c r="H201" s="69" t="str">
        <f>VLOOKUP(D201,Master!C:G,5,)</f>
        <v>T&amp;I Comm-UF</v>
      </c>
      <c r="I201" s="549">
        <v>2242.8000000000002</v>
      </c>
      <c r="J201" s="549">
        <v>1164</v>
      </c>
      <c r="K201" s="71">
        <f t="shared" si="20"/>
        <v>0.51899411449973243</v>
      </c>
      <c r="L201" s="549">
        <v>0</v>
      </c>
      <c r="M201" s="511"/>
      <c r="N201" s="549">
        <v>6840</v>
      </c>
      <c r="O201" s="549">
        <v>6840</v>
      </c>
      <c r="P201" s="72">
        <f t="shared" si="21"/>
        <v>-5761.2</v>
      </c>
      <c r="Q201" s="72">
        <f>IFERROR(IF(D201=20250,O201/(#REF!/30),O201/(I201/30)),0)</f>
        <v>91.492776886035301</v>
      </c>
      <c r="R201" s="72">
        <f t="shared" si="22"/>
        <v>91.492776886035301</v>
      </c>
      <c r="AC201"/>
      <c r="AD201"/>
      <c r="AE201"/>
      <c r="AF201"/>
      <c r="AG201"/>
      <c r="AH201"/>
      <c r="AI201"/>
      <c r="AJ201"/>
    </row>
    <row r="202" spans="1:36" ht="15">
      <c r="A202" s="352" t="str">
        <f t="shared" si="18"/>
        <v>410807310</v>
      </c>
      <c r="B202" s="509" t="s">
        <v>904</v>
      </c>
      <c r="C202" s="69" t="str">
        <f>_xlfn.XLOOKUP(B:B,Master!A:A,Master!B:B)</f>
        <v>RPSPL-MP</v>
      </c>
      <c r="D202" s="509" t="s">
        <v>19</v>
      </c>
      <c r="E202" s="69" t="str">
        <f t="shared" si="19"/>
        <v>410807310</v>
      </c>
      <c r="F202" s="509" t="s">
        <v>20</v>
      </c>
      <c r="G202" s="70" t="str">
        <f>VLOOKUP(D202,Master!C:G,4,)</f>
        <v>T&amp;I</v>
      </c>
      <c r="H202" s="69" t="str">
        <f>VLOOKUP(D202,Master!C:G,5,)</f>
        <v>T&amp;I Comm -HP</v>
      </c>
      <c r="I202" s="549">
        <v>37537.199999999997</v>
      </c>
      <c r="J202" s="549">
        <v>12480</v>
      </c>
      <c r="K202" s="71">
        <f t="shared" si="20"/>
        <v>0.33247018957194463</v>
      </c>
      <c r="L202" s="549">
        <v>0</v>
      </c>
      <c r="M202" s="511"/>
      <c r="N202" s="549">
        <v>55080</v>
      </c>
      <c r="O202" s="549">
        <v>55080</v>
      </c>
      <c r="P202" s="72">
        <f t="shared" si="21"/>
        <v>-30022.800000000003</v>
      </c>
      <c r="Q202" s="72">
        <f>IFERROR(IF(D202=20250,O202/(#REF!/30),O202/(I202/30)),0)</f>
        <v>44.020331830823821</v>
      </c>
      <c r="R202" s="72">
        <f t="shared" si="22"/>
        <v>44.020331830823821</v>
      </c>
      <c r="AC202"/>
      <c r="AD202"/>
      <c r="AE202"/>
      <c r="AF202"/>
      <c r="AG202"/>
      <c r="AH202"/>
      <c r="AI202"/>
      <c r="AJ202"/>
    </row>
    <row r="203" spans="1:36" ht="15">
      <c r="A203" s="352" t="str">
        <f t="shared" si="18"/>
        <v>410808529</v>
      </c>
      <c r="B203" s="509" t="s">
        <v>904</v>
      </c>
      <c r="C203" s="69" t="str">
        <f>_xlfn.XLOOKUP(B:B,Master!A:A,Master!B:B)</f>
        <v>RPSPL-MP</v>
      </c>
      <c r="D203" s="509" t="s">
        <v>61</v>
      </c>
      <c r="E203" s="69" t="str">
        <f t="shared" si="19"/>
        <v>410808529</v>
      </c>
      <c r="F203" s="509" t="s">
        <v>62</v>
      </c>
      <c r="G203" s="70" t="str">
        <f>VLOOKUP(D203,Master!C:G,4,)</f>
        <v>T&amp;I</v>
      </c>
      <c r="H203" s="69" t="str">
        <f>VLOOKUP(D203,Master!C:G,5,)</f>
        <v>T&amp;I EX HP 2 KG</v>
      </c>
      <c r="I203" s="549">
        <v>4957.68</v>
      </c>
      <c r="J203" s="549">
        <v>4224</v>
      </c>
      <c r="K203" s="71">
        <f t="shared" si="20"/>
        <v>0.85201142469864932</v>
      </c>
      <c r="L203" s="549">
        <v>0</v>
      </c>
      <c r="M203" s="511"/>
      <c r="N203" s="549">
        <v>6144</v>
      </c>
      <c r="O203" s="549">
        <v>6144</v>
      </c>
      <c r="P203" s="72">
        <f t="shared" si="21"/>
        <v>-5410.32</v>
      </c>
      <c r="Q203" s="72">
        <f>IFERROR(IF(D203=20250,O203/(#REF!/30),O203/(I203/30)),0)</f>
        <v>37.178680350486516</v>
      </c>
      <c r="R203" s="72">
        <f t="shared" si="22"/>
        <v>37.178680350486516</v>
      </c>
      <c r="AC203"/>
      <c r="AD203"/>
      <c r="AE203"/>
      <c r="AF203"/>
      <c r="AG203"/>
      <c r="AH203"/>
      <c r="AI203"/>
      <c r="AJ203"/>
    </row>
    <row r="204" spans="1:36" ht="15">
      <c r="A204" s="352" t="str">
        <f t="shared" si="18"/>
        <v>410813179</v>
      </c>
      <c r="B204" s="509" t="s">
        <v>904</v>
      </c>
      <c r="C204" s="69" t="str">
        <f>_xlfn.XLOOKUP(B:B,Master!A:A,Master!B:B)</f>
        <v>RPSPL-MP</v>
      </c>
      <c r="D204" s="509" t="s">
        <v>22</v>
      </c>
      <c r="E204" s="69" t="str">
        <f t="shared" si="19"/>
        <v>410813179</v>
      </c>
      <c r="F204" s="509" t="s">
        <v>23</v>
      </c>
      <c r="G204" s="70" t="str">
        <f>VLOOKUP(D204,Master!C:G,4,)</f>
        <v>T&amp;I</v>
      </c>
      <c r="H204" s="69" t="str">
        <f>VLOOKUP(D204,Master!C:G,5,)</f>
        <v>T&amp;I EX HP 2 KG</v>
      </c>
      <c r="I204" s="549">
        <v>12266.28</v>
      </c>
      <c r="J204" s="549">
        <v>9108</v>
      </c>
      <c r="K204" s="71">
        <f t="shared" si="20"/>
        <v>0.74252340562909047</v>
      </c>
      <c r="L204" s="549">
        <v>0</v>
      </c>
      <c r="M204" s="511"/>
      <c r="N204" s="549">
        <v>11028</v>
      </c>
      <c r="O204" s="549">
        <v>11028</v>
      </c>
      <c r="P204" s="72">
        <f t="shared" si="21"/>
        <v>-7869.7199999999993</v>
      </c>
      <c r="Q204" s="72">
        <f>IFERROR(IF(D204=20250,O204/(#REF!/30),O204/(I204/30)),0)</f>
        <v>26.971502362574469</v>
      </c>
      <c r="R204" s="72">
        <f t="shared" si="22"/>
        <v>26.971502362574469</v>
      </c>
      <c r="AC204"/>
      <c r="AD204"/>
      <c r="AE204"/>
      <c r="AF204"/>
      <c r="AG204"/>
      <c r="AH204"/>
      <c r="AI204"/>
      <c r="AJ204"/>
    </row>
    <row r="205" spans="1:36" ht="15">
      <c r="A205" s="352" t="str">
        <f t="shared" si="18"/>
        <v>410813678</v>
      </c>
      <c r="B205" s="509" t="s">
        <v>904</v>
      </c>
      <c r="C205" s="69" t="str">
        <f>_xlfn.XLOOKUP(B:B,Master!A:A,Master!B:B)</f>
        <v>RPSPL-MP</v>
      </c>
      <c r="D205" s="509" t="s">
        <v>65</v>
      </c>
      <c r="E205" s="69" t="str">
        <f t="shared" si="19"/>
        <v>410813678</v>
      </c>
      <c r="F205" s="509" t="s">
        <v>66</v>
      </c>
      <c r="G205" s="70" t="str">
        <f>VLOOKUP(D205,Master!C:G,4,)</f>
        <v>T&amp;I</v>
      </c>
      <c r="H205" s="69" t="str">
        <f>VLOOKUP(D205,Master!C:G,5,)</f>
        <v>T&amp;I EX HP</v>
      </c>
      <c r="I205" s="549">
        <v>5574.36</v>
      </c>
      <c r="J205" s="549">
        <v>2256</v>
      </c>
      <c r="K205" s="71">
        <f t="shared" si="20"/>
        <v>0.4047101371278497</v>
      </c>
      <c r="L205" s="549">
        <v>0</v>
      </c>
      <c r="M205" s="511"/>
      <c r="N205" s="549">
        <v>5952</v>
      </c>
      <c r="O205" s="549">
        <v>5952</v>
      </c>
      <c r="P205" s="72">
        <f t="shared" si="21"/>
        <v>-2633.6400000000003</v>
      </c>
      <c r="Q205" s="72">
        <f>IFERROR(IF(D205=20250,O205/(#REF!/30),O205/(I205/30)),0)</f>
        <v>32.032376810970234</v>
      </c>
      <c r="R205" s="72">
        <f t="shared" si="22"/>
        <v>32.032376810970234</v>
      </c>
      <c r="AC205"/>
      <c r="AD205"/>
      <c r="AE205"/>
      <c r="AF205"/>
      <c r="AG205"/>
      <c r="AH205"/>
      <c r="AI205"/>
      <c r="AJ205"/>
    </row>
    <row r="206" spans="1:36" ht="15">
      <c r="A206" s="352" t="str">
        <f t="shared" si="18"/>
        <v>410814654</v>
      </c>
      <c r="B206" s="509" t="s">
        <v>904</v>
      </c>
      <c r="C206" s="69" t="str">
        <f>_xlfn.XLOOKUP(B:B,Master!A:A,Master!B:B)</f>
        <v>RPSPL-MP</v>
      </c>
      <c r="D206" s="509" t="s">
        <v>67</v>
      </c>
      <c r="E206" s="69" t="str">
        <f t="shared" si="19"/>
        <v>410814654</v>
      </c>
      <c r="F206" s="509" t="s">
        <v>68</v>
      </c>
      <c r="G206" s="70" t="str">
        <f>VLOOKUP(D206,Master!C:G,4,)</f>
        <v>T&amp;I</v>
      </c>
      <c r="H206" s="69" t="str">
        <f>VLOOKUP(D206,Master!C:G,5,)</f>
        <v>T&amp;I Comm-UF</v>
      </c>
      <c r="I206" s="549">
        <v>1682.52</v>
      </c>
      <c r="J206" s="549">
        <v>1116</v>
      </c>
      <c r="K206" s="71">
        <f t="shared" si="20"/>
        <v>0.66329077811853654</v>
      </c>
      <c r="L206" s="549">
        <v>0</v>
      </c>
      <c r="M206" s="511"/>
      <c r="N206" s="549">
        <v>1428</v>
      </c>
      <c r="O206" s="549">
        <v>1428</v>
      </c>
      <c r="P206" s="72">
        <f t="shared" si="21"/>
        <v>-861.48</v>
      </c>
      <c r="Q206" s="72">
        <f>IFERROR(IF(D206=20250,O206/(#REF!/30),O206/(I206/30)),0)</f>
        <v>25.461807289066403</v>
      </c>
      <c r="R206" s="72">
        <f t="shared" si="22"/>
        <v>25.461807289066403</v>
      </c>
      <c r="AC206"/>
      <c r="AD206"/>
      <c r="AE206"/>
      <c r="AF206"/>
      <c r="AG206"/>
      <c r="AH206"/>
      <c r="AI206"/>
      <c r="AJ206"/>
    </row>
    <row r="207" spans="1:36" ht="15">
      <c r="A207" s="352" t="str">
        <f t="shared" si="18"/>
        <v>410814788</v>
      </c>
      <c r="B207" s="509" t="s">
        <v>904</v>
      </c>
      <c r="C207" s="69" t="str">
        <f>_xlfn.XLOOKUP(B:B,Master!A:A,Master!B:B)</f>
        <v>RPSPL-MP</v>
      </c>
      <c r="D207" s="509" t="s">
        <v>69</v>
      </c>
      <c r="E207" s="69" t="str">
        <f t="shared" si="19"/>
        <v>410814788</v>
      </c>
      <c r="F207" s="509" t="s">
        <v>70</v>
      </c>
      <c r="G207" s="70" t="str">
        <f>VLOOKUP(D207,Master!C:G,4,)</f>
        <v>T&amp;I</v>
      </c>
      <c r="H207" s="69" t="str">
        <f>VLOOKUP(D207,Master!C:G,5,)</f>
        <v>T&amp;I EX HP</v>
      </c>
      <c r="I207" s="549">
        <v>7849.92</v>
      </c>
      <c r="J207" s="549">
        <v>4452</v>
      </c>
      <c r="K207" s="71">
        <f t="shared" si="20"/>
        <v>0.56713953772777304</v>
      </c>
      <c r="L207" s="549">
        <v>0</v>
      </c>
      <c r="M207" s="511"/>
      <c r="N207" s="549">
        <v>7848</v>
      </c>
      <c r="O207" s="549">
        <v>7848</v>
      </c>
      <c r="P207" s="72">
        <f t="shared" si="21"/>
        <v>-4450.08</v>
      </c>
      <c r="Q207" s="72">
        <f>IFERROR(IF(D207=20250,O207/(#REF!/30),O207/(I207/30)),0)</f>
        <v>29.992662345603524</v>
      </c>
      <c r="R207" s="72">
        <f t="shared" si="22"/>
        <v>29.992662345603524</v>
      </c>
      <c r="AC207"/>
      <c r="AD207"/>
      <c r="AE207"/>
      <c r="AF207"/>
      <c r="AG207"/>
      <c r="AH207"/>
      <c r="AI207"/>
      <c r="AJ207"/>
    </row>
    <row r="208" spans="1:36" ht="15">
      <c r="A208" s="352" t="str">
        <f t="shared" si="18"/>
        <v>410815536</v>
      </c>
      <c r="B208" s="509" t="s">
        <v>904</v>
      </c>
      <c r="C208" s="69" t="str">
        <f>_xlfn.XLOOKUP(B:B,Master!A:A,Master!B:B)</f>
        <v>RPSPL-MP</v>
      </c>
      <c r="D208" s="509" t="s">
        <v>71</v>
      </c>
      <c r="E208" s="69" t="str">
        <f t="shared" si="19"/>
        <v>410815536</v>
      </c>
      <c r="F208" s="509" t="s">
        <v>72</v>
      </c>
      <c r="G208" s="70" t="str">
        <f>VLOOKUP(D208,Master!C:G,4,)</f>
        <v>Ganache</v>
      </c>
      <c r="H208" s="69" t="str">
        <f>VLOOKUP(D208,Master!C:G,5,)</f>
        <v>Ganache- UF</v>
      </c>
      <c r="I208" s="549">
        <v>2644.68</v>
      </c>
      <c r="J208" s="549">
        <v>2508</v>
      </c>
      <c r="K208" s="71">
        <f t="shared" si="20"/>
        <v>0.94831888924179863</v>
      </c>
      <c r="L208" s="549">
        <v>0</v>
      </c>
      <c r="M208" s="511"/>
      <c r="N208" s="549">
        <v>49440</v>
      </c>
      <c r="O208" s="549">
        <v>49440</v>
      </c>
      <c r="P208" s="72">
        <f t="shared" si="21"/>
        <v>-49303.32</v>
      </c>
      <c r="Q208" s="72">
        <f>IFERROR(IF(D208=20250,O208/(#REF!/30),O208/(I208/30)),0)</f>
        <v>560.82399382912115</v>
      </c>
      <c r="R208" s="72">
        <f t="shared" si="22"/>
        <v>560.82399382912115</v>
      </c>
      <c r="AC208"/>
      <c r="AD208"/>
      <c r="AE208"/>
      <c r="AF208"/>
      <c r="AG208"/>
      <c r="AH208"/>
      <c r="AI208"/>
      <c r="AJ208"/>
    </row>
    <row r="209" spans="1:36" ht="15">
      <c r="A209" s="352" t="str">
        <f t="shared" si="18"/>
        <v>410815906</v>
      </c>
      <c r="B209" s="509" t="s">
        <v>904</v>
      </c>
      <c r="C209" s="69" t="str">
        <f>_xlfn.XLOOKUP(B:B,Master!A:A,Master!B:B)</f>
        <v>RPSPL-MP</v>
      </c>
      <c r="D209" s="509" t="s">
        <v>74</v>
      </c>
      <c r="E209" s="69" t="str">
        <f t="shared" si="19"/>
        <v>410815906</v>
      </c>
      <c r="F209" s="509" t="s">
        <v>75</v>
      </c>
      <c r="G209" s="70" t="str">
        <f>VLOOKUP(D209,Master!C:G,4,)</f>
        <v>T&amp;I</v>
      </c>
      <c r="H209" s="69" t="str">
        <f>VLOOKUP(D209,Master!C:G,5,)</f>
        <v>T&amp;I EX HP</v>
      </c>
      <c r="I209" s="549">
        <v>0</v>
      </c>
      <c r="J209" s="549">
        <v>0</v>
      </c>
      <c r="K209" s="71">
        <f t="shared" si="20"/>
        <v>0</v>
      </c>
      <c r="L209" s="549">
        <v>444</v>
      </c>
      <c r="M209" s="511">
        <v>46112</v>
      </c>
      <c r="N209" s="549">
        <v>36</v>
      </c>
      <c r="O209" s="549">
        <v>480</v>
      </c>
      <c r="P209" s="72">
        <f t="shared" si="21"/>
        <v>-480</v>
      </c>
      <c r="Q209" s="72">
        <f>IFERROR(IF(D209=20250,O209/(#REF!/30),O209/(I209/30)),0)</f>
        <v>0</v>
      </c>
      <c r="R209" s="72">
        <f t="shared" si="22"/>
        <v>0</v>
      </c>
      <c r="AC209"/>
      <c r="AD209"/>
      <c r="AE209"/>
      <c r="AF209"/>
      <c r="AG209"/>
      <c r="AH209"/>
      <c r="AI209"/>
      <c r="AJ209"/>
    </row>
    <row r="210" spans="1:36" ht="15">
      <c r="A210" s="352" t="str">
        <f t="shared" si="18"/>
        <v>410816336</v>
      </c>
      <c r="B210" s="509" t="s">
        <v>904</v>
      </c>
      <c r="C210" s="69" t="str">
        <f>_xlfn.XLOOKUP(B:B,Master!A:A,Master!B:B)</f>
        <v>RPSPL-MP</v>
      </c>
      <c r="D210" s="509" t="s">
        <v>24</v>
      </c>
      <c r="E210" s="69" t="str">
        <f t="shared" si="19"/>
        <v>410816336</v>
      </c>
      <c r="F210" s="509" t="s">
        <v>25</v>
      </c>
      <c r="G210" s="70" t="str">
        <f>VLOOKUP(D210,Master!C:G,4,)</f>
        <v>T&amp;I</v>
      </c>
      <c r="H210" s="69" t="str">
        <f>VLOOKUP(D210,Master!C:G,5,)</f>
        <v>T&amp;I Comm-UF</v>
      </c>
      <c r="I210" s="549">
        <v>13688.52</v>
      </c>
      <c r="J210" s="549">
        <v>9960</v>
      </c>
      <c r="K210" s="71">
        <f t="shared" si="20"/>
        <v>0.72761701045839866</v>
      </c>
      <c r="L210" s="549">
        <v>0</v>
      </c>
      <c r="M210" s="511"/>
      <c r="N210" s="549">
        <v>44244</v>
      </c>
      <c r="O210" s="549">
        <v>44244</v>
      </c>
      <c r="P210" s="72">
        <f t="shared" si="21"/>
        <v>-40515.479999999996</v>
      </c>
      <c r="Q210" s="72">
        <f>IFERROR(IF(D210=20250,O210/(#REF!/30),O210/(I210/30)),0)</f>
        <v>96.965924731088535</v>
      </c>
      <c r="R210" s="72">
        <f t="shared" si="22"/>
        <v>96.965924731088535</v>
      </c>
      <c r="AC210"/>
      <c r="AD210"/>
      <c r="AE210"/>
      <c r="AF210"/>
      <c r="AG210"/>
      <c r="AH210"/>
      <c r="AI210"/>
      <c r="AJ210"/>
    </row>
    <row r="211" spans="1:36" ht="15">
      <c r="A211" s="352" t="str">
        <f t="shared" si="18"/>
        <v>410816984</v>
      </c>
      <c r="B211" s="509" t="s">
        <v>904</v>
      </c>
      <c r="C211" s="69" t="str">
        <f>_xlfn.XLOOKUP(B:B,Master!A:A,Master!B:B)</f>
        <v>RPSPL-MP</v>
      </c>
      <c r="D211" s="509" t="s">
        <v>78</v>
      </c>
      <c r="E211" s="69" t="str">
        <f t="shared" si="19"/>
        <v>410816984</v>
      </c>
      <c r="F211" s="509" t="s">
        <v>79</v>
      </c>
      <c r="G211" s="70" t="str">
        <f>VLOOKUP(D211,Master!C:G,4,)</f>
        <v>T&amp;I</v>
      </c>
      <c r="H211" s="69" t="str">
        <f>VLOOKUP(D211,Master!C:G,5,)</f>
        <v>T&amp;I EX HP</v>
      </c>
      <c r="I211" s="549">
        <v>2019.12</v>
      </c>
      <c r="J211" s="549">
        <v>936</v>
      </c>
      <c r="K211" s="71">
        <f t="shared" si="20"/>
        <v>0.46356828717461074</v>
      </c>
      <c r="L211" s="549">
        <v>0</v>
      </c>
      <c r="M211" s="511"/>
      <c r="N211" s="549">
        <v>7944</v>
      </c>
      <c r="O211" s="549">
        <v>7944</v>
      </c>
      <c r="P211" s="72">
        <f t="shared" si="21"/>
        <v>-6860.88</v>
      </c>
      <c r="Q211" s="72">
        <f>IFERROR(IF(D211=20250,O211/(#REF!/30),O211/(I211/30)),0)</f>
        <v>118.03161773445858</v>
      </c>
      <c r="R211" s="72">
        <f t="shared" si="22"/>
        <v>118.03161773445858</v>
      </c>
      <c r="AC211"/>
      <c r="AD211"/>
      <c r="AE211"/>
      <c r="AF211"/>
      <c r="AG211"/>
      <c r="AH211"/>
      <c r="AI211"/>
      <c r="AJ211"/>
    </row>
    <row r="212" spans="1:36" ht="15">
      <c r="A212" s="352" t="str">
        <f t="shared" si="18"/>
        <v>410816998</v>
      </c>
      <c r="B212" s="509" t="s">
        <v>904</v>
      </c>
      <c r="C212" s="69" t="str">
        <f>_xlfn.XLOOKUP(B:B,Master!A:A,Master!B:B)</f>
        <v>RPSPL-MP</v>
      </c>
      <c r="D212" s="509" t="s">
        <v>80</v>
      </c>
      <c r="E212" s="69" t="str">
        <f t="shared" si="19"/>
        <v>410816998</v>
      </c>
      <c r="F212" s="509" t="s">
        <v>81</v>
      </c>
      <c r="G212" s="70" t="str">
        <f>VLOOKUP(D212,Master!C:G,4,)</f>
        <v>T&amp;I</v>
      </c>
      <c r="H212" s="69" t="str">
        <f>VLOOKUP(D212,Master!C:G,5,)</f>
        <v>T&amp;I EX UF</v>
      </c>
      <c r="I212" s="549">
        <v>4702.32</v>
      </c>
      <c r="J212" s="549">
        <v>2124</v>
      </c>
      <c r="K212" s="71">
        <f t="shared" si="20"/>
        <v>0.4516919307916093</v>
      </c>
      <c r="L212" s="549">
        <v>0</v>
      </c>
      <c r="M212" s="511"/>
      <c r="N212" s="549">
        <v>34440</v>
      </c>
      <c r="O212" s="549">
        <v>34440</v>
      </c>
      <c r="P212" s="72">
        <f t="shared" si="21"/>
        <v>-31861.68</v>
      </c>
      <c r="Q212" s="72">
        <f>IFERROR(IF(D212=20250,O212/(#REF!/30),O212/(I212/30)),0)</f>
        <v>219.7213290460879</v>
      </c>
      <c r="R212" s="72">
        <f t="shared" si="22"/>
        <v>219.7213290460879</v>
      </c>
      <c r="AC212"/>
      <c r="AD212"/>
      <c r="AE212"/>
      <c r="AF212"/>
      <c r="AG212"/>
      <c r="AH212"/>
      <c r="AI212"/>
      <c r="AJ212"/>
    </row>
    <row r="213" spans="1:36" ht="15">
      <c r="A213" s="352" t="str">
        <f t="shared" si="18"/>
        <v>410818098</v>
      </c>
      <c r="B213" s="509" t="s">
        <v>904</v>
      </c>
      <c r="C213" s="69" t="str">
        <f>_xlfn.XLOOKUP(B:B,Master!A:A,Master!B:B)</f>
        <v>RPSPL-MP</v>
      </c>
      <c r="D213" s="509" t="s">
        <v>84</v>
      </c>
      <c r="E213" s="69" t="str">
        <f t="shared" si="19"/>
        <v>410818098</v>
      </c>
      <c r="F213" s="509" t="s">
        <v>1222</v>
      </c>
      <c r="G213" s="70" t="str">
        <f>VLOOKUP(D213,Master!C:G,4,)</f>
        <v>T&amp;I</v>
      </c>
      <c r="H213" s="69" t="str">
        <f>VLOOKUP(D213,Master!C:G,5,)</f>
        <v>T&amp;I EX HP</v>
      </c>
      <c r="I213" s="549">
        <v>192.96</v>
      </c>
      <c r="J213" s="549">
        <v>0</v>
      </c>
      <c r="K213" s="71">
        <f t="shared" si="20"/>
        <v>0</v>
      </c>
      <c r="L213" s="549">
        <v>0</v>
      </c>
      <c r="M213" s="511"/>
      <c r="N213" s="549">
        <v>396</v>
      </c>
      <c r="O213" s="549">
        <v>396</v>
      </c>
      <c r="P213" s="72">
        <f t="shared" si="21"/>
        <v>-203.04</v>
      </c>
      <c r="Q213" s="72">
        <f>IFERROR(IF(D213=20250,O213/(#REF!/30),O213/(I213/30)),0)</f>
        <v>61.567164179104473</v>
      </c>
      <c r="R213" s="72">
        <f t="shared" si="22"/>
        <v>61.567164179104473</v>
      </c>
      <c r="AC213"/>
      <c r="AD213"/>
      <c r="AE213"/>
      <c r="AF213"/>
      <c r="AG213"/>
      <c r="AH213"/>
      <c r="AI213"/>
      <c r="AJ213"/>
    </row>
    <row r="214" spans="1:36" ht="15">
      <c r="A214" s="352" t="str">
        <f t="shared" si="18"/>
        <v>410820308</v>
      </c>
      <c r="B214" s="509" t="s">
        <v>904</v>
      </c>
      <c r="C214" s="69" t="str">
        <f>_xlfn.XLOOKUP(B:B,Master!A:A,Master!B:B)</f>
        <v>RPSPL-MP</v>
      </c>
      <c r="D214" s="509" t="s">
        <v>146</v>
      </c>
      <c r="E214" s="69" t="str">
        <f t="shared" si="19"/>
        <v>410820308</v>
      </c>
      <c r="F214" s="509" t="s">
        <v>902</v>
      </c>
      <c r="G214" s="70" t="str">
        <f>VLOOKUP(D214,Master!C:G,4,)</f>
        <v>T&amp;I</v>
      </c>
      <c r="H214" s="69" t="str">
        <f>VLOOKUP(D214,Master!C:G,5,)</f>
        <v>T&amp;I EX HP 2 KG</v>
      </c>
      <c r="I214" s="549">
        <v>3034.56</v>
      </c>
      <c r="J214" s="549">
        <v>732</v>
      </c>
      <c r="K214" s="71">
        <f t="shared" si="20"/>
        <v>0.24122113255298958</v>
      </c>
      <c r="L214" s="549">
        <v>0</v>
      </c>
      <c r="M214" s="511"/>
      <c r="N214" s="549">
        <v>6036</v>
      </c>
      <c r="O214" s="549">
        <v>6036</v>
      </c>
      <c r="P214" s="72">
        <f t="shared" si="21"/>
        <v>-3733.44</v>
      </c>
      <c r="Q214" s="72">
        <f>IFERROR(IF(D214=20250,O214/(#REF!/30),O214/(I214/30)),0)</f>
        <v>59.672571970895284</v>
      </c>
      <c r="R214" s="72">
        <f t="shared" si="22"/>
        <v>59.672571970895284</v>
      </c>
      <c r="AC214"/>
      <c r="AD214"/>
      <c r="AE214"/>
      <c r="AF214"/>
      <c r="AG214"/>
      <c r="AH214"/>
      <c r="AI214"/>
      <c r="AJ214"/>
    </row>
    <row r="215" spans="1:36" ht="15">
      <c r="A215" s="352" t="str">
        <f t="shared" si="18"/>
        <v>410820827</v>
      </c>
      <c r="B215" s="509" t="s">
        <v>904</v>
      </c>
      <c r="C215" s="69" t="str">
        <f>_xlfn.XLOOKUP(B:B,Master!A:A,Master!B:B)</f>
        <v>RPSPL-MP</v>
      </c>
      <c r="D215" s="509" t="s">
        <v>149</v>
      </c>
      <c r="E215" s="69" t="str">
        <f t="shared" si="19"/>
        <v>410820827</v>
      </c>
      <c r="F215" s="509" t="s">
        <v>150</v>
      </c>
      <c r="G215" s="70" t="str">
        <f>VLOOKUP(D215,Master!C:G,4,)</f>
        <v>Ganache</v>
      </c>
      <c r="H215" s="69" t="str">
        <f>VLOOKUP(D215,Master!C:G,5,)</f>
        <v>Ganache- UF</v>
      </c>
      <c r="I215" s="549">
        <v>3305.76</v>
      </c>
      <c r="J215" s="549">
        <v>1908</v>
      </c>
      <c r="K215" s="71">
        <f t="shared" si="20"/>
        <v>0.57717438652533759</v>
      </c>
      <c r="L215" s="549">
        <v>0</v>
      </c>
      <c r="M215" s="511"/>
      <c r="N215" s="549">
        <v>6936</v>
      </c>
      <c r="O215" s="549">
        <v>6936</v>
      </c>
      <c r="P215" s="72">
        <f t="shared" si="21"/>
        <v>-5538.24</v>
      </c>
      <c r="Q215" s="72">
        <f>IFERROR(IF(D215=20250,O215/(#REF!/30),O215/(I215/30)),0)</f>
        <v>62.944678379555683</v>
      </c>
      <c r="R215" s="72">
        <f t="shared" si="22"/>
        <v>62.944678379555683</v>
      </c>
      <c r="AC215"/>
      <c r="AD215"/>
      <c r="AE215"/>
      <c r="AF215"/>
      <c r="AG215"/>
      <c r="AH215"/>
      <c r="AI215"/>
      <c r="AJ215"/>
    </row>
    <row r="216" spans="1:36" ht="15">
      <c r="A216" s="352" t="str">
        <f t="shared" si="18"/>
        <v>410823081</v>
      </c>
      <c r="B216" s="509" t="s">
        <v>904</v>
      </c>
      <c r="C216" s="69" t="str">
        <f>_xlfn.XLOOKUP(B:B,Master!A:A,Master!B:B)</f>
        <v>RPSPL-MP</v>
      </c>
      <c r="D216" s="509" t="s">
        <v>189</v>
      </c>
      <c r="E216" s="69" t="str">
        <f t="shared" si="19"/>
        <v>410823081</v>
      </c>
      <c r="F216" s="509" t="s">
        <v>190</v>
      </c>
      <c r="G216" s="70" t="str">
        <f>VLOOKUP(D216,Master!C:G,4,)</f>
        <v>T&amp;I</v>
      </c>
      <c r="H216" s="69" t="str">
        <f>VLOOKUP(D216,Master!C:G,5,)</f>
        <v>T&amp;I EX HP</v>
      </c>
      <c r="I216" s="549">
        <v>25.68</v>
      </c>
      <c r="J216" s="549">
        <v>0</v>
      </c>
      <c r="K216" s="71">
        <f t="shared" si="20"/>
        <v>0</v>
      </c>
      <c r="L216" s="549">
        <v>0</v>
      </c>
      <c r="M216" s="511"/>
      <c r="N216" s="549">
        <v>132</v>
      </c>
      <c r="O216" s="549">
        <v>132</v>
      </c>
      <c r="P216" s="72">
        <f t="shared" si="21"/>
        <v>-106.32</v>
      </c>
      <c r="Q216" s="72">
        <f>IFERROR(IF(D216=20250,O216/(#REF!/30),O216/(I216/30)),0)</f>
        <v>154.20560747663552</v>
      </c>
      <c r="R216" s="72">
        <f t="shared" si="22"/>
        <v>154.20560747663552</v>
      </c>
      <c r="AC216"/>
      <c r="AD216"/>
      <c r="AE216"/>
      <c r="AF216"/>
      <c r="AG216"/>
      <c r="AH216"/>
      <c r="AI216"/>
      <c r="AJ216"/>
    </row>
    <row r="217" spans="1:36" ht="15">
      <c r="A217" s="352" t="str">
        <f t="shared" si="18"/>
        <v>410823401</v>
      </c>
      <c r="B217" s="509" t="s">
        <v>904</v>
      </c>
      <c r="C217" s="69" t="str">
        <f>_xlfn.XLOOKUP(B:B,Master!A:A,Master!B:B)</f>
        <v>RPSPL-MP</v>
      </c>
      <c r="D217" s="509" t="s">
        <v>194</v>
      </c>
      <c r="E217" s="69" t="str">
        <f t="shared" si="19"/>
        <v>410823401</v>
      </c>
      <c r="F217" s="509" t="s">
        <v>195</v>
      </c>
      <c r="G217" s="70" t="str">
        <f>VLOOKUP(D217,Master!C:G,4,)</f>
        <v>T&amp;I</v>
      </c>
      <c r="H217" s="69" t="str">
        <f>VLOOKUP(D217,Master!C:G,5,)</f>
        <v>T&amp;I EX UF</v>
      </c>
      <c r="I217" s="549">
        <v>0</v>
      </c>
      <c r="J217" s="549">
        <v>0</v>
      </c>
      <c r="K217" s="71">
        <f t="shared" si="20"/>
        <v>0</v>
      </c>
      <c r="L217" s="549">
        <v>0</v>
      </c>
      <c r="M217" s="511"/>
      <c r="N217" s="549">
        <v>33036</v>
      </c>
      <c r="O217" s="549">
        <v>33036</v>
      </c>
      <c r="P217" s="72">
        <f t="shared" si="21"/>
        <v>-33036</v>
      </c>
      <c r="Q217" s="72">
        <f>IFERROR(IF(D217=20250,O217/(#REF!/30),O217/(I217/30)),0)</f>
        <v>0</v>
      </c>
      <c r="R217" s="72">
        <f t="shared" si="22"/>
        <v>0</v>
      </c>
      <c r="AC217"/>
      <c r="AD217"/>
      <c r="AE217"/>
      <c r="AF217"/>
      <c r="AG217"/>
      <c r="AH217"/>
      <c r="AI217"/>
      <c r="AJ217"/>
    </row>
    <row r="218" spans="1:36" ht="15">
      <c r="A218" s="352" t="str">
        <f t="shared" si="18"/>
        <v>410824768</v>
      </c>
      <c r="B218" s="509" t="s">
        <v>904</v>
      </c>
      <c r="C218" s="69" t="str">
        <f>_xlfn.XLOOKUP(B:B,Master!A:A,Master!B:B)</f>
        <v>RPSPL-MP</v>
      </c>
      <c r="D218" s="509" t="s">
        <v>906</v>
      </c>
      <c r="E218" s="69" t="str">
        <f t="shared" si="19"/>
        <v>410824768</v>
      </c>
      <c r="F218" s="509" t="s">
        <v>912</v>
      </c>
      <c r="G218" s="70" t="str">
        <f>VLOOKUP(D218,Master!C:G,4,)</f>
        <v>T&amp;I</v>
      </c>
      <c r="H218" s="69" t="str">
        <f>VLOOKUP(D218,Master!C:G,5,)</f>
        <v>T&amp;I EX UF</v>
      </c>
      <c r="I218" s="549">
        <v>2242.8000000000002</v>
      </c>
      <c r="J218" s="549">
        <v>1932</v>
      </c>
      <c r="K218" s="71">
        <f t="shared" si="20"/>
        <v>0.86142322097378266</v>
      </c>
      <c r="L218" s="549">
        <v>0</v>
      </c>
      <c r="M218" s="511"/>
      <c r="N218" s="549">
        <v>3756</v>
      </c>
      <c r="O218" s="549">
        <v>3756</v>
      </c>
      <c r="P218" s="72">
        <f t="shared" si="21"/>
        <v>-3445.2</v>
      </c>
      <c r="Q218" s="72">
        <f>IFERROR(IF(D218=20250,O218/(#REF!/30),O218/(I218/30)),0)</f>
        <v>50.240770465489561</v>
      </c>
      <c r="R218" s="72">
        <f t="shared" si="22"/>
        <v>50.240770465489561</v>
      </c>
      <c r="AC218"/>
      <c r="AD218"/>
      <c r="AE218"/>
      <c r="AF218"/>
      <c r="AG218"/>
      <c r="AH218"/>
      <c r="AI218"/>
      <c r="AJ218"/>
    </row>
    <row r="219" spans="1:36" ht="15">
      <c r="A219" s="352" t="str">
        <f t="shared" si="18"/>
        <v>410825570</v>
      </c>
      <c r="B219" s="509" t="s">
        <v>904</v>
      </c>
      <c r="C219" s="69" t="str">
        <f>_xlfn.XLOOKUP(B:B,Master!A:A,Master!B:B)</f>
        <v>RPSPL-MP</v>
      </c>
      <c r="D219" s="509" t="s">
        <v>1006</v>
      </c>
      <c r="E219" s="69" t="str">
        <f t="shared" si="19"/>
        <v>410825570</v>
      </c>
      <c r="F219" s="509" t="s">
        <v>1008</v>
      </c>
      <c r="G219" s="70" t="str">
        <f>VLOOKUP(D219,Master!C:G,4,)</f>
        <v>T&amp;I</v>
      </c>
      <c r="H219" s="69" t="str">
        <f>VLOOKUP(D219,Master!C:G,5,)</f>
        <v>T&amp;I EX HP</v>
      </c>
      <c r="I219" s="549">
        <v>0</v>
      </c>
      <c r="J219" s="549">
        <v>0</v>
      </c>
      <c r="K219" s="71">
        <f t="shared" si="20"/>
        <v>0</v>
      </c>
      <c r="L219" s="549">
        <v>0</v>
      </c>
      <c r="M219" s="511"/>
      <c r="N219" s="549">
        <v>180</v>
      </c>
      <c r="O219" s="549">
        <v>180</v>
      </c>
      <c r="P219" s="72">
        <f t="shared" si="21"/>
        <v>-180</v>
      </c>
      <c r="Q219" s="72">
        <f>IFERROR(IF(D219=20250,O219/(#REF!/30),O219/(I219/30)),0)</f>
        <v>0</v>
      </c>
      <c r="R219" s="72">
        <f t="shared" si="22"/>
        <v>0</v>
      </c>
      <c r="AC219"/>
      <c r="AD219"/>
      <c r="AE219"/>
      <c r="AF219"/>
      <c r="AG219"/>
      <c r="AH219"/>
      <c r="AI219"/>
      <c r="AJ219"/>
    </row>
    <row r="220" spans="1:36" ht="15">
      <c r="A220" s="352" t="str">
        <f t="shared" si="18"/>
        <v>410825598</v>
      </c>
      <c r="B220" s="509" t="s">
        <v>904</v>
      </c>
      <c r="C220" s="69" t="str">
        <f>_xlfn.XLOOKUP(B:B,Master!A:A,Master!B:B)</f>
        <v>RPSPL-MP</v>
      </c>
      <c r="D220" s="509" t="s">
        <v>1007</v>
      </c>
      <c r="E220" s="69" t="str">
        <f t="shared" si="19"/>
        <v>410825598</v>
      </c>
      <c r="F220" s="509" t="s">
        <v>1009</v>
      </c>
      <c r="G220" s="70" t="str">
        <f>VLOOKUP(D220,Master!C:G,4,)</f>
        <v>T&amp;I</v>
      </c>
      <c r="H220" s="69" t="str">
        <f>VLOOKUP(D220,Master!C:G,5,)</f>
        <v>T&amp;I EX HP</v>
      </c>
      <c r="I220" s="549">
        <v>90</v>
      </c>
      <c r="J220" s="549">
        <v>36</v>
      </c>
      <c r="K220" s="71">
        <f t="shared" si="20"/>
        <v>0.4</v>
      </c>
      <c r="L220" s="549">
        <v>0</v>
      </c>
      <c r="M220" s="511"/>
      <c r="N220" s="549">
        <v>12</v>
      </c>
      <c r="O220" s="549">
        <v>12</v>
      </c>
      <c r="P220" s="72">
        <f t="shared" si="21"/>
        <v>42</v>
      </c>
      <c r="Q220" s="72">
        <f>IFERROR(IF(D220=20250,O220/(#REF!/30),O220/(I220/30)),0)</f>
        <v>4</v>
      </c>
      <c r="R220" s="72">
        <f t="shared" si="22"/>
        <v>4</v>
      </c>
      <c r="AC220"/>
      <c r="AD220"/>
      <c r="AE220"/>
      <c r="AF220"/>
      <c r="AG220"/>
      <c r="AH220"/>
      <c r="AI220"/>
      <c r="AJ220"/>
    </row>
    <row r="221" spans="1:36" ht="15">
      <c r="A221" s="352" t="str">
        <f t="shared" si="18"/>
        <v>420006151</v>
      </c>
      <c r="B221" s="509" t="s">
        <v>98</v>
      </c>
      <c r="C221" s="69" t="str">
        <f>_xlfn.XLOOKUP(B:B,Master!A:A,Master!B:B)</f>
        <v>RPSPL-KOL</v>
      </c>
      <c r="D221" s="509" t="s">
        <v>28</v>
      </c>
      <c r="E221" s="69" t="str">
        <f t="shared" si="19"/>
        <v>420006151</v>
      </c>
      <c r="F221" s="509" t="s">
        <v>29</v>
      </c>
      <c r="G221" s="70" t="str">
        <f>VLOOKUP(D221,Master!C:G,4,)</f>
        <v>DD</v>
      </c>
      <c r="H221" s="69" t="str">
        <f>VLOOKUP(D221,Master!C:G,5,)</f>
        <v>OS - Dry</v>
      </c>
      <c r="I221" s="549">
        <v>16086.84</v>
      </c>
      <c r="J221" s="549">
        <v>7560</v>
      </c>
      <c r="K221" s="71">
        <f t="shared" si="20"/>
        <v>0.46994934990339932</v>
      </c>
      <c r="L221" s="549">
        <v>0</v>
      </c>
      <c r="M221" s="511"/>
      <c r="N221" s="549">
        <v>14292</v>
      </c>
      <c r="O221" s="549">
        <v>14292</v>
      </c>
      <c r="P221" s="72">
        <f t="shared" si="21"/>
        <v>-5765.16</v>
      </c>
      <c r="Q221" s="72">
        <f>IFERROR(IF(D221=20250,O221/(#REF!/30),O221/(I221/30)),0)</f>
        <v>26.652841701664219</v>
      </c>
      <c r="R221" s="72">
        <f t="shared" si="22"/>
        <v>26.652841701664219</v>
      </c>
      <c r="AC221"/>
      <c r="AD221"/>
      <c r="AE221"/>
      <c r="AF221"/>
      <c r="AG221"/>
      <c r="AH221"/>
      <c r="AI221"/>
      <c r="AJ221"/>
    </row>
    <row r="222" spans="1:36" ht="15">
      <c r="A222" s="352" t="str">
        <f t="shared" si="18"/>
        <v>420013490</v>
      </c>
      <c r="B222" s="509" t="s">
        <v>98</v>
      </c>
      <c r="C222" s="69" t="str">
        <f>_xlfn.XLOOKUP(B:B,Master!A:A,Master!B:B)</f>
        <v>RPSPL-KOL</v>
      </c>
      <c r="D222" s="509" t="s">
        <v>37</v>
      </c>
      <c r="E222" s="69" t="str">
        <f t="shared" si="19"/>
        <v>420013490</v>
      </c>
      <c r="F222" s="509" t="s">
        <v>38</v>
      </c>
      <c r="G222" s="70" t="str">
        <f>VLOOKUP(D222,Master!C:G,4,)</f>
        <v>NGL</v>
      </c>
      <c r="H222" s="69" t="str">
        <f>VLOOKUP(D222,Master!C:G,5,)</f>
        <v>UF-Dry</v>
      </c>
      <c r="I222" s="549">
        <v>5147.8</v>
      </c>
      <c r="J222" s="549">
        <v>1740</v>
      </c>
      <c r="K222" s="71">
        <f t="shared" si="20"/>
        <v>0.33800846963751502</v>
      </c>
      <c r="L222" s="549">
        <v>1200</v>
      </c>
      <c r="M222" s="511">
        <v>46164</v>
      </c>
      <c r="N222" s="549">
        <v>3410</v>
      </c>
      <c r="O222" s="549">
        <v>4610</v>
      </c>
      <c r="P222" s="72">
        <f t="shared" si="21"/>
        <v>-1202.1999999999998</v>
      </c>
      <c r="Q222" s="72">
        <f>IFERROR(IF(D222=20250,O222/(#REF!/30),O222/(I222/30)),0)</f>
        <v>26.865845603947317</v>
      </c>
      <c r="R222" s="72">
        <f t="shared" si="22"/>
        <v>19.872566921791833</v>
      </c>
      <c r="AC222"/>
      <c r="AD222"/>
      <c r="AE222"/>
      <c r="AF222"/>
      <c r="AG222"/>
      <c r="AH222"/>
      <c r="AI222"/>
      <c r="AJ222"/>
    </row>
    <row r="223" spans="1:36" ht="15">
      <c r="A223" s="352" t="str">
        <f t="shared" si="18"/>
        <v>420015300</v>
      </c>
      <c r="B223" s="509" t="s">
        <v>98</v>
      </c>
      <c r="C223" s="69" t="str">
        <f>_xlfn.XLOOKUP(B:B,Master!A:A,Master!B:B)</f>
        <v>RPSPL-KOL</v>
      </c>
      <c r="D223" s="509" t="s">
        <v>43</v>
      </c>
      <c r="E223" s="69" t="str">
        <f t="shared" si="19"/>
        <v>420015300</v>
      </c>
      <c r="F223" s="509" t="s">
        <v>44</v>
      </c>
      <c r="G223" s="70" t="str">
        <f>VLOOKUP(D223,Master!C:G,4,)</f>
        <v>NGL</v>
      </c>
      <c r="H223" s="69" t="str">
        <f>VLOOKUP(D223,Master!C:G,5,)</f>
        <v>UF-Dry</v>
      </c>
      <c r="I223" s="549">
        <v>257.31</v>
      </c>
      <c r="J223" s="549">
        <v>9</v>
      </c>
      <c r="K223" s="71">
        <f t="shared" si="20"/>
        <v>3.4977264777894368E-2</v>
      </c>
      <c r="L223" s="549">
        <v>117</v>
      </c>
      <c r="M223" s="511">
        <v>46164</v>
      </c>
      <c r="N223" s="549">
        <v>0</v>
      </c>
      <c r="O223" s="549">
        <v>117</v>
      </c>
      <c r="P223" s="72">
        <f t="shared" si="21"/>
        <v>131.31</v>
      </c>
      <c r="Q223" s="72">
        <f>IFERROR(IF(D223=20250,O223/(#REF!/30),O223/(I223/30)),0)</f>
        <v>13.641133263378803</v>
      </c>
      <c r="R223" s="72">
        <f t="shared" si="22"/>
        <v>0</v>
      </c>
      <c r="AC223"/>
      <c r="AD223"/>
      <c r="AE223"/>
      <c r="AF223"/>
      <c r="AG223"/>
      <c r="AH223"/>
      <c r="AI223"/>
      <c r="AJ223"/>
    </row>
    <row r="224" spans="1:36" ht="15">
      <c r="A224" s="352" t="str">
        <f t="shared" si="18"/>
        <v>420019690</v>
      </c>
      <c r="B224" s="509" t="s">
        <v>98</v>
      </c>
      <c r="C224" s="69" t="str">
        <f>_xlfn.XLOOKUP(B:B,Master!A:A,Master!B:B)</f>
        <v>RPSPL-KOL</v>
      </c>
      <c r="D224" s="509" t="s">
        <v>88</v>
      </c>
      <c r="E224" s="69" t="str">
        <f t="shared" si="19"/>
        <v>420019690</v>
      </c>
      <c r="F224" s="509" t="s">
        <v>89</v>
      </c>
      <c r="G224" s="70" t="str">
        <f>VLOOKUP(D224,Master!C:G,4,)</f>
        <v>NFL</v>
      </c>
      <c r="H224" s="69" t="str">
        <f>VLOOKUP(D224,Master!C:G,5,)</f>
        <v>OS - Dry</v>
      </c>
      <c r="I224" s="549">
        <v>257.27999999999997</v>
      </c>
      <c r="J224" s="549">
        <v>48</v>
      </c>
      <c r="K224" s="71">
        <f t="shared" si="20"/>
        <v>0.18656716417910449</v>
      </c>
      <c r="L224" s="549">
        <v>0</v>
      </c>
      <c r="M224" s="511"/>
      <c r="N224" s="549">
        <v>336</v>
      </c>
      <c r="O224" s="549">
        <v>336</v>
      </c>
      <c r="P224" s="72">
        <f t="shared" si="21"/>
        <v>-126.72000000000003</v>
      </c>
      <c r="Q224" s="72">
        <f>IFERROR(IF(D224=20250,O224/(#REF!/30),O224/(I224/30)),0)</f>
        <v>39.179104477611943</v>
      </c>
      <c r="R224" s="72">
        <f t="shared" si="22"/>
        <v>39.179104477611943</v>
      </c>
      <c r="AC224"/>
      <c r="AD224"/>
      <c r="AE224"/>
      <c r="AF224"/>
      <c r="AG224"/>
      <c r="AH224"/>
      <c r="AI224"/>
      <c r="AJ224"/>
    </row>
    <row r="225" spans="1:36" ht="15">
      <c r="A225" s="352" t="str">
        <f t="shared" si="18"/>
        <v>420020160</v>
      </c>
      <c r="B225" s="509" t="s">
        <v>98</v>
      </c>
      <c r="C225" s="69" t="str">
        <f>_xlfn.XLOOKUP(B:B,Master!A:A,Master!B:B)</f>
        <v>RPSPL-KOL</v>
      </c>
      <c r="D225" s="509" t="s">
        <v>144</v>
      </c>
      <c r="E225" s="69" t="str">
        <f t="shared" si="19"/>
        <v>420020160</v>
      </c>
      <c r="F225" s="509" t="s">
        <v>145</v>
      </c>
      <c r="G225" s="70" t="str">
        <f>VLOOKUP(D225,Master!C:G,4,)</f>
        <v>NFL</v>
      </c>
      <c r="H225" s="69" t="str">
        <f>VLOOKUP(D225,Master!C:G,5,)</f>
        <v>OS - Dry</v>
      </c>
      <c r="I225" s="549">
        <v>128.63999999999999</v>
      </c>
      <c r="J225" s="549">
        <v>0</v>
      </c>
      <c r="K225" s="71">
        <f t="shared" si="20"/>
        <v>0</v>
      </c>
      <c r="L225" s="549">
        <v>0</v>
      </c>
      <c r="M225" s="511"/>
      <c r="N225" s="549">
        <v>0</v>
      </c>
      <c r="O225" s="549">
        <v>0</v>
      </c>
      <c r="P225" s="72">
        <f t="shared" si="21"/>
        <v>128.63999999999999</v>
      </c>
      <c r="Q225" s="72">
        <f>IFERROR(IF(D225=20250,O225/(#REF!/30),O225/(I225/30)),0)</f>
        <v>0</v>
      </c>
      <c r="R225" s="72">
        <f t="shared" si="22"/>
        <v>0</v>
      </c>
      <c r="AC225"/>
      <c r="AD225"/>
      <c r="AE225"/>
      <c r="AF225"/>
      <c r="AG225"/>
      <c r="AH225"/>
      <c r="AI225"/>
      <c r="AJ225"/>
    </row>
    <row r="226" spans="1:36" ht="15">
      <c r="A226" s="352" t="str">
        <f t="shared" si="18"/>
        <v>420020309</v>
      </c>
      <c r="B226" s="509" t="s">
        <v>98</v>
      </c>
      <c r="C226" s="69" t="str">
        <f>_xlfn.XLOOKUP(B:B,Master!A:A,Master!B:B)</f>
        <v>RPSPL-KOL</v>
      </c>
      <c r="D226" s="509" t="s">
        <v>1025</v>
      </c>
      <c r="E226" s="69" t="str">
        <f t="shared" si="19"/>
        <v>420020309</v>
      </c>
      <c r="F226" s="509" t="s">
        <v>1026</v>
      </c>
      <c r="G226" s="70" t="str">
        <f>VLOOKUP(D226,Master!C:G,4,)</f>
        <v>NFL</v>
      </c>
      <c r="H226" s="69" t="str">
        <f>VLOOKUP(D226,Master!C:G,5,)</f>
        <v>OS - Dry</v>
      </c>
      <c r="I226" s="549">
        <v>77.16</v>
      </c>
      <c r="J226" s="549">
        <v>0</v>
      </c>
      <c r="K226" s="71">
        <f t="shared" si="20"/>
        <v>0</v>
      </c>
      <c r="L226" s="549">
        <v>0</v>
      </c>
      <c r="M226" s="511"/>
      <c r="N226" s="549">
        <v>0</v>
      </c>
      <c r="O226" s="549">
        <v>0</v>
      </c>
      <c r="P226" s="72">
        <f t="shared" si="21"/>
        <v>77.16</v>
      </c>
      <c r="Q226" s="72">
        <f>IFERROR(IF(D226=20250,O226/(#REF!/30),O226/(I226/30)),0)</f>
        <v>0</v>
      </c>
      <c r="R226" s="72">
        <f t="shared" si="22"/>
        <v>0</v>
      </c>
      <c r="AC226"/>
      <c r="AD226"/>
      <c r="AE226"/>
      <c r="AF226"/>
      <c r="AG226"/>
      <c r="AH226"/>
      <c r="AI226"/>
      <c r="AJ226"/>
    </row>
    <row r="227" spans="1:36" ht="15">
      <c r="A227" s="352" t="str">
        <f t="shared" si="18"/>
        <v>420020661</v>
      </c>
      <c r="B227" s="509" t="s">
        <v>98</v>
      </c>
      <c r="C227" s="69" t="str">
        <f>_xlfn.XLOOKUP(B:B,Master!A:A,Master!B:B)</f>
        <v>RPSPL-KOL</v>
      </c>
      <c r="D227" s="509" t="s">
        <v>167</v>
      </c>
      <c r="E227" s="69" t="str">
        <f t="shared" si="19"/>
        <v>420020661</v>
      </c>
      <c r="F227" s="509" t="s">
        <v>168</v>
      </c>
      <c r="G227" s="70" t="str">
        <f>VLOOKUP(D227,Master!C:G,4,)</f>
        <v>UHT-Chill</v>
      </c>
      <c r="H227" s="69" t="str">
        <f>VLOOKUP(D227,Master!C:G,5,)</f>
        <v>OS-Chill</v>
      </c>
      <c r="I227" s="549">
        <v>1876.56</v>
      </c>
      <c r="J227" s="549">
        <v>660</v>
      </c>
      <c r="K227" s="71">
        <f t="shared" si="20"/>
        <v>0.35170737946028907</v>
      </c>
      <c r="L227" s="549">
        <v>0</v>
      </c>
      <c r="M227" s="511"/>
      <c r="N227" s="549">
        <v>1284</v>
      </c>
      <c r="O227" s="549">
        <v>1284</v>
      </c>
      <c r="P227" s="72">
        <f t="shared" si="21"/>
        <v>-67.440000000000055</v>
      </c>
      <c r="Q227" s="72">
        <f>IFERROR(IF(D227=20250,O227/(#REF!/30),O227/(I227/30)),0)</f>
        <v>20.52692160122778</v>
      </c>
      <c r="R227" s="72">
        <f t="shared" si="22"/>
        <v>20.52692160122778</v>
      </c>
      <c r="AC227"/>
      <c r="AD227"/>
      <c r="AE227"/>
      <c r="AF227"/>
      <c r="AG227"/>
      <c r="AH227"/>
      <c r="AI227"/>
      <c r="AJ227"/>
    </row>
    <row r="228" spans="1:36" ht="15">
      <c r="A228" s="352" t="str">
        <f t="shared" si="18"/>
        <v>420023638</v>
      </c>
      <c r="B228" s="509" t="s">
        <v>98</v>
      </c>
      <c r="C228" s="69" t="str">
        <f>_xlfn.XLOOKUP(B:B,Master!A:A,Master!B:B)</f>
        <v>RPSPL-KOL</v>
      </c>
      <c r="D228" s="509" t="s">
        <v>198</v>
      </c>
      <c r="E228" s="69" t="str">
        <f t="shared" si="19"/>
        <v>420023638</v>
      </c>
      <c r="F228" s="509" t="s">
        <v>199</v>
      </c>
      <c r="G228" s="70" t="str">
        <f>VLOOKUP(D228,Master!C:G,4,)</f>
        <v>DD</v>
      </c>
      <c r="H228" s="69" t="str">
        <f>VLOOKUP(D228,Master!C:G,5,)</f>
        <v>OS - Dry</v>
      </c>
      <c r="I228" s="549">
        <v>5791.08</v>
      </c>
      <c r="J228" s="549">
        <v>1716</v>
      </c>
      <c r="K228" s="71">
        <f t="shared" si="20"/>
        <v>0.29631778528357405</v>
      </c>
      <c r="L228" s="549">
        <v>0</v>
      </c>
      <c r="M228" s="511"/>
      <c r="N228" s="549">
        <v>1308</v>
      </c>
      <c r="O228" s="549">
        <v>1308</v>
      </c>
      <c r="P228" s="72">
        <f t="shared" si="21"/>
        <v>2767.08</v>
      </c>
      <c r="Q228" s="72">
        <f>IFERROR(IF(D228=20250,O228/(#REF!/30),O228/(I228/30)),0)</f>
        <v>6.7759381669740355</v>
      </c>
      <c r="R228" s="72">
        <f t="shared" si="22"/>
        <v>6.7759381669740355</v>
      </c>
      <c r="AC228"/>
      <c r="AD228"/>
      <c r="AE228"/>
      <c r="AF228"/>
      <c r="AG228"/>
      <c r="AH228"/>
      <c r="AI228"/>
      <c r="AJ228"/>
    </row>
    <row r="229" spans="1:36" ht="15">
      <c r="A229" s="352" t="str">
        <f t="shared" si="18"/>
        <v>420025885</v>
      </c>
      <c r="B229" s="509" t="s">
        <v>98</v>
      </c>
      <c r="C229" s="69" t="str">
        <f>_xlfn.XLOOKUP(B:B,Master!A:A,Master!B:B)</f>
        <v>RPSPL-KOL</v>
      </c>
      <c r="D229" s="509" t="s">
        <v>1037</v>
      </c>
      <c r="E229" s="69" t="str">
        <f t="shared" si="19"/>
        <v>420025885</v>
      </c>
      <c r="F229" s="509" t="s">
        <v>1038</v>
      </c>
      <c r="G229" s="70" t="str">
        <f>VLOOKUP(D229,Master!C:G,4,)</f>
        <v>T&amp;I</v>
      </c>
      <c r="H229" s="69" t="str">
        <f>VLOOKUP(D229,Master!C:G,5,)</f>
        <v>T&amp;I EX UF</v>
      </c>
      <c r="I229" s="549">
        <v>771.96</v>
      </c>
      <c r="J229" s="549">
        <v>240</v>
      </c>
      <c r="K229" s="71">
        <f t="shared" si="20"/>
        <v>0.31089693766516396</v>
      </c>
      <c r="L229" s="549">
        <v>0</v>
      </c>
      <c r="M229" s="511"/>
      <c r="N229" s="549">
        <v>540</v>
      </c>
      <c r="O229" s="549">
        <v>540</v>
      </c>
      <c r="P229" s="72">
        <f t="shared" si="21"/>
        <v>-8.0399999999999636</v>
      </c>
      <c r="Q229" s="72">
        <f>IFERROR(IF(D229=20250,O229/(#REF!/30),O229/(I229/30)),0)</f>
        <v>20.985543292398567</v>
      </c>
      <c r="R229" s="72">
        <f t="shared" si="22"/>
        <v>20.985543292398567</v>
      </c>
      <c r="AC229"/>
      <c r="AD229"/>
      <c r="AE229"/>
      <c r="AF229"/>
      <c r="AG229"/>
      <c r="AH229"/>
      <c r="AI229"/>
      <c r="AJ229"/>
    </row>
    <row r="230" spans="1:36" ht="15">
      <c r="A230" s="352" t="str">
        <f t="shared" si="18"/>
        <v>420026234</v>
      </c>
      <c r="B230" s="509" t="s">
        <v>98</v>
      </c>
      <c r="C230" s="69" t="str">
        <f>_xlfn.XLOOKUP(B:B,Master!A:A,Master!B:B)</f>
        <v>RPSPL-KOL</v>
      </c>
      <c r="D230" s="509" t="s">
        <v>1176</v>
      </c>
      <c r="E230" s="69" t="str">
        <f t="shared" si="19"/>
        <v>420026234</v>
      </c>
      <c r="F230" s="509" t="s">
        <v>1182</v>
      </c>
      <c r="G230" s="70" t="str">
        <f>VLOOKUP(D230,Master!C:G,4,)</f>
        <v>T&amp;I</v>
      </c>
      <c r="H230" s="69" t="str">
        <f>VLOOKUP(D230,Master!C:G,5,)</f>
        <v>T&amp;I EX UF</v>
      </c>
      <c r="I230" s="549">
        <v>0</v>
      </c>
      <c r="J230" s="549">
        <v>0</v>
      </c>
      <c r="K230" s="71">
        <f t="shared" si="20"/>
        <v>0</v>
      </c>
      <c r="L230" s="549">
        <v>0</v>
      </c>
      <c r="M230" s="511"/>
      <c r="N230" s="549">
        <v>552</v>
      </c>
      <c r="O230" s="549">
        <v>552</v>
      </c>
      <c r="P230" s="72">
        <f t="shared" si="21"/>
        <v>-552</v>
      </c>
      <c r="Q230" s="72">
        <f>IFERROR(IF(D230=20250,O230/(#REF!/30),O230/(I230/30)),0)</f>
        <v>0</v>
      </c>
      <c r="R230" s="72">
        <f t="shared" si="22"/>
        <v>0</v>
      </c>
      <c r="AC230"/>
      <c r="AD230"/>
      <c r="AE230"/>
      <c r="AF230"/>
      <c r="AG230"/>
      <c r="AH230"/>
      <c r="AI230"/>
      <c r="AJ230"/>
    </row>
    <row r="231" spans="1:36" ht="15">
      <c r="A231" s="352" t="str">
        <f t="shared" si="18"/>
        <v>420026745</v>
      </c>
      <c r="B231" s="509" t="s">
        <v>98</v>
      </c>
      <c r="C231" s="69" t="str">
        <f>_xlfn.XLOOKUP(B:B,Master!A:A,Master!B:B)</f>
        <v>RPSPL-KOL</v>
      </c>
      <c r="D231" s="509" t="s">
        <v>1232</v>
      </c>
      <c r="E231" s="69" t="str">
        <f t="shared" si="19"/>
        <v>420026745</v>
      </c>
      <c r="F231" s="509" t="s">
        <v>1237</v>
      </c>
      <c r="G231" s="70" t="str">
        <f>VLOOKUP(D231,Master!C:G,4,)</f>
        <v>NFL</v>
      </c>
      <c r="H231" s="69" t="str">
        <f>VLOOKUP(D231,Master!C:G,5,)</f>
        <v>PF MFG</v>
      </c>
      <c r="I231" s="549">
        <v>128.63999999999999</v>
      </c>
      <c r="J231" s="549">
        <v>0</v>
      </c>
      <c r="K231" s="71">
        <f t="shared" si="20"/>
        <v>0</v>
      </c>
      <c r="L231" s="549">
        <v>0</v>
      </c>
      <c r="M231" s="511"/>
      <c r="N231" s="549">
        <v>0</v>
      </c>
      <c r="O231" s="549">
        <v>0</v>
      </c>
      <c r="P231" s="72">
        <f t="shared" si="21"/>
        <v>128.63999999999999</v>
      </c>
      <c r="Q231" s="72">
        <f>IFERROR(IF(D231=20250,O231/(#REF!/30),O231/(I231/30)),0)</f>
        <v>0</v>
      </c>
      <c r="R231" s="72">
        <f t="shared" si="22"/>
        <v>0</v>
      </c>
      <c r="AC231"/>
      <c r="AD231"/>
      <c r="AE231"/>
      <c r="AF231"/>
      <c r="AG231"/>
      <c r="AH231"/>
      <c r="AI231"/>
      <c r="AJ231"/>
    </row>
    <row r="232" spans="1:36" ht="15">
      <c r="A232" s="352" t="str">
        <f t="shared" si="18"/>
        <v>420004145</v>
      </c>
      <c r="B232" s="509" t="s">
        <v>98</v>
      </c>
      <c r="C232" s="69" t="str">
        <f>_xlfn.XLOOKUP(B:B,Master!A:A,Master!B:B)</f>
        <v>RPSPL-KOL</v>
      </c>
      <c r="D232" s="509" t="s">
        <v>34</v>
      </c>
      <c r="E232" s="69" t="str">
        <f t="shared" si="19"/>
        <v>420004145</v>
      </c>
      <c r="F232" s="509" t="s">
        <v>35</v>
      </c>
      <c r="G232" s="70" t="str">
        <f>VLOOKUP(D232,Master!C:G,4,)</f>
        <v>NGL</v>
      </c>
      <c r="H232" s="69" t="str">
        <f>VLOOKUP(D232,Master!C:G,5,)</f>
        <v>UF-Dry</v>
      </c>
      <c r="I232" s="549">
        <v>720</v>
      </c>
      <c r="J232" s="549">
        <v>297</v>
      </c>
      <c r="K232" s="71">
        <f t="shared" si="20"/>
        <v>0.41249999999999998</v>
      </c>
      <c r="L232" s="549">
        <v>1197</v>
      </c>
      <c r="M232" s="511">
        <v>46164</v>
      </c>
      <c r="N232" s="549">
        <v>0</v>
      </c>
      <c r="O232" s="549">
        <v>1197</v>
      </c>
      <c r="P232" s="72">
        <f t="shared" si="21"/>
        <v>-774</v>
      </c>
      <c r="Q232" s="72">
        <f>IFERROR(IF(D232=20250,O232/(#REF!/30),O232/(I232/30)),0)</f>
        <v>49.875</v>
      </c>
      <c r="R232" s="72">
        <f t="shared" si="22"/>
        <v>0</v>
      </c>
      <c r="AC232"/>
      <c r="AD232"/>
      <c r="AE232"/>
      <c r="AF232"/>
      <c r="AG232"/>
      <c r="AH232"/>
      <c r="AI232"/>
      <c r="AJ232"/>
    </row>
    <row r="233" spans="1:36" ht="15">
      <c r="A233" s="352" t="str">
        <f t="shared" si="18"/>
        <v>420014248</v>
      </c>
      <c r="B233" s="509" t="s">
        <v>98</v>
      </c>
      <c r="C233" s="69" t="str">
        <f>_xlfn.XLOOKUP(B:B,Master!A:A,Master!B:B)</f>
        <v>RPSPL-KOL</v>
      </c>
      <c r="D233" s="509" t="s">
        <v>41</v>
      </c>
      <c r="E233" s="69" t="str">
        <f t="shared" si="19"/>
        <v>420014248</v>
      </c>
      <c r="F233" s="509" t="s">
        <v>42</v>
      </c>
      <c r="G233" s="70" t="str">
        <f>VLOOKUP(D233,Master!C:G,4,)</f>
        <v>NGL</v>
      </c>
      <c r="H233" s="69" t="str">
        <f>VLOOKUP(D233,Master!C:G,5,)</f>
        <v>UF-Dry</v>
      </c>
      <c r="I233" s="549">
        <v>1029.3</v>
      </c>
      <c r="J233" s="549">
        <v>430</v>
      </c>
      <c r="K233" s="71">
        <f t="shared" si="20"/>
        <v>0.41775964247546876</v>
      </c>
      <c r="L233" s="549">
        <v>600</v>
      </c>
      <c r="M233" s="511">
        <v>46164</v>
      </c>
      <c r="N233" s="549">
        <v>610</v>
      </c>
      <c r="O233" s="549">
        <v>1210</v>
      </c>
      <c r="P233" s="72">
        <f t="shared" si="21"/>
        <v>-610.70000000000005</v>
      </c>
      <c r="Q233" s="72">
        <f>IFERROR(IF(D233=20250,O233/(#REF!/30),O233/(I233/30)),0)</f>
        <v>35.266686097347716</v>
      </c>
      <c r="R233" s="72">
        <f t="shared" si="22"/>
        <v>17.779073156514137</v>
      </c>
      <c r="AC233"/>
      <c r="AD233"/>
      <c r="AE233"/>
      <c r="AF233"/>
      <c r="AG233"/>
      <c r="AH233"/>
      <c r="AI233"/>
      <c r="AJ233"/>
    </row>
    <row r="234" spans="1:36" ht="15">
      <c r="A234" s="352" t="str">
        <f t="shared" si="18"/>
        <v>420015305</v>
      </c>
      <c r="B234" s="509" t="s">
        <v>98</v>
      </c>
      <c r="C234" s="69" t="str">
        <f>_xlfn.XLOOKUP(B:B,Master!A:A,Master!B:B)</f>
        <v>RPSPL-KOL</v>
      </c>
      <c r="D234" s="509" t="s">
        <v>45</v>
      </c>
      <c r="E234" s="69" t="str">
        <f t="shared" si="19"/>
        <v>420015305</v>
      </c>
      <c r="F234" s="509" t="s">
        <v>46</v>
      </c>
      <c r="G234" s="70" t="str">
        <f>VLOOKUP(D234,Master!C:G,4,)</f>
        <v>NGL</v>
      </c>
      <c r="H234" s="69" t="str">
        <f>VLOOKUP(D234,Master!C:G,5,)</f>
        <v>UF-Dry</v>
      </c>
      <c r="I234" s="549">
        <v>192.96</v>
      </c>
      <c r="J234" s="549">
        <v>99</v>
      </c>
      <c r="K234" s="71">
        <f t="shared" si="20"/>
        <v>0.51305970149253732</v>
      </c>
      <c r="L234" s="549">
        <v>0</v>
      </c>
      <c r="M234" s="511"/>
      <c r="N234" s="549">
        <v>180</v>
      </c>
      <c r="O234" s="549">
        <v>180</v>
      </c>
      <c r="P234" s="72">
        <f t="shared" si="21"/>
        <v>-86.039999999999992</v>
      </c>
      <c r="Q234" s="72">
        <f>IFERROR(IF(D234=20250,O234/(#REF!/30),O234/(I234/30)),0)</f>
        <v>27.985074626865671</v>
      </c>
      <c r="R234" s="72">
        <f t="shared" si="22"/>
        <v>27.985074626865671</v>
      </c>
      <c r="AC234"/>
      <c r="AD234"/>
      <c r="AE234"/>
      <c r="AF234"/>
      <c r="AG234"/>
      <c r="AH234"/>
      <c r="AI234"/>
      <c r="AJ234"/>
    </row>
    <row r="235" spans="1:36" ht="15">
      <c r="A235" s="352" t="str">
        <f t="shared" si="18"/>
        <v>420015312</v>
      </c>
      <c r="B235" s="509" t="s">
        <v>98</v>
      </c>
      <c r="C235" s="69" t="str">
        <f>_xlfn.XLOOKUP(B:B,Master!A:A,Master!B:B)</f>
        <v>RPSPL-KOL</v>
      </c>
      <c r="D235" s="509" t="s">
        <v>47</v>
      </c>
      <c r="E235" s="69" t="str">
        <f t="shared" si="19"/>
        <v>420015312</v>
      </c>
      <c r="F235" s="509" t="s">
        <v>48</v>
      </c>
      <c r="G235" s="70" t="str">
        <f>VLOOKUP(D235,Master!C:G,4,)</f>
        <v>NGL</v>
      </c>
      <c r="H235" s="69" t="str">
        <f>VLOOKUP(D235,Master!C:G,5,)</f>
        <v>UF-Dry</v>
      </c>
      <c r="I235" s="549">
        <v>144.44999999999999</v>
      </c>
      <c r="J235" s="549">
        <v>54</v>
      </c>
      <c r="K235" s="71">
        <f t="shared" si="20"/>
        <v>0.37383177570093462</v>
      </c>
      <c r="L235" s="549">
        <v>0</v>
      </c>
      <c r="M235" s="511"/>
      <c r="N235" s="549">
        <v>207</v>
      </c>
      <c r="O235" s="549">
        <v>207</v>
      </c>
      <c r="P235" s="72">
        <f t="shared" si="21"/>
        <v>-116.55000000000001</v>
      </c>
      <c r="Q235" s="72">
        <f>IFERROR(IF(D235=20250,O235/(#REF!/30),O235/(I235/30)),0)</f>
        <v>42.990654205607484</v>
      </c>
      <c r="R235" s="72">
        <f t="shared" si="22"/>
        <v>42.990654205607484</v>
      </c>
      <c r="AC235"/>
      <c r="AD235"/>
      <c r="AE235"/>
      <c r="AF235"/>
      <c r="AG235"/>
      <c r="AH235"/>
      <c r="AI235"/>
      <c r="AJ235"/>
    </row>
    <row r="236" spans="1:36" ht="15">
      <c r="A236" s="352" t="str">
        <f t="shared" si="18"/>
        <v>420016407</v>
      </c>
      <c r="B236" s="509" t="s">
        <v>98</v>
      </c>
      <c r="C236" s="69" t="str">
        <f>_xlfn.XLOOKUP(B:B,Master!A:A,Master!B:B)</f>
        <v>RPSPL-KOL</v>
      </c>
      <c r="D236" s="509" t="s">
        <v>49</v>
      </c>
      <c r="E236" s="69" t="str">
        <f t="shared" si="19"/>
        <v>420016407</v>
      </c>
      <c r="F236" s="509" t="s">
        <v>50</v>
      </c>
      <c r="G236" s="70" t="str">
        <f>VLOOKUP(D236,Master!C:G,4,)</f>
        <v>NGL</v>
      </c>
      <c r="H236" s="69" t="str">
        <f>VLOOKUP(D236,Master!C:G,5,)</f>
        <v>UF-Dry</v>
      </c>
      <c r="I236" s="549">
        <v>578.97</v>
      </c>
      <c r="J236" s="549">
        <v>189</v>
      </c>
      <c r="K236" s="71">
        <f t="shared" si="20"/>
        <v>0.32644178454842221</v>
      </c>
      <c r="L236" s="549">
        <v>0</v>
      </c>
      <c r="M236" s="511"/>
      <c r="N236" s="549">
        <v>486</v>
      </c>
      <c r="O236" s="549">
        <v>486</v>
      </c>
      <c r="P236" s="72">
        <f t="shared" si="21"/>
        <v>-96.029999999999973</v>
      </c>
      <c r="Q236" s="72">
        <f>IFERROR(IF(D236=20250,O236/(#REF!/30),O236/(I236/30)),0)</f>
        <v>25.182651950878284</v>
      </c>
      <c r="R236" s="72">
        <f t="shared" si="22"/>
        <v>25.182651950878284</v>
      </c>
      <c r="AC236"/>
      <c r="AD236"/>
      <c r="AE236"/>
      <c r="AF236"/>
      <c r="AG236"/>
      <c r="AH236"/>
      <c r="AI236"/>
      <c r="AJ236"/>
    </row>
    <row r="237" spans="1:36" ht="15">
      <c r="A237" s="352" t="str">
        <f t="shared" si="18"/>
        <v>420000189</v>
      </c>
      <c r="B237" s="509" t="s">
        <v>98</v>
      </c>
      <c r="C237" s="69" t="str">
        <f>_xlfn.XLOOKUP(B:B,Master!A:A,Master!B:B)</f>
        <v>RPSPL-KOL</v>
      </c>
      <c r="D237" s="509" t="s">
        <v>51</v>
      </c>
      <c r="E237" s="69" t="str">
        <f t="shared" si="19"/>
        <v>420000189</v>
      </c>
      <c r="F237" s="509" t="s">
        <v>903</v>
      </c>
      <c r="G237" s="70" t="str">
        <f>VLOOKUP(D237,Master!C:G,4,)</f>
        <v>T&amp;I</v>
      </c>
      <c r="H237" s="69" t="str">
        <f>VLOOKUP(D237,Master!C:G,5,)</f>
        <v>T&amp;I Comm-UF</v>
      </c>
      <c r="I237" s="549">
        <v>120000</v>
      </c>
      <c r="J237" s="549">
        <v>81720</v>
      </c>
      <c r="K237" s="71">
        <f t="shared" si="20"/>
        <v>0.68100000000000005</v>
      </c>
      <c r="L237" s="549">
        <v>19356</v>
      </c>
      <c r="M237" s="511">
        <v>46164</v>
      </c>
      <c r="N237" s="549">
        <v>18924</v>
      </c>
      <c r="O237" s="549">
        <v>38280</v>
      </c>
      <c r="P237" s="72">
        <f t="shared" si="21"/>
        <v>0</v>
      </c>
      <c r="Q237" s="72">
        <f>IFERROR(IF(D237=20250,O237/(#REF!/30),O237/(I237/30)),0)</f>
        <v>9.57</v>
      </c>
      <c r="R237" s="72">
        <f t="shared" si="22"/>
        <v>4.7309999999999999</v>
      </c>
      <c r="AC237"/>
      <c r="AD237"/>
      <c r="AE237"/>
      <c r="AF237"/>
      <c r="AG237"/>
      <c r="AH237"/>
      <c r="AI237"/>
      <c r="AJ237"/>
    </row>
    <row r="238" spans="1:36" ht="15">
      <c r="A238" s="352" t="str">
        <f t="shared" si="18"/>
        <v>420001167</v>
      </c>
      <c r="B238" s="509" t="s">
        <v>98</v>
      </c>
      <c r="C238" s="69" t="str">
        <f>_xlfn.XLOOKUP(B:B,Master!A:A,Master!B:B)</f>
        <v>RPSPL-KOL</v>
      </c>
      <c r="D238" s="509" t="s">
        <v>53</v>
      </c>
      <c r="E238" s="69" t="str">
        <f t="shared" si="19"/>
        <v>420001167</v>
      </c>
      <c r="F238" s="509" t="s">
        <v>54</v>
      </c>
      <c r="G238" s="70" t="str">
        <f>VLOOKUP(D238,Master!C:G,4,)</f>
        <v>T&amp;I</v>
      </c>
      <c r="H238" s="69" t="str">
        <f>VLOOKUP(D238,Master!C:G,5,)</f>
        <v>T&amp;I EX UF</v>
      </c>
      <c r="I238" s="549">
        <v>4504.4399999999996</v>
      </c>
      <c r="J238" s="549">
        <v>1704</v>
      </c>
      <c r="K238" s="71">
        <f t="shared" si="20"/>
        <v>0.37829341716173381</v>
      </c>
      <c r="L238" s="549">
        <v>0</v>
      </c>
      <c r="M238" s="511"/>
      <c r="N238" s="549">
        <v>4056</v>
      </c>
      <c r="O238" s="549">
        <v>4056</v>
      </c>
      <c r="P238" s="72">
        <f t="shared" si="21"/>
        <v>-1255.5600000000004</v>
      </c>
      <c r="Q238" s="72">
        <f>IFERROR(IF(D238=20250,O238/(#REF!/30),O238/(I238/30)),0)</f>
        <v>27.013346831126622</v>
      </c>
      <c r="R238" s="72">
        <f t="shared" si="22"/>
        <v>27.013346831126622</v>
      </c>
      <c r="AC238"/>
      <c r="AD238"/>
      <c r="AE238"/>
      <c r="AF238"/>
      <c r="AG238"/>
      <c r="AH238"/>
      <c r="AI238"/>
      <c r="AJ238"/>
    </row>
    <row r="239" spans="1:36" ht="15">
      <c r="A239" s="352" t="str">
        <f t="shared" si="18"/>
        <v>420001296</v>
      </c>
      <c r="B239" s="509" t="s">
        <v>98</v>
      </c>
      <c r="C239" s="69" t="str">
        <f>_xlfn.XLOOKUP(B:B,Master!A:A,Master!B:B)</f>
        <v>RPSPL-KOL</v>
      </c>
      <c r="D239" s="509" t="s">
        <v>15</v>
      </c>
      <c r="E239" s="69" t="str">
        <f t="shared" si="19"/>
        <v>420001296</v>
      </c>
      <c r="F239" s="509" t="s">
        <v>16</v>
      </c>
      <c r="G239" s="70" t="str">
        <f>VLOOKUP(D239,Master!C:G,4,)</f>
        <v>T&amp;I</v>
      </c>
      <c r="H239" s="69" t="str">
        <f>VLOOKUP(D239,Master!C:G,5,)</f>
        <v>T&amp;I EX HP 2 KG</v>
      </c>
      <c r="I239" s="549">
        <v>7722.24</v>
      </c>
      <c r="J239" s="549">
        <v>3504</v>
      </c>
      <c r="K239" s="71">
        <f t="shared" si="20"/>
        <v>0.45375435106911988</v>
      </c>
      <c r="L239" s="549">
        <v>0</v>
      </c>
      <c r="M239" s="511"/>
      <c r="N239" s="549">
        <v>7224</v>
      </c>
      <c r="O239" s="549">
        <v>7224</v>
      </c>
      <c r="P239" s="72">
        <f t="shared" si="21"/>
        <v>-3005.76</v>
      </c>
      <c r="Q239" s="72">
        <f>IFERROR(IF(D239=20250,O239/(#REF!/30),O239/(I239/30)),0)</f>
        <v>28.064395822973644</v>
      </c>
      <c r="R239" s="72">
        <f t="shared" si="22"/>
        <v>28.064395822973644</v>
      </c>
      <c r="AC239"/>
      <c r="AD239"/>
      <c r="AE239"/>
      <c r="AF239"/>
      <c r="AG239"/>
      <c r="AH239"/>
      <c r="AI239"/>
      <c r="AJ239"/>
    </row>
    <row r="240" spans="1:36" ht="15">
      <c r="A240" s="352" t="str">
        <f t="shared" si="18"/>
        <v>420002122</v>
      </c>
      <c r="B240" s="509" t="s">
        <v>98</v>
      </c>
      <c r="C240" s="69" t="str">
        <f>_xlfn.XLOOKUP(B:B,Master!A:A,Master!B:B)</f>
        <v>RPSPL-KOL</v>
      </c>
      <c r="D240" s="509" t="s">
        <v>55</v>
      </c>
      <c r="E240" s="69" t="str">
        <f t="shared" si="19"/>
        <v>420002122</v>
      </c>
      <c r="F240" s="509" t="s">
        <v>56</v>
      </c>
      <c r="G240" s="70" t="str">
        <f>VLOOKUP(D240,Master!C:G,4,)</f>
        <v>T&amp;I</v>
      </c>
      <c r="H240" s="69" t="str">
        <f>VLOOKUP(D240,Master!C:G,5,)</f>
        <v>T&amp;I EX HP 2 KG</v>
      </c>
      <c r="I240" s="549">
        <v>9652.2000000000007</v>
      </c>
      <c r="J240" s="549">
        <v>5448</v>
      </c>
      <c r="K240" s="71">
        <f t="shared" si="20"/>
        <v>0.56443090694349474</v>
      </c>
      <c r="L240" s="549">
        <v>0</v>
      </c>
      <c r="M240" s="511"/>
      <c r="N240" s="549">
        <v>5268</v>
      </c>
      <c r="O240" s="549">
        <v>5268</v>
      </c>
      <c r="P240" s="72">
        <f t="shared" si="21"/>
        <v>-1063.7999999999993</v>
      </c>
      <c r="Q240" s="72">
        <f>IFERROR(IF(D240=20250,O240/(#REF!/30),O240/(I240/30)),0)</f>
        <v>16.373469260893888</v>
      </c>
      <c r="R240" s="72">
        <f t="shared" si="22"/>
        <v>16.373469260893888</v>
      </c>
      <c r="AC240"/>
      <c r="AD240"/>
      <c r="AE240"/>
      <c r="AF240"/>
      <c r="AG240"/>
      <c r="AH240"/>
      <c r="AI240"/>
      <c r="AJ240"/>
    </row>
    <row r="241" spans="1:36" ht="15">
      <c r="A241" s="352" t="str">
        <f t="shared" si="18"/>
        <v>420005159</v>
      </c>
      <c r="B241" s="509" t="s">
        <v>98</v>
      </c>
      <c r="C241" s="69" t="str">
        <f>_xlfn.XLOOKUP(B:B,Master!A:A,Master!B:B)</f>
        <v>RPSPL-KOL</v>
      </c>
      <c r="D241" s="509" t="s">
        <v>57</v>
      </c>
      <c r="E241" s="69" t="str">
        <f t="shared" si="19"/>
        <v>420005159</v>
      </c>
      <c r="F241" s="509" t="s">
        <v>58</v>
      </c>
      <c r="G241" s="70" t="str">
        <f>VLOOKUP(D241,Master!C:G,4,)</f>
        <v>T&amp;I</v>
      </c>
      <c r="H241" s="69" t="str">
        <f>VLOOKUP(D241,Master!C:G,5,)</f>
        <v>T&amp;I EX HP</v>
      </c>
      <c r="I241" s="549">
        <v>0</v>
      </c>
      <c r="J241" s="549">
        <v>0</v>
      </c>
      <c r="K241" s="71">
        <f t="shared" si="20"/>
        <v>0</v>
      </c>
      <c r="L241" s="549">
        <v>0</v>
      </c>
      <c r="M241" s="511"/>
      <c r="N241" s="549">
        <v>480</v>
      </c>
      <c r="O241" s="549">
        <v>480</v>
      </c>
      <c r="P241" s="72">
        <f t="shared" si="21"/>
        <v>-480</v>
      </c>
      <c r="Q241" s="72">
        <f>IFERROR(IF(D241=20250,O241/(#REF!/30),O241/(I241/30)),0)</f>
        <v>0</v>
      </c>
      <c r="R241" s="72">
        <f t="shared" si="22"/>
        <v>0</v>
      </c>
      <c r="AC241"/>
      <c r="AD241"/>
      <c r="AE241"/>
      <c r="AF241"/>
      <c r="AG241"/>
      <c r="AH241"/>
      <c r="AI241"/>
      <c r="AJ241"/>
    </row>
    <row r="242" spans="1:36" ht="15">
      <c r="A242" s="352" t="str">
        <f t="shared" si="18"/>
        <v>420006982</v>
      </c>
      <c r="B242" s="509" t="s">
        <v>98</v>
      </c>
      <c r="C242" s="69" t="str">
        <f>_xlfn.XLOOKUP(B:B,Master!A:A,Master!B:B)</f>
        <v>RPSPL-KOL</v>
      </c>
      <c r="D242" s="509" t="s">
        <v>59</v>
      </c>
      <c r="E242" s="69" t="str">
        <f t="shared" si="19"/>
        <v>420006982</v>
      </c>
      <c r="F242" s="509" t="s">
        <v>60</v>
      </c>
      <c r="G242" s="70" t="str">
        <f>VLOOKUP(D242,Master!C:G,4,)</f>
        <v>T&amp;I</v>
      </c>
      <c r="H242" s="69" t="str">
        <f>VLOOKUP(D242,Master!C:G,5,)</f>
        <v>T&amp;I Comm-UF</v>
      </c>
      <c r="I242" s="549">
        <v>5147.76</v>
      </c>
      <c r="J242" s="549">
        <v>2160</v>
      </c>
      <c r="K242" s="71">
        <f t="shared" si="20"/>
        <v>0.41959998135111193</v>
      </c>
      <c r="L242" s="549">
        <v>0</v>
      </c>
      <c r="M242" s="511"/>
      <c r="N242" s="549">
        <v>3084</v>
      </c>
      <c r="O242" s="549">
        <v>3084</v>
      </c>
      <c r="P242" s="72">
        <f t="shared" si="21"/>
        <v>-96.239999999999782</v>
      </c>
      <c r="Q242" s="72">
        <f>IFERROR(IF(D242=20250,O242/(#REF!/30),O242/(I242/30)),0)</f>
        <v>17.972865867872628</v>
      </c>
      <c r="R242" s="72">
        <f t="shared" si="22"/>
        <v>17.972865867872628</v>
      </c>
      <c r="AC242"/>
      <c r="AD242"/>
      <c r="AE242"/>
      <c r="AF242"/>
      <c r="AG242"/>
      <c r="AH242"/>
      <c r="AI242"/>
      <c r="AJ242"/>
    </row>
    <row r="243" spans="1:36" ht="15">
      <c r="A243" s="352" t="str">
        <f t="shared" si="18"/>
        <v>420007310</v>
      </c>
      <c r="B243" s="509" t="s">
        <v>98</v>
      </c>
      <c r="C243" s="69" t="str">
        <f>_xlfn.XLOOKUP(B:B,Master!A:A,Master!B:B)</f>
        <v>RPSPL-KOL</v>
      </c>
      <c r="D243" s="509" t="s">
        <v>19</v>
      </c>
      <c r="E243" s="69" t="str">
        <f t="shared" si="19"/>
        <v>420007310</v>
      </c>
      <c r="F243" s="509" t="s">
        <v>20</v>
      </c>
      <c r="G243" s="70" t="str">
        <f>VLOOKUP(D243,Master!C:G,4,)</f>
        <v>T&amp;I</v>
      </c>
      <c r="H243" s="69" t="str">
        <f>VLOOKUP(D243,Master!C:G,5,)</f>
        <v>T&amp;I Comm -HP</v>
      </c>
      <c r="I243" s="549">
        <v>25203.599999999999</v>
      </c>
      <c r="J243" s="549">
        <v>13848</v>
      </c>
      <c r="K243" s="71">
        <f t="shared" si="20"/>
        <v>0.54944531733561874</v>
      </c>
      <c r="L243" s="549">
        <v>0</v>
      </c>
      <c r="M243" s="511"/>
      <c r="N243" s="549">
        <v>26448</v>
      </c>
      <c r="O243" s="549">
        <v>26448</v>
      </c>
      <c r="P243" s="72">
        <f t="shared" si="21"/>
        <v>-15092.400000000001</v>
      </c>
      <c r="Q243" s="72">
        <f>IFERROR(IF(D243=20250,O243/(#REF!/30),O243/(I243/30)),0)</f>
        <v>31.481216969004429</v>
      </c>
      <c r="R243" s="72">
        <f t="shared" si="22"/>
        <v>31.481216969004429</v>
      </c>
      <c r="AC243"/>
      <c r="AD243"/>
      <c r="AE243"/>
      <c r="AF243"/>
      <c r="AG243"/>
      <c r="AH243"/>
      <c r="AI243"/>
      <c r="AJ243"/>
    </row>
    <row r="244" spans="1:36" ht="15">
      <c r="A244" s="352" t="str">
        <f t="shared" si="18"/>
        <v>420008529</v>
      </c>
      <c r="B244" s="509" t="s">
        <v>98</v>
      </c>
      <c r="C244" s="69" t="str">
        <f>_xlfn.XLOOKUP(B:B,Master!A:A,Master!B:B)</f>
        <v>RPSPL-KOL</v>
      </c>
      <c r="D244" s="509" t="s">
        <v>61</v>
      </c>
      <c r="E244" s="69" t="str">
        <f t="shared" si="19"/>
        <v>420008529</v>
      </c>
      <c r="F244" s="509" t="s">
        <v>62</v>
      </c>
      <c r="G244" s="70" t="str">
        <f>VLOOKUP(D244,Master!C:G,4,)</f>
        <v>T&amp;I</v>
      </c>
      <c r="H244" s="69" t="str">
        <f>VLOOKUP(D244,Master!C:G,5,)</f>
        <v>T&amp;I EX HP 2 KG</v>
      </c>
      <c r="I244" s="549">
        <v>7400.52</v>
      </c>
      <c r="J244" s="549">
        <v>4092</v>
      </c>
      <c r="K244" s="71">
        <f t="shared" si="20"/>
        <v>0.55293411814304938</v>
      </c>
      <c r="L244" s="549">
        <v>0</v>
      </c>
      <c r="M244" s="511"/>
      <c r="N244" s="549">
        <v>8616</v>
      </c>
      <c r="O244" s="549">
        <v>8616</v>
      </c>
      <c r="P244" s="72">
        <f t="shared" si="21"/>
        <v>-5307.48</v>
      </c>
      <c r="Q244" s="72">
        <f>IFERROR(IF(D244=20250,O244/(#REF!/30),O244/(I244/30)),0)</f>
        <v>34.927275380648922</v>
      </c>
      <c r="R244" s="72">
        <f t="shared" si="22"/>
        <v>34.927275380648922</v>
      </c>
      <c r="AC244"/>
      <c r="AD244"/>
      <c r="AE244"/>
      <c r="AF244"/>
      <c r="AG244"/>
      <c r="AH244"/>
      <c r="AI244"/>
      <c r="AJ244"/>
    </row>
    <row r="245" spans="1:36" ht="15">
      <c r="A245" s="352" t="str">
        <f t="shared" si="18"/>
        <v>420013179</v>
      </c>
      <c r="B245" s="509" t="s">
        <v>98</v>
      </c>
      <c r="C245" s="69" t="str">
        <f>_xlfn.XLOOKUP(B:B,Master!A:A,Master!B:B)</f>
        <v>RPSPL-KOL</v>
      </c>
      <c r="D245" s="509" t="s">
        <v>22</v>
      </c>
      <c r="E245" s="69" t="str">
        <f t="shared" si="19"/>
        <v>420013179</v>
      </c>
      <c r="F245" s="509" t="s">
        <v>23</v>
      </c>
      <c r="G245" s="70" t="str">
        <f>VLOOKUP(D245,Master!C:G,4,)</f>
        <v>T&amp;I</v>
      </c>
      <c r="H245" s="69" t="str">
        <f>VLOOKUP(D245,Master!C:G,5,)</f>
        <v>T&amp;I EX HP 2 KG</v>
      </c>
      <c r="I245" s="549">
        <v>0</v>
      </c>
      <c r="J245" s="549">
        <v>0</v>
      </c>
      <c r="K245" s="71">
        <f t="shared" si="20"/>
        <v>0</v>
      </c>
      <c r="L245" s="549">
        <v>0</v>
      </c>
      <c r="M245" s="511"/>
      <c r="N245" s="549">
        <v>60</v>
      </c>
      <c r="O245" s="549">
        <v>60</v>
      </c>
      <c r="P245" s="72">
        <f t="shared" si="21"/>
        <v>-60</v>
      </c>
      <c r="Q245" s="72">
        <f>IFERROR(IF(D245=20250,O245/(#REF!/30),O245/(I245/30)),0)</f>
        <v>0</v>
      </c>
      <c r="R245" s="72">
        <f t="shared" si="22"/>
        <v>0</v>
      </c>
      <c r="AC245"/>
      <c r="AD245"/>
      <c r="AE245"/>
      <c r="AF245"/>
      <c r="AG245"/>
      <c r="AH245"/>
      <c r="AI245"/>
      <c r="AJ245"/>
    </row>
    <row r="246" spans="1:36" ht="15">
      <c r="A246" s="352" t="str">
        <f t="shared" si="18"/>
        <v>420013678</v>
      </c>
      <c r="B246" s="509" t="s">
        <v>98</v>
      </c>
      <c r="C246" s="69" t="str">
        <f>_xlfn.XLOOKUP(B:B,Master!A:A,Master!B:B)</f>
        <v>RPSPL-KOL</v>
      </c>
      <c r="D246" s="509" t="s">
        <v>65</v>
      </c>
      <c r="E246" s="69" t="str">
        <f t="shared" si="19"/>
        <v>420013678</v>
      </c>
      <c r="F246" s="509" t="s">
        <v>66</v>
      </c>
      <c r="G246" s="70" t="str">
        <f>VLOOKUP(D246,Master!C:G,4,)</f>
        <v>T&amp;I</v>
      </c>
      <c r="H246" s="69" t="str">
        <f>VLOOKUP(D246,Master!C:G,5,)</f>
        <v>T&amp;I EX HP</v>
      </c>
      <c r="I246" s="549">
        <v>4504.4399999999996</v>
      </c>
      <c r="J246" s="549">
        <v>1632</v>
      </c>
      <c r="K246" s="71">
        <f t="shared" si="20"/>
        <v>0.36230918826757602</v>
      </c>
      <c r="L246" s="549">
        <v>0</v>
      </c>
      <c r="M246" s="511"/>
      <c r="N246" s="549">
        <v>4080</v>
      </c>
      <c r="O246" s="549">
        <v>4080</v>
      </c>
      <c r="P246" s="72">
        <f t="shared" si="21"/>
        <v>-1207.5600000000004</v>
      </c>
      <c r="Q246" s="72">
        <f>IFERROR(IF(D246=20250,O246/(#REF!/30),O246/(I246/30)),0)</f>
        <v>27.173189120068201</v>
      </c>
      <c r="R246" s="72">
        <f t="shared" si="22"/>
        <v>27.173189120068201</v>
      </c>
      <c r="AC246"/>
      <c r="AD246"/>
      <c r="AE246"/>
      <c r="AF246"/>
      <c r="AG246"/>
      <c r="AH246"/>
      <c r="AI246"/>
      <c r="AJ246"/>
    </row>
    <row r="247" spans="1:36" ht="15">
      <c r="A247" s="352" t="str">
        <f t="shared" si="18"/>
        <v>420014654</v>
      </c>
      <c r="B247" s="509" t="s">
        <v>98</v>
      </c>
      <c r="C247" s="69" t="str">
        <f>_xlfn.XLOOKUP(B:B,Master!A:A,Master!B:B)</f>
        <v>RPSPL-KOL</v>
      </c>
      <c r="D247" s="509" t="s">
        <v>67</v>
      </c>
      <c r="E247" s="69" t="str">
        <f t="shared" si="19"/>
        <v>420014654</v>
      </c>
      <c r="F247" s="509" t="s">
        <v>68</v>
      </c>
      <c r="G247" s="70" t="str">
        <f>VLOOKUP(D247,Master!C:G,4,)</f>
        <v>T&amp;I</v>
      </c>
      <c r="H247" s="69" t="str">
        <f>VLOOKUP(D247,Master!C:G,5,)</f>
        <v>T&amp;I Comm-UF</v>
      </c>
      <c r="I247" s="549">
        <v>9008.8799999999992</v>
      </c>
      <c r="J247" s="549">
        <v>1644</v>
      </c>
      <c r="K247" s="71">
        <f t="shared" si="20"/>
        <v>0.18248661320830115</v>
      </c>
      <c r="L247" s="549">
        <v>0</v>
      </c>
      <c r="M247" s="511"/>
      <c r="N247" s="549">
        <v>8376</v>
      </c>
      <c r="O247" s="549">
        <v>8376</v>
      </c>
      <c r="P247" s="72">
        <f t="shared" si="21"/>
        <v>-1011.1200000000008</v>
      </c>
      <c r="Q247" s="72">
        <f>IFERROR(IF(D247=20250,O247/(#REF!/30),O247/(I247/30)),0)</f>
        <v>27.8924794203053</v>
      </c>
      <c r="R247" s="72">
        <f t="shared" si="22"/>
        <v>27.8924794203053</v>
      </c>
      <c r="AC247"/>
      <c r="AD247"/>
      <c r="AE247"/>
      <c r="AF247"/>
      <c r="AG247"/>
      <c r="AH247"/>
      <c r="AI247"/>
      <c r="AJ247"/>
    </row>
    <row r="248" spans="1:36" ht="15">
      <c r="A248" s="352" t="str">
        <f t="shared" si="18"/>
        <v>420014788</v>
      </c>
      <c r="B248" s="509" t="s">
        <v>98</v>
      </c>
      <c r="C248" s="69" t="str">
        <f>_xlfn.XLOOKUP(B:B,Master!A:A,Master!B:B)</f>
        <v>RPSPL-KOL</v>
      </c>
      <c r="D248" s="509" t="s">
        <v>69</v>
      </c>
      <c r="E248" s="69" t="str">
        <f t="shared" si="19"/>
        <v>420014788</v>
      </c>
      <c r="F248" s="509" t="s">
        <v>70</v>
      </c>
      <c r="G248" s="70" t="str">
        <f>VLOOKUP(D248,Master!C:G,4,)</f>
        <v>T&amp;I</v>
      </c>
      <c r="H248" s="69" t="str">
        <f>VLOOKUP(D248,Master!C:G,5,)</f>
        <v>T&amp;I EX HP</v>
      </c>
      <c r="I248" s="549">
        <v>22522.32</v>
      </c>
      <c r="J248" s="549">
        <v>12828</v>
      </c>
      <c r="K248" s="71">
        <f t="shared" si="20"/>
        <v>0.56956832155834747</v>
      </c>
      <c r="L248" s="549">
        <v>0</v>
      </c>
      <c r="M248" s="511"/>
      <c r="N248" s="549">
        <v>11376</v>
      </c>
      <c r="O248" s="549">
        <v>11376</v>
      </c>
      <c r="P248" s="72">
        <f t="shared" si="21"/>
        <v>-1681.6800000000003</v>
      </c>
      <c r="Q248" s="72">
        <f>IFERROR(IF(D248=20250,O248/(#REF!/30),O248/(I248/30)),0)</f>
        <v>15.152968255490553</v>
      </c>
      <c r="R248" s="72">
        <f t="shared" si="22"/>
        <v>15.152968255490553</v>
      </c>
      <c r="AC248"/>
      <c r="AD248"/>
      <c r="AE248"/>
      <c r="AF248"/>
      <c r="AG248"/>
      <c r="AH248"/>
      <c r="AI248"/>
      <c r="AJ248"/>
    </row>
    <row r="249" spans="1:36" ht="15">
      <c r="A249" s="352" t="str">
        <f t="shared" si="18"/>
        <v>420015536</v>
      </c>
      <c r="B249" s="509" t="s">
        <v>98</v>
      </c>
      <c r="C249" s="69" t="str">
        <f>_xlfn.XLOOKUP(B:B,Master!A:A,Master!B:B)</f>
        <v>RPSPL-KOL</v>
      </c>
      <c r="D249" s="509" t="s">
        <v>71</v>
      </c>
      <c r="E249" s="69" t="str">
        <f t="shared" si="19"/>
        <v>420015536</v>
      </c>
      <c r="F249" s="509" t="s">
        <v>72</v>
      </c>
      <c r="G249" s="70" t="str">
        <f>VLOOKUP(D249,Master!C:G,4,)</f>
        <v>Ganache</v>
      </c>
      <c r="H249" s="69" t="str">
        <f>VLOOKUP(D249,Master!C:G,5,)</f>
        <v>Ganache- UF</v>
      </c>
      <c r="I249" s="549">
        <v>9652.2000000000007</v>
      </c>
      <c r="J249" s="549">
        <v>2664</v>
      </c>
      <c r="K249" s="71">
        <f t="shared" si="20"/>
        <v>0.27599925405607012</v>
      </c>
      <c r="L249" s="549">
        <v>0</v>
      </c>
      <c r="M249" s="511"/>
      <c r="N249" s="549">
        <v>10428</v>
      </c>
      <c r="O249" s="549">
        <v>10428</v>
      </c>
      <c r="P249" s="72">
        <f t="shared" si="21"/>
        <v>-3439.7999999999993</v>
      </c>
      <c r="Q249" s="72">
        <f>IFERROR(IF(D249=20250,O249/(#REF!/30),O249/(I249/30)),0)</f>
        <v>32.41126375334121</v>
      </c>
      <c r="R249" s="72">
        <f t="shared" si="22"/>
        <v>32.41126375334121</v>
      </c>
      <c r="AC249"/>
      <c r="AD249"/>
      <c r="AE249"/>
      <c r="AF249"/>
      <c r="AG249"/>
      <c r="AH249"/>
      <c r="AI249"/>
      <c r="AJ249"/>
    </row>
    <row r="250" spans="1:36" ht="15">
      <c r="A250" s="352" t="str">
        <f t="shared" si="18"/>
        <v>420015906</v>
      </c>
      <c r="B250" s="509" t="s">
        <v>98</v>
      </c>
      <c r="C250" s="69" t="str">
        <f>_xlfn.XLOOKUP(B:B,Master!A:A,Master!B:B)</f>
        <v>RPSPL-KOL</v>
      </c>
      <c r="D250" s="509" t="s">
        <v>74</v>
      </c>
      <c r="E250" s="69" t="str">
        <f t="shared" si="19"/>
        <v>420015906</v>
      </c>
      <c r="F250" s="509" t="s">
        <v>75</v>
      </c>
      <c r="G250" s="70" t="str">
        <f>VLOOKUP(D250,Master!C:G,4,)</f>
        <v>T&amp;I</v>
      </c>
      <c r="H250" s="69" t="str">
        <f>VLOOKUP(D250,Master!C:G,5,)</f>
        <v>T&amp;I EX HP</v>
      </c>
      <c r="I250" s="549">
        <v>964.92</v>
      </c>
      <c r="J250" s="549">
        <v>600</v>
      </c>
      <c r="K250" s="71">
        <f t="shared" si="20"/>
        <v>0.62181320731252332</v>
      </c>
      <c r="L250" s="549">
        <v>0</v>
      </c>
      <c r="M250" s="511"/>
      <c r="N250" s="549">
        <v>1164</v>
      </c>
      <c r="O250" s="549">
        <v>1164</v>
      </c>
      <c r="P250" s="72">
        <f t="shared" si="21"/>
        <v>-799.08</v>
      </c>
      <c r="Q250" s="72">
        <f>IFERROR(IF(D250=20250,O250/(#REF!/30),O250/(I250/30)),0)</f>
        <v>36.189528665588853</v>
      </c>
      <c r="R250" s="72">
        <f t="shared" si="22"/>
        <v>36.189528665588853</v>
      </c>
      <c r="AC250"/>
      <c r="AD250"/>
      <c r="AE250"/>
      <c r="AF250"/>
      <c r="AG250"/>
      <c r="AH250"/>
      <c r="AI250"/>
      <c r="AJ250"/>
    </row>
    <row r="251" spans="1:36" ht="15">
      <c r="A251" s="352" t="str">
        <f t="shared" si="18"/>
        <v>420016336</v>
      </c>
      <c r="B251" s="509" t="s">
        <v>98</v>
      </c>
      <c r="C251" s="69" t="str">
        <f>_xlfn.XLOOKUP(B:B,Master!A:A,Master!B:B)</f>
        <v>RPSPL-KOL</v>
      </c>
      <c r="D251" s="509" t="s">
        <v>24</v>
      </c>
      <c r="E251" s="69" t="str">
        <f t="shared" si="19"/>
        <v>420016336</v>
      </c>
      <c r="F251" s="509" t="s">
        <v>25</v>
      </c>
      <c r="G251" s="70" t="str">
        <f>VLOOKUP(D251,Master!C:G,4,)</f>
        <v>T&amp;I</v>
      </c>
      <c r="H251" s="69" t="str">
        <f>VLOOKUP(D251,Master!C:G,5,)</f>
        <v>T&amp;I Comm-UF</v>
      </c>
      <c r="I251" s="549">
        <v>64349.279999999999</v>
      </c>
      <c r="J251" s="549">
        <v>32268</v>
      </c>
      <c r="K251" s="71">
        <f t="shared" si="20"/>
        <v>0.50145083208390206</v>
      </c>
      <c r="L251" s="549">
        <v>27768</v>
      </c>
      <c r="M251" s="511">
        <v>46164</v>
      </c>
      <c r="N251" s="549">
        <v>32124</v>
      </c>
      <c r="O251" s="549">
        <v>59892</v>
      </c>
      <c r="P251" s="72">
        <f t="shared" si="21"/>
        <v>-27810.720000000001</v>
      </c>
      <c r="Q251" s="72">
        <f>IFERROR(IF(D251=20250,O251/(#REF!/30),O251/(I251/30)),0)</f>
        <v>27.921990735560676</v>
      </c>
      <c r="R251" s="72">
        <f t="shared" si="22"/>
        <v>14.976391344238817</v>
      </c>
      <c r="AC251"/>
      <c r="AD251"/>
      <c r="AE251"/>
      <c r="AF251"/>
      <c r="AG251"/>
      <c r="AH251"/>
      <c r="AI251"/>
      <c r="AJ251"/>
    </row>
    <row r="252" spans="1:36" ht="15">
      <c r="A252" s="352" t="str">
        <f t="shared" si="18"/>
        <v>420016984</v>
      </c>
      <c r="B252" s="509" t="s">
        <v>98</v>
      </c>
      <c r="C252" s="69" t="str">
        <f>_xlfn.XLOOKUP(B:B,Master!A:A,Master!B:B)</f>
        <v>RPSPL-KOL</v>
      </c>
      <c r="D252" s="509" t="s">
        <v>78</v>
      </c>
      <c r="E252" s="69" t="str">
        <f t="shared" si="19"/>
        <v>420016984</v>
      </c>
      <c r="F252" s="509" t="s">
        <v>79</v>
      </c>
      <c r="G252" s="70" t="str">
        <f>VLOOKUP(D252,Master!C:G,4,)</f>
        <v>T&amp;I</v>
      </c>
      <c r="H252" s="69" t="str">
        <f>VLOOKUP(D252,Master!C:G,5,)</f>
        <v>T&amp;I EX HP</v>
      </c>
      <c r="I252" s="549">
        <v>2574.36</v>
      </c>
      <c r="J252" s="549">
        <v>1428</v>
      </c>
      <c r="K252" s="71">
        <f t="shared" si="20"/>
        <v>0.55470097422271936</v>
      </c>
      <c r="L252" s="549">
        <v>0</v>
      </c>
      <c r="M252" s="511"/>
      <c r="N252" s="549">
        <v>1164</v>
      </c>
      <c r="O252" s="549">
        <v>1164</v>
      </c>
      <c r="P252" s="72">
        <f t="shared" si="21"/>
        <v>-17.639999999999873</v>
      </c>
      <c r="Q252" s="72">
        <f>IFERROR(IF(D252=20250,O252/(#REF!/30),O252/(I252/30)),0)</f>
        <v>13.564536428471543</v>
      </c>
      <c r="R252" s="72">
        <f t="shared" si="22"/>
        <v>13.564536428471543</v>
      </c>
      <c r="AC252"/>
      <c r="AD252"/>
      <c r="AE252"/>
      <c r="AF252"/>
      <c r="AG252"/>
      <c r="AH252"/>
      <c r="AI252"/>
      <c r="AJ252"/>
    </row>
    <row r="253" spans="1:36" ht="15">
      <c r="A253" s="352" t="str">
        <f t="shared" si="18"/>
        <v>420016998</v>
      </c>
      <c r="B253" s="509" t="s">
        <v>98</v>
      </c>
      <c r="C253" s="69" t="str">
        <f>_xlfn.XLOOKUP(B:B,Master!A:A,Master!B:B)</f>
        <v>RPSPL-KOL</v>
      </c>
      <c r="D253" s="509" t="s">
        <v>80</v>
      </c>
      <c r="E253" s="69" t="str">
        <f t="shared" si="19"/>
        <v>420016998</v>
      </c>
      <c r="F253" s="509" t="s">
        <v>81</v>
      </c>
      <c r="G253" s="70" t="str">
        <f>VLOOKUP(D253,Master!C:G,4,)</f>
        <v>T&amp;I</v>
      </c>
      <c r="H253" s="69" t="str">
        <f>VLOOKUP(D253,Master!C:G,5,)</f>
        <v>T&amp;I EX UF</v>
      </c>
      <c r="I253" s="549">
        <v>5147.76</v>
      </c>
      <c r="J253" s="549">
        <v>1980</v>
      </c>
      <c r="K253" s="71">
        <f t="shared" si="20"/>
        <v>0.38463331623851926</v>
      </c>
      <c r="L253" s="549">
        <v>0</v>
      </c>
      <c r="M253" s="511"/>
      <c r="N253" s="549">
        <v>4464</v>
      </c>
      <c r="O253" s="549">
        <v>4464</v>
      </c>
      <c r="P253" s="72">
        <f t="shared" si="21"/>
        <v>-1296.2399999999998</v>
      </c>
      <c r="Q253" s="72">
        <f>IFERROR(IF(D253=20250,O253/(#REF!/30),O253/(I253/30)),0)</f>
        <v>26.015198843768939</v>
      </c>
      <c r="R253" s="72">
        <f t="shared" si="22"/>
        <v>26.015198843768939</v>
      </c>
      <c r="AC253"/>
      <c r="AD253"/>
      <c r="AE253"/>
      <c r="AF253"/>
      <c r="AG253"/>
      <c r="AH253"/>
      <c r="AI253"/>
      <c r="AJ253"/>
    </row>
    <row r="254" spans="1:36" ht="15">
      <c r="A254" s="352" t="str">
        <f t="shared" si="18"/>
        <v>420018098</v>
      </c>
      <c r="B254" s="509" t="s">
        <v>98</v>
      </c>
      <c r="C254" s="69" t="str">
        <f>_xlfn.XLOOKUP(B:B,Master!A:A,Master!B:B)</f>
        <v>RPSPL-KOL</v>
      </c>
      <c r="D254" s="509" t="s">
        <v>84</v>
      </c>
      <c r="E254" s="69" t="str">
        <f t="shared" si="19"/>
        <v>420018098</v>
      </c>
      <c r="F254" s="509" t="s">
        <v>1222</v>
      </c>
      <c r="G254" s="70" t="str">
        <f>VLOOKUP(D254,Master!C:G,4,)</f>
        <v>T&amp;I</v>
      </c>
      <c r="H254" s="69" t="str">
        <f>VLOOKUP(D254,Master!C:G,5,)</f>
        <v>T&amp;I EX HP</v>
      </c>
      <c r="I254" s="549">
        <v>1929.96</v>
      </c>
      <c r="J254" s="549">
        <v>504</v>
      </c>
      <c r="K254" s="71">
        <f t="shared" si="20"/>
        <v>0.26114530871106134</v>
      </c>
      <c r="L254" s="549">
        <v>0</v>
      </c>
      <c r="M254" s="511"/>
      <c r="N254" s="549">
        <v>1512</v>
      </c>
      <c r="O254" s="549">
        <v>1512</v>
      </c>
      <c r="P254" s="72">
        <f t="shared" si="21"/>
        <v>-86.039999999999964</v>
      </c>
      <c r="Q254" s="72">
        <f>IFERROR(IF(D254=20250,O254/(#REF!/30),O254/(I254/30)),0)</f>
        <v>23.503077783995522</v>
      </c>
      <c r="R254" s="72">
        <f t="shared" si="22"/>
        <v>23.503077783995522</v>
      </c>
      <c r="AC254"/>
      <c r="AD254"/>
      <c r="AE254"/>
      <c r="AF254"/>
      <c r="AG254"/>
      <c r="AH254"/>
      <c r="AI254"/>
      <c r="AJ254"/>
    </row>
    <row r="255" spans="1:36" ht="15">
      <c r="A255" s="352" t="str">
        <f t="shared" si="18"/>
        <v>420020308</v>
      </c>
      <c r="B255" s="509" t="s">
        <v>98</v>
      </c>
      <c r="C255" s="69" t="str">
        <f>_xlfn.XLOOKUP(B:B,Master!A:A,Master!B:B)</f>
        <v>RPSPL-KOL</v>
      </c>
      <c r="D255" s="509" t="s">
        <v>146</v>
      </c>
      <c r="E255" s="69" t="str">
        <f t="shared" si="19"/>
        <v>420020308</v>
      </c>
      <c r="F255" s="509" t="s">
        <v>902</v>
      </c>
      <c r="G255" s="70" t="str">
        <f>VLOOKUP(D255,Master!C:G,4,)</f>
        <v>T&amp;I</v>
      </c>
      <c r="H255" s="69" t="str">
        <f>VLOOKUP(D255,Master!C:G,5,)</f>
        <v>T&amp;I EX HP 2 KG</v>
      </c>
      <c r="I255" s="549">
        <v>8043.84</v>
      </c>
      <c r="J255" s="549">
        <v>1200</v>
      </c>
      <c r="K255" s="71">
        <f t="shared" si="20"/>
        <v>0.14918248000954767</v>
      </c>
      <c r="L255" s="549">
        <v>0</v>
      </c>
      <c r="M255" s="511"/>
      <c r="N255" s="549">
        <v>6948</v>
      </c>
      <c r="O255" s="549">
        <v>6948</v>
      </c>
      <c r="P255" s="72">
        <f t="shared" si="21"/>
        <v>-104.15999999999985</v>
      </c>
      <c r="Q255" s="72">
        <f>IFERROR(IF(D255=20250,O255/(#REF!/30),O255/(I255/30)),0)</f>
        <v>25.912996777658432</v>
      </c>
      <c r="R255" s="72">
        <f t="shared" si="22"/>
        <v>25.912996777658432</v>
      </c>
      <c r="AC255"/>
      <c r="AD255"/>
      <c r="AE255"/>
      <c r="AF255"/>
      <c r="AG255"/>
      <c r="AH255"/>
      <c r="AI255"/>
      <c r="AJ255"/>
    </row>
    <row r="256" spans="1:36" ht="15">
      <c r="A256" s="352" t="str">
        <f t="shared" si="18"/>
        <v>420020827</v>
      </c>
      <c r="B256" s="509" t="s">
        <v>98</v>
      </c>
      <c r="C256" s="69" t="str">
        <f>_xlfn.XLOOKUP(B:B,Master!A:A,Master!B:B)</f>
        <v>RPSPL-KOL</v>
      </c>
      <c r="D256" s="509" t="s">
        <v>149</v>
      </c>
      <c r="E256" s="69" t="str">
        <f t="shared" si="19"/>
        <v>420020827</v>
      </c>
      <c r="F256" s="509" t="s">
        <v>150</v>
      </c>
      <c r="G256" s="70" t="str">
        <f>VLOOKUP(D256,Master!C:G,4,)</f>
        <v>Ganache</v>
      </c>
      <c r="H256" s="69" t="str">
        <f>VLOOKUP(D256,Master!C:G,5,)</f>
        <v>Ganache- UF</v>
      </c>
      <c r="I256" s="549">
        <v>1286.6400000000001</v>
      </c>
      <c r="J256" s="549">
        <v>1524</v>
      </c>
      <c r="K256" s="71">
        <f t="shared" si="20"/>
        <v>1.1844805073680282</v>
      </c>
      <c r="L256" s="549">
        <v>0</v>
      </c>
      <c r="M256" s="511"/>
      <c r="N256" s="549">
        <v>972</v>
      </c>
      <c r="O256" s="549">
        <v>972</v>
      </c>
      <c r="P256" s="72">
        <f t="shared" si="21"/>
        <v>-1209.3599999999999</v>
      </c>
      <c r="Q256" s="72">
        <f>IFERROR(IF(D256=20250,O256/(#REF!/30),O256/(I256/30)),0)</f>
        <v>22.663682148852825</v>
      </c>
      <c r="R256" s="72">
        <f t="shared" si="22"/>
        <v>22.663682148852825</v>
      </c>
      <c r="AC256"/>
      <c r="AD256"/>
      <c r="AE256"/>
      <c r="AF256"/>
      <c r="AG256"/>
      <c r="AH256"/>
      <c r="AI256"/>
      <c r="AJ256"/>
    </row>
    <row r="257" spans="1:36" ht="15">
      <c r="A257" s="352" t="str">
        <f t="shared" si="18"/>
        <v>420021910</v>
      </c>
      <c r="B257" s="509" t="s">
        <v>98</v>
      </c>
      <c r="C257" s="69" t="str">
        <f>_xlfn.XLOOKUP(B:B,Master!A:A,Master!B:B)</f>
        <v>RPSPL-KOL</v>
      </c>
      <c r="D257" s="509" t="s">
        <v>180</v>
      </c>
      <c r="E257" s="69" t="str">
        <f t="shared" si="19"/>
        <v>420021910</v>
      </c>
      <c r="F257" s="509" t="s">
        <v>181</v>
      </c>
      <c r="G257" s="70" t="str">
        <f>VLOOKUP(D257,Master!C:G,4,)</f>
        <v>T&amp;I</v>
      </c>
      <c r="H257" s="69" t="str">
        <f>VLOOKUP(D257,Master!C:G,5,)</f>
        <v>T&amp;I EX HP 2 KG</v>
      </c>
      <c r="I257" s="549">
        <v>1286.6400000000001</v>
      </c>
      <c r="J257" s="549">
        <v>3780</v>
      </c>
      <c r="K257" s="71">
        <f t="shared" si="20"/>
        <v>2.9378847229994403</v>
      </c>
      <c r="L257" s="549">
        <v>0</v>
      </c>
      <c r="M257" s="511"/>
      <c r="N257" s="549">
        <v>2904</v>
      </c>
      <c r="O257" s="549">
        <v>2904</v>
      </c>
      <c r="P257" s="72">
        <f t="shared" si="21"/>
        <v>-5397.36</v>
      </c>
      <c r="Q257" s="72">
        <f>IFERROR(IF(D257=20250,O257/(#REF!/30),O257/(I257/30)),0)</f>
        <v>67.711247901510902</v>
      </c>
      <c r="R257" s="72">
        <f t="shared" si="22"/>
        <v>67.711247901510902</v>
      </c>
      <c r="AC257"/>
      <c r="AD257"/>
      <c r="AE257"/>
      <c r="AF257"/>
      <c r="AG257"/>
      <c r="AH257"/>
      <c r="AI257"/>
      <c r="AJ257"/>
    </row>
    <row r="258" spans="1:36" ht="15">
      <c r="A258" s="352" t="str">
        <f t="shared" si="18"/>
        <v>420023081</v>
      </c>
      <c r="B258" s="509" t="s">
        <v>98</v>
      </c>
      <c r="C258" s="69" t="str">
        <f>_xlfn.XLOOKUP(B:B,Master!A:A,Master!B:B)</f>
        <v>RPSPL-KOL</v>
      </c>
      <c r="D258" s="509" t="s">
        <v>189</v>
      </c>
      <c r="E258" s="69" t="str">
        <f t="shared" si="19"/>
        <v>420023081</v>
      </c>
      <c r="F258" s="509" t="s">
        <v>190</v>
      </c>
      <c r="G258" s="70" t="str">
        <f>VLOOKUP(D258,Master!C:G,4,)</f>
        <v>T&amp;I</v>
      </c>
      <c r="H258" s="69" t="str">
        <f>VLOOKUP(D258,Master!C:G,5,)</f>
        <v>T&amp;I EX HP</v>
      </c>
      <c r="I258" s="549">
        <v>900.6</v>
      </c>
      <c r="J258" s="549">
        <v>48</v>
      </c>
      <c r="K258" s="71">
        <f t="shared" si="20"/>
        <v>5.3297801465689541E-2</v>
      </c>
      <c r="L258" s="549">
        <v>0</v>
      </c>
      <c r="M258" s="511"/>
      <c r="N258" s="549">
        <v>744</v>
      </c>
      <c r="O258" s="549">
        <v>744</v>
      </c>
      <c r="P258" s="72">
        <f t="shared" si="21"/>
        <v>108.60000000000002</v>
      </c>
      <c r="Q258" s="72">
        <f>IFERROR(IF(D258=20250,O258/(#REF!/30),O258/(I258/30)),0)</f>
        <v>24.783477681545637</v>
      </c>
      <c r="R258" s="72">
        <f t="shared" si="22"/>
        <v>24.783477681545637</v>
      </c>
      <c r="AC258"/>
      <c r="AD258"/>
      <c r="AE258"/>
      <c r="AF258"/>
      <c r="AG258"/>
      <c r="AH258"/>
      <c r="AI258"/>
      <c r="AJ258"/>
    </row>
    <row r="259" spans="1:36" ht="15">
      <c r="A259" s="352" t="str">
        <f t="shared" si="18"/>
        <v>420023401</v>
      </c>
      <c r="B259" s="509" t="s">
        <v>98</v>
      </c>
      <c r="C259" s="69" t="str">
        <f>_xlfn.XLOOKUP(B:B,Master!A:A,Master!B:B)</f>
        <v>RPSPL-KOL</v>
      </c>
      <c r="D259" s="509" t="s">
        <v>194</v>
      </c>
      <c r="E259" s="69" t="str">
        <f t="shared" si="19"/>
        <v>420023401</v>
      </c>
      <c r="F259" s="509" t="s">
        <v>195</v>
      </c>
      <c r="G259" s="70" t="str">
        <f>VLOOKUP(D259,Master!C:G,4,)</f>
        <v>T&amp;I</v>
      </c>
      <c r="H259" s="69" t="str">
        <f>VLOOKUP(D259,Master!C:G,5,)</f>
        <v>T&amp;I EX UF</v>
      </c>
      <c r="I259" s="549">
        <v>5791.08</v>
      </c>
      <c r="J259" s="549">
        <v>1956</v>
      </c>
      <c r="K259" s="71">
        <f t="shared" si="20"/>
        <v>0.33776083217638159</v>
      </c>
      <c r="L259" s="549">
        <v>0</v>
      </c>
      <c r="M259" s="511"/>
      <c r="N259" s="549">
        <v>4200</v>
      </c>
      <c r="O259" s="549">
        <v>4200</v>
      </c>
      <c r="P259" s="72">
        <f t="shared" si="21"/>
        <v>-364.92000000000007</v>
      </c>
      <c r="Q259" s="72">
        <f>IFERROR(IF(D259=20250,O259/(#REF!/30),O259/(I259/30)),0)</f>
        <v>21.757599618723969</v>
      </c>
      <c r="R259" s="72">
        <f t="shared" si="22"/>
        <v>21.757599618723969</v>
      </c>
      <c r="AC259"/>
      <c r="AD259"/>
      <c r="AE259"/>
      <c r="AF259"/>
      <c r="AG259"/>
      <c r="AH259"/>
      <c r="AI259"/>
      <c r="AJ259"/>
    </row>
    <row r="260" spans="1:36" ht="15">
      <c r="A260" s="352" t="str">
        <f t="shared" si="18"/>
        <v>420024768</v>
      </c>
      <c r="B260" s="509" t="s">
        <v>98</v>
      </c>
      <c r="C260" s="69" t="str">
        <f>_xlfn.XLOOKUP(B:B,Master!A:A,Master!B:B)</f>
        <v>RPSPL-KOL</v>
      </c>
      <c r="D260" s="509" t="s">
        <v>906</v>
      </c>
      <c r="E260" s="69" t="str">
        <f t="shared" si="19"/>
        <v>420024768</v>
      </c>
      <c r="F260" s="509" t="s">
        <v>912</v>
      </c>
      <c r="G260" s="70" t="str">
        <f>VLOOKUP(D260,Master!C:G,4,)</f>
        <v>T&amp;I</v>
      </c>
      <c r="H260" s="69" t="str">
        <f>VLOOKUP(D260,Master!C:G,5,)</f>
        <v>T&amp;I EX UF</v>
      </c>
      <c r="I260" s="549">
        <v>5469.48</v>
      </c>
      <c r="J260" s="549">
        <v>1824</v>
      </c>
      <c r="K260" s="71">
        <f t="shared" si="20"/>
        <v>0.33348691283266418</v>
      </c>
      <c r="L260" s="549">
        <v>0</v>
      </c>
      <c r="M260" s="511"/>
      <c r="N260" s="549">
        <v>4848</v>
      </c>
      <c r="O260" s="549">
        <v>4848</v>
      </c>
      <c r="P260" s="72">
        <f t="shared" si="21"/>
        <v>-1202.5200000000004</v>
      </c>
      <c r="Q260" s="72">
        <f>IFERROR(IF(D260=20250,O260/(#REF!/30),O260/(I260/30)),0)</f>
        <v>26.591193312709805</v>
      </c>
      <c r="R260" s="72">
        <f t="shared" si="22"/>
        <v>26.591193312709805</v>
      </c>
      <c r="AC260"/>
      <c r="AD260"/>
      <c r="AE260"/>
      <c r="AF260"/>
      <c r="AG260"/>
      <c r="AH260"/>
      <c r="AI260"/>
      <c r="AJ260"/>
    </row>
    <row r="261" spans="1:36" ht="15">
      <c r="A261" s="352" t="str">
        <f t="shared" ref="A261:A324" si="23">B261&amp;D261</f>
        <v>420025570</v>
      </c>
      <c r="B261" s="509" t="s">
        <v>98</v>
      </c>
      <c r="C261" s="69" t="str">
        <f>_xlfn.XLOOKUP(B:B,Master!A:A,Master!B:B)</f>
        <v>RPSPL-KOL</v>
      </c>
      <c r="D261" s="509" t="s">
        <v>1006</v>
      </c>
      <c r="E261" s="69" t="str">
        <f t="shared" ref="E261:E324" si="24">B261&amp;D261</f>
        <v>420025570</v>
      </c>
      <c r="F261" s="509" t="s">
        <v>1008</v>
      </c>
      <c r="G261" s="70" t="str">
        <f>VLOOKUP(D261,Master!C:G,4,)</f>
        <v>T&amp;I</v>
      </c>
      <c r="H261" s="69" t="str">
        <f>VLOOKUP(D261,Master!C:G,5,)</f>
        <v>T&amp;I EX HP</v>
      </c>
      <c r="I261" s="549">
        <v>8043.84</v>
      </c>
      <c r="J261" s="549">
        <v>5304</v>
      </c>
      <c r="K261" s="71">
        <f t="shared" ref="K261:K324" si="25">IFERROR(J261/I261,0)</f>
        <v>0.65938656164220077</v>
      </c>
      <c r="L261" s="549">
        <v>0</v>
      </c>
      <c r="M261" s="511"/>
      <c r="N261" s="549">
        <v>7752</v>
      </c>
      <c r="O261" s="549">
        <v>7752</v>
      </c>
      <c r="P261" s="72">
        <f t="shared" ref="P261:P324" si="26">I261-J261-O261</f>
        <v>-5012.16</v>
      </c>
      <c r="Q261" s="72">
        <f>IFERROR(IF(D261=20250,O261/(#REF!/30),O261/(I261/30)),0)</f>
        <v>28.911564625850342</v>
      </c>
      <c r="R261" s="72">
        <f t="shared" ref="R261:R324" si="27">IFERROR(N261/(I261/30),0)</f>
        <v>28.911564625850342</v>
      </c>
      <c r="AC261"/>
      <c r="AD261"/>
      <c r="AE261"/>
      <c r="AF261"/>
      <c r="AG261"/>
      <c r="AH261"/>
      <c r="AI261"/>
      <c r="AJ261"/>
    </row>
    <row r="262" spans="1:36" ht="15">
      <c r="A262" s="352" t="str">
        <f t="shared" si="23"/>
        <v>420025598</v>
      </c>
      <c r="B262" s="509" t="s">
        <v>98</v>
      </c>
      <c r="C262" s="69" t="str">
        <f>_xlfn.XLOOKUP(B:B,Master!A:A,Master!B:B)</f>
        <v>RPSPL-KOL</v>
      </c>
      <c r="D262" s="509" t="s">
        <v>1007</v>
      </c>
      <c r="E262" s="69" t="str">
        <f t="shared" si="24"/>
        <v>420025598</v>
      </c>
      <c r="F262" s="509" t="s">
        <v>1009</v>
      </c>
      <c r="G262" s="70" t="str">
        <f>VLOOKUP(D262,Master!C:G,4,)</f>
        <v>T&amp;I</v>
      </c>
      <c r="H262" s="69" t="str">
        <f>VLOOKUP(D262,Master!C:G,5,)</f>
        <v>T&amp;I EX HP</v>
      </c>
      <c r="I262" s="549">
        <v>4504.4399999999996</v>
      </c>
      <c r="J262" s="549">
        <v>1188</v>
      </c>
      <c r="K262" s="71">
        <f t="shared" si="25"/>
        <v>0.26373977675360316</v>
      </c>
      <c r="L262" s="549">
        <v>0</v>
      </c>
      <c r="M262" s="511"/>
      <c r="N262" s="549">
        <v>24</v>
      </c>
      <c r="O262" s="549">
        <v>24</v>
      </c>
      <c r="P262" s="72">
        <f t="shared" si="26"/>
        <v>3292.4399999999996</v>
      </c>
      <c r="Q262" s="72">
        <f>IFERROR(IF(D262=20250,O262/(#REF!/30),O262/(I262/30)),0)</f>
        <v>0.15984228894157765</v>
      </c>
      <c r="R262" s="72">
        <f t="shared" si="27"/>
        <v>0.15984228894157765</v>
      </c>
      <c r="AC262"/>
      <c r="AD262"/>
      <c r="AE262"/>
      <c r="AF262"/>
      <c r="AG262"/>
      <c r="AH262"/>
      <c r="AI262"/>
      <c r="AJ262"/>
    </row>
    <row r="263" spans="1:36" ht="15">
      <c r="A263" s="352" t="str">
        <f t="shared" si="23"/>
        <v>420106151</v>
      </c>
      <c r="B263" s="509" t="s">
        <v>100</v>
      </c>
      <c r="C263" s="69" t="str">
        <f>_xlfn.XLOOKUP(B:B,Master!A:A,Master!B:B)</f>
        <v>RPSPL-GT</v>
      </c>
      <c r="D263" s="509" t="s">
        <v>28</v>
      </c>
      <c r="E263" s="69" t="str">
        <f t="shared" si="24"/>
        <v>420106151</v>
      </c>
      <c r="F263" s="509" t="s">
        <v>29</v>
      </c>
      <c r="G263" s="70" t="str">
        <f>VLOOKUP(D263,Master!C:G,4,)</f>
        <v>DD</v>
      </c>
      <c r="H263" s="69" t="str">
        <f>VLOOKUP(D263,Master!C:G,5,)</f>
        <v>OS - Dry</v>
      </c>
      <c r="I263" s="549">
        <v>4504.4399999999996</v>
      </c>
      <c r="J263" s="549">
        <v>1776</v>
      </c>
      <c r="K263" s="71">
        <f t="shared" si="25"/>
        <v>0.39427764605589155</v>
      </c>
      <c r="L263" s="549">
        <v>0</v>
      </c>
      <c r="M263" s="511"/>
      <c r="N263" s="549">
        <v>2472</v>
      </c>
      <c r="O263" s="549">
        <v>2472</v>
      </c>
      <c r="P263" s="72">
        <f t="shared" si="26"/>
        <v>256.4399999999996</v>
      </c>
      <c r="Q263" s="72">
        <f>IFERROR(IF(D263=20250,O263/(#REF!/30),O263/(I263/30)),0)</f>
        <v>16.463755760982497</v>
      </c>
      <c r="R263" s="72">
        <f t="shared" si="27"/>
        <v>16.463755760982497</v>
      </c>
      <c r="AC263"/>
      <c r="AD263"/>
      <c r="AE263"/>
      <c r="AF263"/>
      <c r="AG263"/>
      <c r="AH263"/>
      <c r="AI263"/>
      <c r="AJ263"/>
    </row>
    <row r="264" spans="1:36" ht="15">
      <c r="A264" s="352" t="str">
        <f t="shared" si="23"/>
        <v>420113490</v>
      </c>
      <c r="B264" s="509" t="s">
        <v>100</v>
      </c>
      <c r="C264" s="69" t="str">
        <f>_xlfn.XLOOKUP(B:B,Master!A:A,Master!B:B)</f>
        <v>RPSPL-GT</v>
      </c>
      <c r="D264" s="509" t="s">
        <v>37</v>
      </c>
      <c r="E264" s="69" t="str">
        <f t="shared" si="24"/>
        <v>420113490</v>
      </c>
      <c r="F264" s="509" t="s">
        <v>38</v>
      </c>
      <c r="G264" s="70" t="str">
        <f>VLOOKUP(D264,Master!C:G,4,)</f>
        <v>NGL</v>
      </c>
      <c r="H264" s="69" t="str">
        <f>VLOOKUP(D264,Master!C:G,5,)</f>
        <v>UF-Dry</v>
      </c>
      <c r="I264" s="549">
        <v>858.1</v>
      </c>
      <c r="J264" s="549">
        <v>60</v>
      </c>
      <c r="K264" s="71">
        <f t="shared" si="25"/>
        <v>6.9921920522083666E-2</v>
      </c>
      <c r="L264" s="549">
        <v>0</v>
      </c>
      <c r="M264" s="511"/>
      <c r="N264" s="549">
        <v>720</v>
      </c>
      <c r="O264" s="549">
        <v>720</v>
      </c>
      <c r="P264" s="72">
        <f t="shared" si="26"/>
        <v>78.100000000000023</v>
      </c>
      <c r="Q264" s="72">
        <f>IFERROR(IF(D264=20250,O264/(#REF!/30),O264/(I264/30)),0)</f>
        <v>25.171891387950122</v>
      </c>
      <c r="R264" s="72">
        <f t="shared" si="27"/>
        <v>25.171891387950122</v>
      </c>
      <c r="AC264"/>
      <c r="AD264"/>
      <c r="AE264"/>
      <c r="AF264"/>
      <c r="AG264"/>
      <c r="AH264"/>
      <c r="AI264"/>
      <c r="AJ264"/>
    </row>
    <row r="265" spans="1:36" ht="15">
      <c r="A265" s="352" t="str">
        <f t="shared" si="23"/>
        <v>420115300</v>
      </c>
      <c r="B265" s="509" t="s">
        <v>100</v>
      </c>
      <c r="C265" s="69" t="str">
        <f>_xlfn.XLOOKUP(B:B,Master!A:A,Master!B:B)</f>
        <v>RPSPL-GT</v>
      </c>
      <c r="D265" s="509" t="s">
        <v>43</v>
      </c>
      <c r="E265" s="69" t="str">
        <f t="shared" si="24"/>
        <v>420115300</v>
      </c>
      <c r="F265" s="509" t="s">
        <v>44</v>
      </c>
      <c r="G265" s="70" t="str">
        <f>VLOOKUP(D265,Master!C:G,4,)</f>
        <v>NGL</v>
      </c>
      <c r="H265" s="69" t="str">
        <f>VLOOKUP(D265,Master!C:G,5,)</f>
        <v>UF-Dry</v>
      </c>
      <c r="I265" s="549">
        <v>90</v>
      </c>
      <c r="J265" s="549">
        <v>90</v>
      </c>
      <c r="K265" s="71">
        <f t="shared" si="25"/>
        <v>1</v>
      </c>
      <c r="L265" s="549">
        <v>0</v>
      </c>
      <c r="M265" s="511"/>
      <c r="N265" s="549">
        <v>0</v>
      </c>
      <c r="O265" s="549">
        <v>0</v>
      </c>
      <c r="P265" s="72">
        <f t="shared" si="26"/>
        <v>0</v>
      </c>
      <c r="Q265" s="72">
        <f>IFERROR(IF(D265=20250,O265/(#REF!/30),O265/(I265/30)),0)</f>
        <v>0</v>
      </c>
      <c r="R265" s="72">
        <f t="shared" si="27"/>
        <v>0</v>
      </c>
      <c r="AC265"/>
      <c r="AD265"/>
      <c r="AE265"/>
      <c r="AF265"/>
      <c r="AG265"/>
      <c r="AH265"/>
      <c r="AI265"/>
      <c r="AJ265"/>
    </row>
    <row r="266" spans="1:36" ht="15">
      <c r="A266" s="352" t="str">
        <f t="shared" si="23"/>
        <v>420119690</v>
      </c>
      <c r="B266" s="509" t="s">
        <v>100</v>
      </c>
      <c r="C266" s="69" t="str">
        <f>_xlfn.XLOOKUP(B:B,Master!A:A,Master!B:B)</f>
        <v>RPSPL-GT</v>
      </c>
      <c r="D266" s="509" t="s">
        <v>88</v>
      </c>
      <c r="E266" s="69" t="str">
        <f t="shared" si="24"/>
        <v>420119690</v>
      </c>
      <c r="F266" s="509" t="s">
        <v>89</v>
      </c>
      <c r="G266" s="70" t="str">
        <f>VLOOKUP(D266,Master!C:G,4,)</f>
        <v>NFL</v>
      </c>
      <c r="H266" s="69" t="str">
        <f>VLOOKUP(D266,Master!C:G,5,)</f>
        <v>OS - Dry</v>
      </c>
      <c r="I266" s="549">
        <v>128.63999999999999</v>
      </c>
      <c r="J266" s="549">
        <v>0</v>
      </c>
      <c r="K266" s="71">
        <f t="shared" si="25"/>
        <v>0</v>
      </c>
      <c r="L266" s="549">
        <v>0</v>
      </c>
      <c r="M266" s="511"/>
      <c r="N266" s="549">
        <v>168</v>
      </c>
      <c r="O266" s="549">
        <v>168</v>
      </c>
      <c r="P266" s="72">
        <f t="shared" si="26"/>
        <v>-39.360000000000014</v>
      </c>
      <c r="Q266" s="72">
        <f>IFERROR(IF(D266=20250,O266/(#REF!/30),O266/(I266/30)),0)</f>
        <v>39.179104477611943</v>
      </c>
      <c r="R266" s="72">
        <f t="shared" si="27"/>
        <v>39.179104477611943</v>
      </c>
      <c r="AC266"/>
      <c r="AD266"/>
      <c r="AE266"/>
      <c r="AF266"/>
      <c r="AG266"/>
      <c r="AH266"/>
      <c r="AI266"/>
      <c r="AJ266"/>
    </row>
    <row r="267" spans="1:36" ht="15">
      <c r="A267" s="352" t="str">
        <f t="shared" si="23"/>
        <v>420120309</v>
      </c>
      <c r="B267" s="509" t="s">
        <v>100</v>
      </c>
      <c r="C267" s="69" t="str">
        <f>_xlfn.XLOOKUP(B:B,Master!A:A,Master!B:B)</f>
        <v>RPSPL-GT</v>
      </c>
      <c r="D267" s="509" t="s">
        <v>1025</v>
      </c>
      <c r="E267" s="69" t="str">
        <f t="shared" si="24"/>
        <v>420120309</v>
      </c>
      <c r="F267" s="509" t="s">
        <v>1026</v>
      </c>
      <c r="G267" s="70" t="str">
        <f>VLOOKUP(D267,Master!C:G,4,)</f>
        <v>NFL</v>
      </c>
      <c r="H267" s="69" t="str">
        <f>VLOOKUP(D267,Master!C:G,5,)</f>
        <v>OS - Dry</v>
      </c>
      <c r="I267" s="549">
        <v>192.96</v>
      </c>
      <c r="J267" s="549">
        <v>0</v>
      </c>
      <c r="K267" s="71">
        <f t="shared" si="25"/>
        <v>0</v>
      </c>
      <c r="L267" s="549">
        <v>0</v>
      </c>
      <c r="M267" s="511"/>
      <c r="N267" s="549">
        <v>0</v>
      </c>
      <c r="O267" s="549">
        <v>0</v>
      </c>
      <c r="P267" s="72">
        <f t="shared" si="26"/>
        <v>192.96</v>
      </c>
      <c r="Q267" s="72">
        <f>IFERROR(IF(D267=20250,O267/(#REF!/30),O267/(I267/30)),0)</f>
        <v>0</v>
      </c>
      <c r="R267" s="72">
        <f t="shared" si="27"/>
        <v>0</v>
      </c>
      <c r="AC267"/>
      <c r="AD267"/>
      <c r="AE267"/>
      <c r="AF267"/>
      <c r="AG267"/>
      <c r="AH267"/>
      <c r="AI267"/>
      <c r="AJ267"/>
    </row>
    <row r="268" spans="1:36" ht="15">
      <c r="A268" s="352" t="str">
        <f t="shared" si="23"/>
        <v>420120661</v>
      </c>
      <c r="B268" s="509" t="s">
        <v>100</v>
      </c>
      <c r="C268" s="69" t="str">
        <f>_xlfn.XLOOKUP(B:B,Master!A:A,Master!B:B)</f>
        <v>RPSPL-GT</v>
      </c>
      <c r="D268" s="509" t="s">
        <v>167</v>
      </c>
      <c r="E268" s="69" t="str">
        <f t="shared" si="24"/>
        <v>420120661</v>
      </c>
      <c r="F268" s="509" t="s">
        <v>168</v>
      </c>
      <c r="G268" s="70" t="str">
        <f>VLOOKUP(D268,Master!C:G,4,)</f>
        <v>UHT-Chill</v>
      </c>
      <c r="H268" s="69" t="str">
        <f>VLOOKUP(D268,Master!C:G,5,)</f>
        <v>OS-Chill</v>
      </c>
      <c r="I268" s="549">
        <v>154.32</v>
      </c>
      <c r="J268" s="549">
        <v>0</v>
      </c>
      <c r="K268" s="71">
        <f t="shared" si="25"/>
        <v>0</v>
      </c>
      <c r="L268" s="549">
        <v>0</v>
      </c>
      <c r="M268" s="511"/>
      <c r="N268" s="549">
        <v>0</v>
      </c>
      <c r="O268" s="549">
        <v>0</v>
      </c>
      <c r="P268" s="72">
        <f t="shared" si="26"/>
        <v>154.32</v>
      </c>
      <c r="Q268" s="72">
        <f>IFERROR(IF(D268=20250,O268/(#REF!/30),O268/(I268/30)),0)</f>
        <v>0</v>
      </c>
      <c r="R268" s="72">
        <f t="shared" si="27"/>
        <v>0</v>
      </c>
      <c r="AC268"/>
      <c r="AD268"/>
      <c r="AE268"/>
      <c r="AF268"/>
      <c r="AG268"/>
      <c r="AH268"/>
      <c r="AI268"/>
      <c r="AJ268"/>
    </row>
    <row r="269" spans="1:36" ht="15">
      <c r="A269" s="352" t="str">
        <f t="shared" si="23"/>
        <v>420123638</v>
      </c>
      <c r="B269" s="509" t="s">
        <v>100</v>
      </c>
      <c r="C269" s="69" t="str">
        <f>_xlfn.XLOOKUP(B:B,Master!A:A,Master!B:B)</f>
        <v>RPSPL-GT</v>
      </c>
      <c r="D269" s="509" t="s">
        <v>198</v>
      </c>
      <c r="E269" s="69" t="str">
        <f t="shared" si="24"/>
        <v>420123638</v>
      </c>
      <c r="F269" s="509" t="s">
        <v>199</v>
      </c>
      <c r="G269" s="70" t="str">
        <f>VLOOKUP(D269,Master!C:G,4,)</f>
        <v>DD</v>
      </c>
      <c r="H269" s="69" t="str">
        <f>VLOOKUP(D269,Master!C:G,5,)</f>
        <v>OS - Dry</v>
      </c>
      <c r="I269" s="549">
        <v>1608.36</v>
      </c>
      <c r="J269" s="549">
        <v>408</v>
      </c>
      <c r="K269" s="71">
        <f t="shared" si="25"/>
        <v>0.25367455047377452</v>
      </c>
      <c r="L269" s="549">
        <v>0</v>
      </c>
      <c r="M269" s="511"/>
      <c r="N269" s="549">
        <v>2340</v>
      </c>
      <c r="O269" s="549">
        <v>2340</v>
      </c>
      <c r="P269" s="72">
        <f t="shared" si="26"/>
        <v>-1139.6400000000001</v>
      </c>
      <c r="Q269" s="72">
        <f>IFERROR(IF(D269=20250,O269/(#REF!/30),O269/(I269/30)),0)</f>
        <v>43.646944713870035</v>
      </c>
      <c r="R269" s="72">
        <f t="shared" si="27"/>
        <v>43.646944713870035</v>
      </c>
      <c r="AC269"/>
      <c r="AD269"/>
      <c r="AE269"/>
      <c r="AF269"/>
      <c r="AG269"/>
      <c r="AH269"/>
      <c r="AI269"/>
      <c r="AJ269"/>
    </row>
    <row r="270" spans="1:36" ht="15">
      <c r="A270" s="352" t="str">
        <f t="shared" si="23"/>
        <v>420125885</v>
      </c>
      <c r="B270" s="509" t="s">
        <v>100</v>
      </c>
      <c r="C270" s="69" t="str">
        <f>_xlfn.XLOOKUP(B:B,Master!A:A,Master!B:B)</f>
        <v>RPSPL-GT</v>
      </c>
      <c r="D270" s="509" t="s">
        <v>1037</v>
      </c>
      <c r="E270" s="69" t="str">
        <f t="shared" si="24"/>
        <v>420125885</v>
      </c>
      <c r="F270" s="509" t="s">
        <v>1038</v>
      </c>
      <c r="G270" s="70" t="str">
        <f>VLOOKUP(D270,Master!C:G,4,)</f>
        <v>T&amp;I</v>
      </c>
      <c r="H270" s="69" t="str">
        <f>VLOOKUP(D270,Master!C:G,5,)</f>
        <v>T&amp;I EX UF</v>
      </c>
      <c r="I270" s="549">
        <v>2574.36</v>
      </c>
      <c r="J270" s="549">
        <v>456</v>
      </c>
      <c r="K270" s="71">
        <f t="shared" si="25"/>
        <v>0.17713140353330536</v>
      </c>
      <c r="L270" s="549">
        <v>0</v>
      </c>
      <c r="M270" s="511"/>
      <c r="N270" s="549">
        <v>2280</v>
      </c>
      <c r="O270" s="549">
        <v>2280</v>
      </c>
      <c r="P270" s="72">
        <f t="shared" si="26"/>
        <v>-161.63999999999987</v>
      </c>
      <c r="Q270" s="72">
        <f>IFERROR(IF(D270=20250,O270/(#REF!/30),O270/(I270/30)),0)</f>
        <v>26.569710529995806</v>
      </c>
      <c r="R270" s="72">
        <f t="shared" si="27"/>
        <v>26.569710529995806</v>
      </c>
      <c r="AC270"/>
      <c r="AD270"/>
      <c r="AE270"/>
      <c r="AF270"/>
      <c r="AG270"/>
      <c r="AH270"/>
      <c r="AI270"/>
      <c r="AJ270"/>
    </row>
    <row r="271" spans="1:36" ht="15">
      <c r="A271" s="352" t="str">
        <f t="shared" si="23"/>
        <v>420126234</v>
      </c>
      <c r="B271" s="509" t="s">
        <v>100</v>
      </c>
      <c r="C271" s="69" t="str">
        <f>_xlfn.XLOOKUP(B:B,Master!A:A,Master!B:B)</f>
        <v>RPSPL-GT</v>
      </c>
      <c r="D271" s="509" t="s">
        <v>1176</v>
      </c>
      <c r="E271" s="69" t="str">
        <f t="shared" si="24"/>
        <v>420126234</v>
      </c>
      <c r="F271" s="509" t="s">
        <v>1182</v>
      </c>
      <c r="G271" s="70" t="str">
        <f>VLOOKUP(D271,Master!C:G,4,)</f>
        <v>T&amp;I</v>
      </c>
      <c r="H271" s="69" t="str">
        <f>VLOOKUP(D271,Master!C:G,5,)</f>
        <v>T&amp;I EX UF</v>
      </c>
      <c r="I271" s="549">
        <v>0</v>
      </c>
      <c r="J271" s="549">
        <v>0</v>
      </c>
      <c r="K271" s="71">
        <f t="shared" si="25"/>
        <v>0</v>
      </c>
      <c r="L271" s="549">
        <v>0</v>
      </c>
      <c r="M271" s="511"/>
      <c r="N271" s="549">
        <v>228</v>
      </c>
      <c r="O271" s="549">
        <v>228</v>
      </c>
      <c r="P271" s="72">
        <f t="shared" si="26"/>
        <v>-228</v>
      </c>
      <c r="Q271" s="72">
        <f>IFERROR(IF(D271=20250,O271/(#REF!/30),O271/(I271/30)),0)</f>
        <v>0</v>
      </c>
      <c r="R271" s="72">
        <f t="shared" si="27"/>
        <v>0</v>
      </c>
      <c r="AC271"/>
      <c r="AD271"/>
      <c r="AE271"/>
      <c r="AF271"/>
      <c r="AG271"/>
      <c r="AH271"/>
      <c r="AI271"/>
      <c r="AJ271"/>
    </row>
    <row r="272" spans="1:36" ht="15">
      <c r="A272" s="352" t="str">
        <f t="shared" si="23"/>
        <v>420104145</v>
      </c>
      <c r="B272" s="509" t="s">
        <v>100</v>
      </c>
      <c r="C272" s="69" t="str">
        <f>_xlfn.XLOOKUP(B:B,Master!A:A,Master!B:B)</f>
        <v>RPSPL-GT</v>
      </c>
      <c r="D272" s="509" t="s">
        <v>34</v>
      </c>
      <c r="E272" s="69" t="str">
        <f t="shared" si="24"/>
        <v>420104145</v>
      </c>
      <c r="F272" s="509" t="s">
        <v>35</v>
      </c>
      <c r="G272" s="70" t="str">
        <f>VLOOKUP(D272,Master!C:G,4,)</f>
        <v>NGL</v>
      </c>
      <c r="H272" s="69" t="str">
        <f>VLOOKUP(D272,Master!C:G,5,)</f>
        <v>UF-Dry</v>
      </c>
      <c r="I272" s="549">
        <v>192.96</v>
      </c>
      <c r="J272" s="549">
        <v>135</v>
      </c>
      <c r="K272" s="71">
        <f t="shared" si="25"/>
        <v>0.69962686567164178</v>
      </c>
      <c r="L272" s="549">
        <v>0</v>
      </c>
      <c r="M272" s="511"/>
      <c r="N272" s="549">
        <v>144</v>
      </c>
      <c r="O272" s="549">
        <v>144</v>
      </c>
      <c r="P272" s="72">
        <f t="shared" si="26"/>
        <v>-86.039999999999992</v>
      </c>
      <c r="Q272" s="72">
        <f>IFERROR(IF(D272=20250,O272/(#REF!/30),O272/(I272/30)),0)</f>
        <v>22.388059701492537</v>
      </c>
      <c r="R272" s="72">
        <f t="shared" si="27"/>
        <v>22.388059701492537</v>
      </c>
      <c r="AC272"/>
      <c r="AD272"/>
      <c r="AE272"/>
      <c r="AF272"/>
      <c r="AG272"/>
      <c r="AH272"/>
      <c r="AI272"/>
      <c r="AJ272"/>
    </row>
    <row r="273" spans="1:36" ht="15">
      <c r="A273" s="352" t="str">
        <f t="shared" si="23"/>
        <v>420114248</v>
      </c>
      <c r="B273" s="509" t="s">
        <v>100</v>
      </c>
      <c r="C273" s="69" t="str">
        <f>_xlfn.XLOOKUP(B:B,Master!A:A,Master!B:B)</f>
        <v>RPSPL-GT</v>
      </c>
      <c r="D273" s="509" t="s">
        <v>41</v>
      </c>
      <c r="E273" s="69" t="str">
        <f t="shared" si="24"/>
        <v>420114248</v>
      </c>
      <c r="F273" s="509" t="s">
        <v>42</v>
      </c>
      <c r="G273" s="70" t="str">
        <f>VLOOKUP(D273,Master!C:G,4,)</f>
        <v>NGL</v>
      </c>
      <c r="H273" s="69" t="str">
        <f>VLOOKUP(D273,Master!C:G,5,)</f>
        <v>UF-Dry</v>
      </c>
      <c r="I273" s="549">
        <v>268.2</v>
      </c>
      <c r="J273" s="549">
        <v>140</v>
      </c>
      <c r="K273" s="71">
        <f t="shared" si="25"/>
        <v>0.52199850857568986</v>
      </c>
      <c r="L273" s="549">
        <v>0</v>
      </c>
      <c r="M273" s="511"/>
      <c r="N273" s="549">
        <v>440</v>
      </c>
      <c r="O273" s="549">
        <v>440</v>
      </c>
      <c r="P273" s="72">
        <f t="shared" si="26"/>
        <v>-311.8</v>
      </c>
      <c r="Q273" s="72">
        <f>IFERROR(IF(D273=20250,O273/(#REF!/30),O273/(I273/30)),0)</f>
        <v>49.217002237136469</v>
      </c>
      <c r="R273" s="72">
        <f t="shared" si="27"/>
        <v>49.217002237136469</v>
      </c>
      <c r="AC273"/>
      <c r="AD273"/>
      <c r="AE273"/>
      <c r="AF273"/>
      <c r="AG273"/>
      <c r="AH273"/>
      <c r="AI273"/>
      <c r="AJ273"/>
    </row>
    <row r="274" spans="1:36" ht="15">
      <c r="A274" s="352" t="str">
        <f t="shared" si="23"/>
        <v>420115305</v>
      </c>
      <c r="B274" s="509" t="s">
        <v>100</v>
      </c>
      <c r="C274" s="69" t="str">
        <f>_xlfn.XLOOKUP(B:B,Master!A:A,Master!B:B)</f>
        <v>RPSPL-GT</v>
      </c>
      <c r="D274" s="509" t="s">
        <v>45</v>
      </c>
      <c r="E274" s="69" t="str">
        <f t="shared" si="24"/>
        <v>420115305</v>
      </c>
      <c r="F274" s="509" t="s">
        <v>46</v>
      </c>
      <c r="G274" s="70" t="str">
        <f>VLOOKUP(D274,Master!C:G,4,)</f>
        <v>NGL</v>
      </c>
      <c r="H274" s="69" t="str">
        <f>VLOOKUP(D274,Master!C:G,5,)</f>
        <v>UF-Dry</v>
      </c>
      <c r="I274" s="549">
        <v>48.42</v>
      </c>
      <c r="J274" s="549">
        <v>54</v>
      </c>
      <c r="K274" s="71">
        <f t="shared" si="25"/>
        <v>1.1152416356877324</v>
      </c>
      <c r="L274" s="549">
        <v>0</v>
      </c>
      <c r="M274" s="511"/>
      <c r="N274" s="549">
        <v>54</v>
      </c>
      <c r="O274" s="549">
        <v>54</v>
      </c>
      <c r="P274" s="72">
        <f t="shared" si="26"/>
        <v>-59.58</v>
      </c>
      <c r="Q274" s="72">
        <f>IFERROR(IF(D274=20250,O274/(#REF!/30),O274/(I274/30)),0)</f>
        <v>33.457249070631967</v>
      </c>
      <c r="R274" s="72">
        <f t="shared" si="27"/>
        <v>33.457249070631967</v>
      </c>
      <c r="AC274"/>
      <c r="AD274"/>
      <c r="AE274"/>
      <c r="AF274"/>
      <c r="AG274"/>
      <c r="AH274"/>
      <c r="AI274"/>
      <c r="AJ274"/>
    </row>
    <row r="275" spans="1:36" ht="15">
      <c r="A275" s="352" t="str">
        <f t="shared" si="23"/>
        <v>420115312</v>
      </c>
      <c r="B275" s="509" t="s">
        <v>100</v>
      </c>
      <c r="C275" s="69" t="str">
        <f>_xlfn.XLOOKUP(B:B,Master!A:A,Master!B:B)</f>
        <v>RPSPL-GT</v>
      </c>
      <c r="D275" s="509" t="s">
        <v>47</v>
      </c>
      <c r="E275" s="69" t="str">
        <f t="shared" si="24"/>
        <v>420115312</v>
      </c>
      <c r="F275" s="509" t="s">
        <v>48</v>
      </c>
      <c r="G275" s="70" t="str">
        <f>VLOOKUP(D275,Master!C:G,4,)</f>
        <v>NGL</v>
      </c>
      <c r="H275" s="69" t="str">
        <f>VLOOKUP(D275,Master!C:G,5,)</f>
        <v>UF-Dry</v>
      </c>
      <c r="I275" s="549">
        <v>67.23</v>
      </c>
      <c r="J275" s="549">
        <v>0</v>
      </c>
      <c r="K275" s="71">
        <f t="shared" si="25"/>
        <v>0</v>
      </c>
      <c r="L275" s="549">
        <v>0</v>
      </c>
      <c r="M275" s="511"/>
      <c r="N275" s="549">
        <v>144</v>
      </c>
      <c r="O275" s="549">
        <v>144</v>
      </c>
      <c r="P275" s="72">
        <f t="shared" si="26"/>
        <v>-76.77</v>
      </c>
      <c r="Q275" s="72">
        <f>IFERROR(IF(D275=20250,O275/(#REF!/30),O275/(I275/30)),0)</f>
        <v>64.257028112449802</v>
      </c>
      <c r="R275" s="72">
        <f t="shared" si="27"/>
        <v>64.257028112449802</v>
      </c>
      <c r="AC275"/>
      <c r="AD275"/>
      <c r="AE275"/>
      <c r="AF275"/>
      <c r="AG275"/>
      <c r="AH275"/>
      <c r="AI275"/>
      <c r="AJ275"/>
    </row>
    <row r="276" spans="1:36" ht="15">
      <c r="A276" s="352" t="str">
        <f t="shared" si="23"/>
        <v>420116407</v>
      </c>
      <c r="B276" s="509" t="s">
        <v>100</v>
      </c>
      <c r="C276" s="69" t="str">
        <f>_xlfn.XLOOKUP(B:B,Master!A:A,Master!B:B)</f>
        <v>RPSPL-GT</v>
      </c>
      <c r="D276" s="509" t="s">
        <v>49</v>
      </c>
      <c r="E276" s="69" t="str">
        <f t="shared" si="24"/>
        <v>420116407</v>
      </c>
      <c r="F276" s="509" t="s">
        <v>50</v>
      </c>
      <c r="G276" s="70" t="str">
        <f>VLOOKUP(D276,Master!C:G,4,)</f>
        <v>NGL</v>
      </c>
      <c r="H276" s="69" t="str">
        <f>VLOOKUP(D276,Master!C:G,5,)</f>
        <v>UF-Dry</v>
      </c>
      <c r="I276" s="549">
        <v>48.42</v>
      </c>
      <c r="J276" s="549">
        <v>36</v>
      </c>
      <c r="K276" s="71">
        <f t="shared" si="25"/>
        <v>0.74349442379182151</v>
      </c>
      <c r="L276" s="549">
        <v>0</v>
      </c>
      <c r="M276" s="511"/>
      <c r="N276" s="549">
        <v>153</v>
      </c>
      <c r="O276" s="549">
        <v>153</v>
      </c>
      <c r="P276" s="72">
        <f t="shared" si="26"/>
        <v>-140.57999999999998</v>
      </c>
      <c r="Q276" s="72">
        <f>IFERROR(IF(D276=20250,O276/(#REF!/30),O276/(I276/30)),0)</f>
        <v>94.795539033457246</v>
      </c>
      <c r="R276" s="72">
        <f t="shared" si="27"/>
        <v>94.795539033457246</v>
      </c>
      <c r="AC276"/>
      <c r="AD276"/>
      <c r="AE276"/>
      <c r="AF276"/>
      <c r="AG276"/>
      <c r="AH276"/>
      <c r="AI276"/>
      <c r="AJ276"/>
    </row>
    <row r="277" spans="1:36" ht="15">
      <c r="A277" s="352" t="str">
        <f t="shared" si="23"/>
        <v>420100189</v>
      </c>
      <c r="B277" s="509" t="s">
        <v>100</v>
      </c>
      <c r="C277" s="69" t="str">
        <f>_xlfn.XLOOKUP(B:B,Master!A:A,Master!B:B)</f>
        <v>RPSPL-GT</v>
      </c>
      <c r="D277" s="509" t="s">
        <v>51</v>
      </c>
      <c r="E277" s="69" t="str">
        <f t="shared" si="24"/>
        <v>420100189</v>
      </c>
      <c r="F277" s="509" t="s">
        <v>903</v>
      </c>
      <c r="G277" s="70" t="str">
        <f>VLOOKUP(D277,Master!C:G,4,)</f>
        <v>T&amp;I</v>
      </c>
      <c r="H277" s="69" t="str">
        <f>VLOOKUP(D277,Master!C:G,5,)</f>
        <v>T&amp;I Comm-UF</v>
      </c>
      <c r="I277" s="549">
        <v>31357.08</v>
      </c>
      <c r="J277" s="549">
        <v>14772</v>
      </c>
      <c r="K277" s="71">
        <f t="shared" si="25"/>
        <v>0.47108978259455281</v>
      </c>
      <c r="L277" s="549">
        <v>0</v>
      </c>
      <c r="M277" s="511"/>
      <c r="N277" s="549">
        <v>30876</v>
      </c>
      <c r="O277" s="549">
        <v>30876</v>
      </c>
      <c r="P277" s="72">
        <f t="shared" si="26"/>
        <v>-14290.919999999998</v>
      </c>
      <c r="Q277" s="72">
        <f>IFERROR(IF(D277=20250,O277/(#REF!/30),O277/(I277/30)),0)</f>
        <v>29.539740307452092</v>
      </c>
      <c r="R277" s="72">
        <f t="shared" si="27"/>
        <v>29.539740307452092</v>
      </c>
      <c r="AC277"/>
      <c r="AD277"/>
      <c r="AE277"/>
      <c r="AF277"/>
      <c r="AG277"/>
      <c r="AH277"/>
      <c r="AI277"/>
      <c r="AJ277"/>
    </row>
    <row r="278" spans="1:36" ht="15">
      <c r="A278" s="352" t="str">
        <f t="shared" si="23"/>
        <v>420101167</v>
      </c>
      <c r="B278" s="509" t="s">
        <v>100</v>
      </c>
      <c r="C278" s="69" t="str">
        <f>_xlfn.XLOOKUP(B:B,Master!A:A,Master!B:B)</f>
        <v>RPSPL-GT</v>
      </c>
      <c r="D278" s="509" t="s">
        <v>53</v>
      </c>
      <c r="E278" s="69" t="str">
        <f t="shared" si="24"/>
        <v>420101167</v>
      </c>
      <c r="F278" s="509" t="s">
        <v>54</v>
      </c>
      <c r="G278" s="70" t="str">
        <f>VLOOKUP(D278,Master!C:G,4,)</f>
        <v>T&amp;I</v>
      </c>
      <c r="H278" s="69" t="str">
        <f>VLOOKUP(D278,Master!C:G,5,)</f>
        <v>T&amp;I EX UF</v>
      </c>
      <c r="I278" s="549">
        <v>1929.96</v>
      </c>
      <c r="J278" s="549">
        <v>120</v>
      </c>
      <c r="K278" s="71">
        <f t="shared" si="25"/>
        <v>6.2177454455014609E-2</v>
      </c>
      <c r="L278" s="549">
        <v>0</v>
      </c>
      <c r="M278" s="511"/>
      <c r="N278" s="549">
        <v>3288</v>
      </c>
      <c r="O278" s="549">
        <v>3288</v>
      </c>
      <c r="P278" s="72">
        <f t="shared" si="26"/>
        <v>-1478.04</v>
      </c>
      <c r="Q278" s="72">
        <f>IFERROR(IF(D278=20250,O278/(#REF!/30),O278/(I278/30)),0)</f>
        <v>51.109867562022004</v>
      </c>
      <c r="R278" s="72">
        <f t="shared" si="27"/>
        <v>51.109867562022004</v>
      </c>
      <c r="AC278"/>
      <c r="AD278"/>
      <c r="AE278"/>
      <c r="AF278"/>
      <c r="AG278"/>
      <c r="AH278"/>
      <c r="AI278"/>
      <c r="AJ278"/>
    </row>
    <row r="279" spans="1:36" ht="15">
      <c r="A279" s="352" t="str">
        <f t="shared" si="23"/>
        <v>420101296</v>
      </c>
      <c r="B279" s="509" t="s">
        <v>100</v>
      </c>
      <c r="C279" s="69" t="str">
        <f>_xlfn.XLOOKUP(B:B,Master!A:A,Master!B:B)</f>
        <v>RPSPL-GT</v>
      </c>
      <c r="D279" s="509" t="s">
        <v>15</v>
      </c>
      <c r="E279" s="69" t="str">
        <f t="shared" si="24"/>
        <v>420101296</v>
      </c>
      <c r="F279" s="509" t="s">
        <v>16</v>
      </c>
      <c r="G279" s="70" t="str">
        <f>VLOOKUP(D279,Master!C:G,4,)</f>
        <v>T&amp;I</v>
      </c>
      <c r="H279" s="69" t="str">
        <f>VLOOKUP(D279,Master!C:G,5,)</f>
        <v>T&amp;I EX HP 2 KG</v>
      </c>
      <c r="I279" s="549">
        <v>514.67999999999995</v>
      </c>
      <c r="J279" s="549">
        <v>156</v>
      </c>
      <c r="K279" s="71">
        <f t="shared" si="25"/>
        <v>0.30310095593378411</v>
      </c>
      <c r="L279" s="549">
        <v>0</v>
      </c>
      <c r="M279" s="511"/>
      <c r="N279" s="549">
        <v>612</v>
      </c>
      <c r="O279" s="549">
        <v>612</v>
      </c>
      <c r="P279" s="72">
        <f t="shared" si="26"/>
        <v>-253.32000000000005</v>
      </c>
      <c r="Q279" s="72">
        <f>IFERROR(IF(D279=20250,O279/(#REF!/30),O279/(I279/30)),0)</f>
        <v>35.672650967591515</v>
      </c>
      <c r="R279" s="72">
        <f t="shared" si="27"/>
        <v>35.672650967591515</v>
      </c>
      <c r="AC279"/>
      <c r="AD279"/>
      <c r="AE279"/>
      <c r="AF279"/>
      <c r="AG279"/>
      <c r="AH279"/>
      <c r="AI279"/>
      <c r="AJ279"/>
    </row>
    <row r="280" spans="1:36" ht="15">
      <c r="A280" s="352" t="str">
        <f t="shared" si="23"/>
        <v>420102122</v>
      </c>
      <c r="B280" s="509" t="s">
        <v>100</v>
      </c>
      <c r="C280" s="69" t="str">
        <f>_xlfn.XLOOKUP(B:B,Master!A:A,Master!B:B)</f>
        <v>RPSPL-GT</v>
      </c>
      <c r="D280" s="509" t="s">
        <v>55</v>
      </c>
      <c r="E280" s="69" t="str">
        <f t="shared" si="24"/>
        <v>420102122</v>
      </c>
      <c r="F280" s="509" t="s">
        <v>56</v>
      </c>
      <c r="G280" s="70" t="str">
        <f>VLOOKUP(D280,Master!C:G,4,)</f>
        <v>T&amp;I</v>
      </c>
      <c r="H280" s="69" t="str">
        <f>VLOOKUP(D280,Master!C:G,5,)</f>
        <v>T&amp;I EX HP 2 KG</v>
      </c>
      <c r="I280" s="549">
        <v>1448.04</v>
      </c>
      <c r="J280" s="549">
        <v>348</v>
      </c>
      <c r="K280" s="71">
        <f t="shared" si="25"/>
        <v>0.24032485290461589</v>
      </c>
      <c r="L280" s="549">
        <v>0</v>
      </c>
      <c r="M280" s="511"/>
      <c r="N280" s="549">
        <v>2364</v>
      </c>
      <c r="O280" s="549">
        <v>2364</v>
      </c>
      <c r="P280" s="72">
        <f t="shared" si="26"/>
        <v>-1263.96</v>
      </c>
      <c r="Q280" s="72">
        <f>IFERROR(IF(D280=20250,O280/(#REF!/30),O280/(I280/30)),0)</f>
        <v>48.976547609182063</v>
      </c>
      <c r="R280" s="72">
        <f t="shared" si="27"/>
        <v>48.976547609182063</v>
      </c>
      <c r="AC280"/>
      <c r="AD280"/>
      <c r="AE280"/>
      <c r="AF280"/>
      <c r="AG280"/>
      <c r="AH280"/>
      <c r="AI280"/>
      <c r="AJ280"/>
    </row>
    <row r="281" spans="1:36" ht="15">
      <c r="A281" s="352" t="str">
        <f t="shared" si="23"/>
        <v>420105159</v>
      </c>
      <c r="B281" s="509" t="s">
        <v>100</v>
      </c>
      <c r="C281" s="69" t="str">
        <f>_xlfn.XLOOKUP(B:B,Master!A:A,Master!B:B)</f>
        <v>RPSPL-GT</v>
      </c>
      <c r="D281" s="509" t="s">
        <v>57</v>
      </c>
      <c r="E281" s="69" t="str">
        <f t="shared" si="24"/>
        <v>420105159</v>
      </c>
      <c r="F281" s="509" t="s">
        <v>58</v>
      </c>
      <c r="G281" s="70" t="str">
        <f>VLOOKUP(D281,Master!C:G,4,)</f>
        <v>T&amp;I</v>
      </c>
      <c r="H281" s="69" t="str">
        <f>VLOOKUP(D281,Master!C:G,5,)</f>
        <v>T&amp;I EX HP</v>
      </c>
      <c r="I281" s="549">
        <v>3861.12</v>
      </c>
      <c r="J281" s="549">
        <v>1272</v>
      </c>
      <c r="K281" s="71">
        <f t="shared" si="25"/>
        <v>0.32943809050223771</v>
      </c>
      <c r="L281" s="549">
        <v>0</v>
      </c>
      <c r="M281" s="511"/>
      <c r="N281" s="549">
        <v>1464</v>
      </c>
      <c r="O281" s="549">
        <v>1464</v>
      </c>
      <c r="P281" s="72">
        <f t="shared" si="26"/>
        <v>1125.1199999999999</v>
      </c>
      <c r="Q281" s="72">
        <f>IFERROR(IF(D281=20250,O281/(#REF!/30),O281/(I281/30)),0)</f>
        <v>11.374937841869716</v>
      </c>
      <c r="R281" s="72">
        <f t="shared" si="27"/>
        <v>11.374937841869716</v>
      </c>
      <c r="AC281"/>
      <c r="AD281"/>
      <c r="AE281"/>
      <c r="AF281"/>
      <c r="AG281"/>
      <c r="AH281"/>
      <c r="AI281"/>
      <c r="AJ281"/>
    </row>
    <row r="282" spans="1:36" ht="15">
      <c r="A282" s="352" t="str">
        <f t="shared" si="23"/>
        <v>420106982</v>
      </c>
      <c r="B282" s="509" t="s">
        <v>100</v>
      </c>
      <c r="C282" s="69" t="str">
        <f>_xlfn.XLOOKUP(B:B,Master!A:A,Master!B:B)</f>
        <v>RPSPL-GT</v>
      </c>
      <c r="D282" s="509" t="s">
        <v>59</v>
      </c>
      <c r="E282" s="69" t="str">
        <f t="shared" si="24"/>
        <v>420106982</v>
      </c>
      <c r="F282" s="509" t="s">
        <v>60</v>
      </c>
      <c r="G282" s="70" t="str">
        <f>VLOOKUP(D282,Master!C:G,4,)</f>
        <v>T&amp;I</v>
      </c>
      <c r="H282" s="69" t="str">
        <f>VLOOKUP(D282,Master!C:G,5,)</f>
        <v>T&amp;I Comm-UF</v>
      </c>
      <c r="I282" s="549">
        <v>1126.32</v>
      </c>
      <c r="J282" s="549">
        <v>36</v>
      </c>
      <c r="K282" s="71">
        <f t="shared" si="25"/>
        <v>3.1962497336458555E-2</v>
      </c>
      <c r="L282" s="549">
        <v>0</v>
      </c>
      <c r="M282" s="511"/>
      <c r="N282" s="549">
        <v>1524</v>
      </c>
      <c r="O282" s="549">
        <v>1524</v>
      </c>
      <c r="P282" s="72">
        <f t="shared" si="26"/>
        <v>-433.68000000000006</v>
      </c>
      <c r="Q282" s="72">
        <f>IFERROR(IF(D282=20250,O282/(#REF!/30),O282/(I282/30)),0)</f>
        <v>40.592371617302369</v>
      </c>
      <c r="R282" s="72">
        <f t="shared" si="27"/>
        <v>40.592371617302369</v>
      </c>
      <c r="AC282"/>
      <c r="AD282"/>
      <c r="AE282"/>
      <c r="AF282"/>
      <c r="AG282"/>
      <c r="AH282"/>
      <c r="AI282"/>
      <c r="AJ282"/>
    </row>
    <row r="283" spans="1:36" ht="15">
      <c r="A283" s="352" t="str">
        <f t="shared" si="23"/>
        <v>420107310</v>
      </c>
      <c r="B283" s="509" t="s">
        <v>100</v>
      </c>
      <c r="C283" s="69" t="str">
        <f>_xlfn.XLOOKUP(B:B,Master!A:A,Master!B:B)</f>
        <v>RPSPL-GT</v>
      </c>
      <c r="D283" s="509" t="s">
        <v>19</v>
      </c>
      <c r="E283" s="69" t="str">
        <f t="shared" si="24"/>
        <v>420107310</v>
      </c>
      <c r="F283" s="509" t="s">
        <v>20</v>
      </c>
      <c r="G283" s="70" t="str">
        <f>VLOOKUP(D283,Master!C:G,4,)</f>
        <v>T&amp;I</v>
      </c>
      <c r="H283" s="69" t="str">
        <f>VLOOKUP(D283,Master!C:G,5,)</f>
        <v>T&amp;I Comm -HP</v>
      </c>
      <c r="I283" s="549">
        <v>2574.36</v>
      </c>
      <c r="J283" s="549">
        <v>816</v>
      </c>
      <c r="K283" s="71">
        <f t="shared" si="25"/>
        <v>0.31697198527012538</v>
      </c>
      <c r="L283" s="549">
        <v>0</v>
      </c>
      <c r="M283" s="511"/>
      <c r="N283" s="549">
        <v>4248</v>
      </c>
      <c r="O283" s="549">
        <v>4248</v>
      </c>
      <c r="P283" s="72">
        <f t="shared" si="26"/>
        <v>-2489.64</v>
      </c>
      <c r="Q283" s="72">
        <f>IFERROR(IF(D283=20250,O283/(#REF!/30),O283/(I283/30)),0)</f>
        <v>49.503565934834292</v>
      </c>
      <c r="R283" s="72">
        <f t="shared" si="27"/>
        <v>49.503565934834292</v>
      </c>
      <c r="AC283"/>
      <c r="AD283"/>
      <c r="AE283"/>
      <c r="AF283"/>
      <c r="AG283"/>
      <c r="AH283"/>
      <c r="AI283"/>
      <c r="AJ283"/>
    </row>
    <row r="284" spans="1:36" ht="15">
      <c r="A284" s="352" t="str">
        <f t="shared" si="23"/>
        <v>420108529</v>
      </c>
      <c r="B284" s="509" t="s">
        <v>100</v>
      </c>
      <c r="C284" s="69" t="str">
        <f>_xlfn.XLOOKUP(B:B,Master!A:A,Master!B:B)</f>
        <v>RPSPL-GT</v>
      </c>
      <c r="D284" s="509" t="s">
        <v>61</v>
      </c>
      <c r="E284" s="69" t="str">
        <f t="shared" si="24"/>
        <v>420108529</v>
      </c>
      <c r="F284" s="509" t="s">
        <v>62</v>
      </c>
      <c r="G284" s="70" t="str">
        <f>VLOOKUP(D284,Master!C:G,4,)</f>
        <v>T&amp;I</v>
      </c>
      <c r="H284" s="69" t="str">
        <f>VLOOKUP(D284,Master!C:G,5,)</f>
        <v>T&amp;I EX HP 2 KG</v>
      </c>
      <c r="I284" s="549">
        <v>3217.68</v>
      </c>
      <c r="J284" s="549">
        <v>960</v>
      </c>
      <c r="K284" s="71">
        <f t="shared" si="25"/>
        <v>0.29835160736928473</v>
      </c>
      <c r="L284" s="549">
        <v>0</v>
      </c>
      <c r="M284" s="511"/>
      <c r="N284" s="549">
        <v>4596</v>
      </c>
      <c r="O284" s="549">
        <v>4596</v>
      </c>
      <c r="P284" s="72">
        <f t="shared" si="26"/>
        <v>-2338.3200000000002</v>
      </c>
      <c r="Q284" s="72">
        <f>IFERROR(IF(D284=20250,O284/(#REF!/30),O284/(I284/30)),0)</f>
        <v>42.850749608413516</v>
      </c>
      <c r="R284" s="72">
        <f t="shared" si="27"/>
        <v>42.850749608413516</v>
      </c>
      <c r="AC284"/>
      <c r="AD284"/>
      <c r="AE284"/>
      <c r="AF284"/>
      <c r="AG284"/>
      <c r="AH284"/>
      <c r="AI284"/>
      <c r="AJ284"/>
    </row>
    <row r="285" spans="1:36" ht="15">
      <c r="A285" s="352" t="str">
        <f t="shared" si="23"/>
        <v>420113678</v>
      </c>
      <c r="B285" s="509" t="s">
        <v>100</v>
      </c>
      <c r="C285" s="69" t="str">
        <f>_xlfn.XLOOKUP(B:B,Master!A:A,Master!B:B)</f>
        <v>RPSPL-GT</v>
      </c>
      <c r="D285" s="509" t="s">
        <v>65</v>
      </c>
      <c r="E285" s="69" t="str">
        <f t="shared" si="24"/>
        <v>420113678</v>
      </c>
      <c r="F285" s="509" t="s">
        <v>66</v>
      </c>
      <c r="G285" s="70" t="str">
        <f>VLOOKUP(D285,Master!C:G,4,)</f>
        <v>T&amp;I</v>
      </c>
      <c r="H285" s="69" t="str">
        <f>VLOOKUP(D285,Master!C:G,5,)</f>
        <v>T&amp;I EX HP</v>
      </c>
      <c r="I285" s="549">
        <v>771.96</v>
      </c>
      <c r="J285" s="549">
        <v>360</v>
      </c>
      <c r="K285" s="71">
        <f t="shared" si="25"/>
        <v>0.46634540649774597</v>
      </c>
      <c r="L285" s="549">
        <v>0</v>
      </c>
      <c r="M285" s="511"/>
      <c r="N285" s="549">
        <v>444</v>
      </c>
      <c r="O285" s="549">
        <v>444</v>
      </c>
      <c r="P285" s="72">
        <f t="shared" si="26"/>
        <v>-32.039999999999964</v>
      </c>
      <c r="Q285" s="72">
        <f>IFERROR(IF(D285=20250,O285/(#REF!/30),O285/(I285/30)),0)</f>
        <v>17.254780040416598</v>
      </c>
      <c r="R285" s="72">
        <f t="shared" si="27"/>
        <v>17.254780040416598</v>
      </c>
      <c r="AC285"/>
      <c r="AD285"/>
      <c r="AE285"/>
      <c r="AF285"/>
      <c r="AG285"/>
      <c r="AH285"/>
      <c r="AI285"/>
      <c r="AJ285"/>
    </row>
    <row r="286" spans="1:36" ht="15">
      <c r="A286" s="352" t="str">
        <f t="shared" si="23"/>
        <v>420114654</v>
      </c>
      <c r="B286" s="509" t="s">
        <v>100</v>
      </c>
      <c r="C286" s="69" t="str">
        <f>_xlfn.XLOOKUP(B:B,Master!A:A,Master!B:B)</f>
        <v>RPSPL-GT</v>
      </c>
      <c r="D286" s="509" t="s">
        <v>67</v>
      </c>
      <c r="E286" s="69" t="str">
        <f t="shared" si="24"/>
        <v>420114654</v>
      </c>
      <c r="F286" s="509" t="s">
        <v>68</v>
      </c>
      <c r="G286" s="70" t="str">
        <f>VLOOKUP(D286,Master!C:G,4,)</f>
        <v>T&amp;I</v>
      </c>
      <c r="H286" s="69" t="str">
        <f>VLOOKUP(D286,Master!C:G,5,)</f>
        <v>T&amp;I Comm-UF</v>
      </c>
      <c r="I286" s="549">
        <v>2896.08</v>
      </c>
      <c r="J286" s="549">
        <v>1896</v>
      </c>
      <c r="K286" s="71">
        <f t="shared" si="25"/>
        <v>0.65467804756774672</v>
      </c>
      <c r="L286" s="549">
        <v>0</v>
      </c>
      <c r="M286" s="511"/>
      <c r="N286" s="549">
        <v>1908</v>
      </c>
      <c r="O286" s="549">
        <v>1908</v>
      </c>
      <c r="P286" s="72">
        <f t="shared" si="26"/>
        <v>-907.92000000000007</v>
      </c>
      <c r="Q286" s="72">
        <f>IFERROR(IF(D286=20250,O286/(#REF!/30),O286/(I286/30)),0)</f>
        <v>19.764647385431342</v>
      </c>
      <c r="R286" s="72">
        <f t="shared" si="27"/>
        <v>19.764647385431342</v>
      </c>
      <c r="AC286"/>
      <c r="AD286"/>
      <c r="AE286"/>
      <c r="AF286"/>
      <c r="AG286"/>
      <c r="AH286"/>
      <c r="AI286"/>
      <c r="AJ286"/>
    </row>
    <row r="287" spans="1:36" ht="15">
      <c r="A287" s="352" t="str">
        <f t="shared" si="23"/>
        <v>420114788</v>
      </c>
      <c r="B287" s="509" t="s">
        <v>100</v>
      </c>
      <c r="C287" s="69" t="str">
        <f>_xlfn.XLOOKUP(B:B,Master!A:A,Master!B:B)</f>
        <v>RPSPL-GT</v>
      </c>
      <c r="D287" s="509" t="s">
        <v>69</v>
      </c>
      <c r="E287" s="69" t="str">
        <f t="shared" si="24"/>
        <v>420114788</v>
      </c>
      <c r="F287" s="509" t="s">
        <v>70</v>
      </c>
      <c r="G287" s="70" t="str">
        <f>VLOOKUP(D287,Master!C:G,4,)</f>
        <v>T&amp;I</v>
      </c>
      <c r="H287" s="69" t="str">
        <f>VLOOKUP(D287,Master!C:G,5,)</f>
        <v>T&amp;I EX HP</v>
      </c>
      <c r="I287" s="549">
        <v>13500</v>
      </c>
      <c r="J287" s="549">
        <v>7176</v>
      </c>
      <c r="K287" s="71">
        <f t="shared" si="25"/>
        <v>0.53155555555555556</v>
      </c>
      <c r="L287" s="549">
        <v>0</v>
      </c>
      <c r="M287" s="511"/>
      <c r="N287" s="549">
        <v>15492</v>
      </c>
      <c r="O287" s="549">
        <v>15492</v>
      </c>
      <c r="P287" s="72">
        <f t="shared" si="26"/>
        <v>-9168</v>
      </c>
      <c r="Q287" s="72">
        <f>IFERROR(IF(D287=20250,O287/(#REF!/30),O287/(I287/30)),0)</f>
        <v>34.426666666666669</v>
      </c>
      <c r="R287" s="72">
        <f t="shared" si="27"/>
        <v>34.426666666666669</v>
      </c>
      <c r="AC287"/>
      <c r="AD287"/>
      <c r="AE287"/>
      <c r="AF287"/>
      <c r="AG287"/>
      <c r="AH287"/>
      <c r="AI287"/>
      <c r="AJ287"/>
    </row>
    <row r="288" spans="1:36" ht="15">
      <c r="A288" s="352" t="str">
        <f t="shared" si="23"/>
        <v>420115536</v>
      </c>
      <c r="B288" s="509" t="s">
        <v>100</v>
      </c>
      <c r="C288" s="69" t="str">
        <f>_xlfn.XLOOKUP(B:B,Master!A:A,Master!B:B)</f>
        <v>RPSPL-GT</v>
      </c>
      <c r="D288" s="509" t="s">
        <v>71</v>
      </c>
      <c r="E288" s="69" t="str">
        <f t="shared" si="24"/>
        <v>420115536</v>
      </c>
      <c r="F288" s="509" t="s">
        <v>72</v>
      </c>
      <c r="G288" s="70" t="str">
        <f>VLOOKUP(D288,Master!C:G,4,)</f>
        <v>Ganache</v>
      </c>
      <c r="H288" s="69" t="str">
        <f>VLOOKUP(D288,Master!C:G,5,)</f>
        <v>Ganache- UF</v>
      </c>
      <c r="I288" s="549">
        <v>2574.36</v>
      </c>
      <c r="J288" s="549">
        <v>1200</v>
      </c>
      <c r="K288" s="71">
        <f t="shared" si="25"/>
        <v>0.46613527245606673</v>
      </c>
      <c r="L288" s="549">
        <v>0</v>
      </c>
      <c r="M288" s="511"/>
      <c r="N288" s="549">
        <v>1896</v>
      </c>
      <c r="O288" s="549">
        <v>1896</v>
      </c>
      <c r="P288" s="72">
        <f t="shared" si="26"/>
        <v>-521.63999999999987</v>
      </c>
      <c r="Q288" s="72">
        <f>IFERROR(IF(D288=20250,O288/(#REF!/30),O288/(I288/30)),0)</f>
        <v>22.094811914417566</v>
      </c>
      <c r="R288" s="72">
        <f t="shared" si="27"/>
        <v>22.094811914417566</v>
      </c>
      <c r="AC288"/>
      <c r="AD288"/>
      <c r="AE288"/>
      <c r="AF288"/>
      <c r="AG288"/>
      <c r="AH288"/>
      <c r="AI288"/>
      <c r="AJ288"/>
    </row>
    <row r="289" spans="1:36" ht="15">
      <c r="A289" s="352" t="str">
        <f t="shared" si="23"/>
        <v>420116336</v>
      </c>
      <c r="B289" s="509" t="s">
        <v>100</v>
      </c>
      <c r="C289" s="69" t="str">
        <f>_xlfn.XLOOKUP(B:B,Master!A:A,Master!B:B)</f>
        <v>RPSPL-GT</v>
      </c>
      <c r="D289" s="509" t="s">
        <v>24</v>
      </c>
      <c r="E289" s="69" t="str">
        <f t="shared" si="24"/>
        <v>420116336</v>
      </c>
      <c r="F289" s="509" t="s">
        <v>25</v>
      </c>
      <c r="G289" s="70" t="str">
        <f>VLOOKUP(D289,Master!C:G,4,)</f>
        <v>T&amp;I</v>
      </c>
      <c r="H289" s="69" t="str">
        <f>VLOOKUP(D289,Master!C:G,5,)</f>
        <v>T&amp;I Comm-UF</v>
      </c>
      <c r="I289" s="549">
        <v>9008.8799999999992</v>
      </c>
      <c r="J289" s="549">
        <v>4080</v>
      </c>
      <c r="K289" s="71">
        <f t="shared" si="25"/>
        <v>0.45288648533447001</v>
      </c>
      <c r="L289" s="549">
        <v>0</v>
      </c>
      <c r="M289" s="511"/>
      <c r="N289" s="549">
        <v>11184</v>
      </c>
      <c r="O289" s="549">
        <v>11184</v>
      </c>
      <c r="P289" s="72">
        <f t="shared" si="26"/>
        <v>-6255.1200000000008</v>
      </c>
      <c r="Q289" s="72">
        <f>IFERROR(IF(D289=20250,O289/(#REF!/30),O289/(I289/30)),0)</f>
        <v>37.243253323387592</v>
      </c>
      <c r="R289" s="72">
        <f t="shared" si="27"/>
        <v>37.243253323387592</v>
      </c>
      <c r="AC289"/>
      <c r="AD289"/>
      <c r="AE289"/>
      <c r="AF289"/>
      <c r="AG289"/>
      <c r="AH289"/>
      <c r="AI289"/>
      <c r="AJ289"/>
    </row>
    <row r="290" spans="1:36" ht="15">
      <c r="A290" s="352" t="str">
        <f t="shared" si="23"/>
        <v>420116984</v>
      </c>
      <c r="B290" s="509" t="s">
        <v>100</v>
      </c>
      <c r="C290" s="69" t="str">
        <f>_xlfn.XLOOKUP(B:B,Master!A:A,Master!B:B)</f>
        <v>RPSPL-GT</v>
      </c>
      <c r="D290" s="509" t="s">
        <v>78</v>
      </c>
      <c r="E290" s="69" t="str">
        <f t="shared" si="24"/>
        <v>420116984</v>
      </c>
      <c r="F290" s="509" t="s">
        <v>79</v>
      </c>
      <c r="G290" s="70" t="str">
        <f>VLOOKUP(D290,Master!C:G,4,)</f>
        <v>T&amp;I</v>
      </c>
      <c r="H290" s="69" t="str">
        <f>VLOOKUP(D290,Master!C:G,5,)</f>
        <v>T&amp;I EX HP</v>
      </c>
      <c r="I290" s="549">
        <v>257.27999999999997</v>
      </c>
      <c r="J290" s="549">
        <v>180</v>
      </c>
      <c r="K290" s="71">
        <f t="shared" si="25"/>
        <v>0.6996268656716419</v>
      </c>
      <c r="L290" s="549">
        <v>0</v>
      </c>
      <c r="M290" s="511"/>
      <c r="N290" s="549">
        <v>780</v>
      </c>
      <c r="O290" s="549">
        <v>780</v>
      </c>
      <c r="P290" s="72">
        <f t="shared" si="26"/>
        <v>-702.72</v>
      </c>
      <c r="Q290" s="72">
        <f>IFERROR(IF(D290=20250,O290/(#REF!/30),O290/(I290/30)),0)</f>
        <v>90.951492537313442</v>
      </c>
      <c r="R290" s="72">
        <f t="shared" si="27"/>
        <v>90.951492537313442</v>
      </c>
      <c r="AC290"/>
      <c r="AD290"/>
      <c r="AE290"/>
      <c r="AF290"/>
      <c r="AG290"/>
      <c r="AH290"/>
      <c r="AI290"/>
      <c r="AJ290"/>
    </row>
    <row r="291" spans="1:36" ht="15">
      <c r="A291" s="352" t="str">
        <f t="shared" si="23"/>
        <v>420116998</v>
      </c>
      <c r="B291" s="509" t="s">
        <v>100</v>
      </c>
      <c r="C291" s="69" t="str">
        <f>_xlfn.XLOOKUP(B:B,Master!A:A,Master!B:B)</f>
        <v>RPSPL-GT</v>
      </c>
      <c r="D291" s="509" t="s">
        <v>80</v>
      </c>
      <c r="E291" s="69" t="str">
        <f t="shared" si="24"/>
        <v>420116998</v>
      </c>
      <c r="F291" s="509" t="s">
        <v>81</v>
      </c>
      <c r="G291" s="70" t="str">
        <f>VLOOKUP(D291,Master!C:G,4,)</f>
        <v>T&amp;I</v>
      </c>
      <c r="H291" s="69" t="str">
        <f>VLOOKUP(D291,Master!C:G,5,)</f>
        <v>T&amp;I EX UF</v>
      </c>
      <c r="I291" s="549">
        <v>2574.36</v>
      </c>
      <c r="J291" s="549">
        <v>360</v>
      </c>
      <c r="K291" s="71">
        <f t="shared" si="25"/>
        <v>0.13984058173682001</v>
      </c>
      <c r="L291" s="549">
        <v>0</v>
      </c>
      <c r="M291" s="511"/>
      <c r="N291" s="549">
        <v>3336</v>
      </c>
      <c r="O291" s="549">
        <v>3336</v>
      </c>
      <c r="P291" s="72">
        <f t="shared" si="26"/>
        <v>-1121.6399999999999</v>
      </c>
      <c r="Q291" s="72">
        <f>IFERROR(IF(D291=20250,O291/(#REF!/30),O291/(I291/30)),0)</f>
        <v>38.875681722835971</v>
      </c>
      <c r="R291" s="72">
        <f t="shared" si="27"/>
        <v>38.875681722835971</v>
      </c>
      <c r="AC291"/>
      <c r="AD291"/>
      <c r="AE291"/>
      <c r="AF291"/>
      <c r="AG291"/>
      <c r="AH291"/>
      <c r="AI291"/>
      <c r="AJ291"/>
    </row>
    <row r="292" spans="1:36" ht="15">
      <c r="A292" s="352" t="str">
        <f t="shared" si="23"/>
        <v>420118098</v>
      </c>
      <c r="B292" s="509" t="s">
        <v>100</v>
      </c>
      <c r="C292" s="69" t="str">
        <f>_xlfn.XLOOKUP(B:B,Master!A:A,Master!B:B)</f>
        <v>RPSPL-GT</v>
      </c>
      <c r="D292" s="509" t="s">
        <v>84</v>
      </c>
      <c r="E292" s="69" t="str">
        <f t="shared" si="24"/>
        <v>420118098</v>
      </c>
      <c r="F292" s="509" t="s">
        <v>1222</v>
      </c>
      <c r="G292" s="70" t="str">
        <f>VLOOKUP(D292,Master!C:G,4,)</f>
        <v>T&amp;I</v>
      </c>
      <c r="H292" s="69" t="str">
        <f>VLOOKUP(D292,Master!C:G,5,)</f>
        <v>T&amp;I EX HP</v>
      </c>
      <c r="I292" s="549">
        <v>128.63999999999999</v>
      </c>
      <c r="J292" s="549">
        <v>0</v>
      </c>
      <c r="K292" s="71">
        <f t="shared" si="25"/>
        <v>0</v>
      </c>
      <c r="L292" s="549">
        <v>0</v>
      </c>
      <c r="M292" s="511"/>
      <c r="N292" s="549">
        <v>348</v>
      </c>
      <c r="O292" s="549">
        <v>348</v>
      </c>
      <c r="P292" s="72">
        <f t="shared" si="26"/>
        <v>-219.36</v>
      </c>
      <c r="Q292" s="72">
        <f>IFERROR(IF(D292=20250,O292/(#REF!/30),O292/(I292/30)),0)</f>
        <v>81.156716417910459</v>
      </c>
      <c r="R292" s="72">
        <f t="shared" si="27"/>
        <v>81.156716417910459</v>
      </c>
      <c r="AC292"/>
      <c r="AD292"/>
      <c r="AE292"/>
      <c r="AF292"/>
      <c r="AG292"/>
      <c r="AH292"/>
      <c r="AI292"/>
      <c r="AJ292"/>
    </row>
    <row r="293" spans="1:36" ht="15">
      <c r="A293" s="352" t="str">
        <f t="shared" si="23"/>
        <v>420120308</v>
      </c>
      <c r="B293" s="509" t="s">
        <v>100</v>
      </c>
      <c r="C293" s="69" t="str">
        <f>_xlfn.XLOOKUP(B:B,Master!A:A,Master!B:B)</f>
        <v>RPSPL-GT</v>
      </c>
      <c r="D293" s="509" t="s">
        <v>146</v>
      </c>
      <c r="E293" s="69" t="str">
        <f t="shared" si="24"/>
        <v>420120308</v>
      </c>
      <c r="F293" s="509" t="s">
        <v>902</v>
      </c>
      <c r="G293" s="70" t="str">
        <f>VLOOKUP(D293,Master!C:G,4,)</f>
        <v>T&amp;I</v>
      </c>
      <c r="H293" s="69" t="str">
        <f>VLOOKUP(D293,Master!C:G,5,)</f>
        <v>T&amp;I EX HP 2 KG</v>
      </c>
      <c r="I293" s="549">
        <v>0</v>
      </c>
      <c r="J293" s="549">
        <v>0</v>
      </c>
      <c r="K293" s="71">
        <f t="shared" si="25"/>
        <v>0</v>
      </c>
      <c r="L293" s="549">
        <v>0</v>
      </c>
      <c r="M293" s="511"/>
      <c r="N293" s="549">
        <v>2880</v>
      </c>
      <c r="O293" s="549">
        <v>2880</v>
      </c>
      <c r="P293" s="72">
        <f t="shared" si="26"/>
        <v>-2880</v>
      </c>
      <c r="Q293" s="72">
        <f>IFERROR(IF(D293=20250,O293/(#REF!/30),O293/(I293/30)),0)</f>
        <v>0</v>
      </c>
      <c r="R293" s="72">
        <f t="shared" si="27"/>
        <v>0</v>
      </c>
      <c r="AC293"/>
      <c r="AD293"/>
      <c r="AE293"/>
      <c r="AF293"/>
      <c r="AG293"/>
      <c r="AH293"/>
      <c r="AI293"/>
      <c r="AJ293"/>
    </row>
    <row r="294" spans="1:36" ht="15">
      <c r="A294" s="352" t="str">
        <f t="shared" si="23"/>
        <v>420120827</v>
      </c>
      <c r="B294" s="509" t="s">
        <v>100</v>
      </c>
      <c r="C294" s="69" t="str">
        <f>_xlfn.XLOOKUP(B:B,Master!A:A,Master!B:B)</f>
        <v>RPSPL-GT</v>
      </c>
      <c r="D294" s="509" t="s">
        <v>149</v>
      </c>
      <c r="E294" s="69" t="str">
        <f t="shared" si="24"/>
        <v>420120827</v>
      </c>
      <c r="F294" s="509" t="s">
        <v>150</v>
      </c>
      <c r="G294" s="70" t="str">
        <f>VLOOKUP(D294,Master!C:G,4,)</f>
        <v>Ganache</v>
      </c>
      <c r="H294" s="69" t="str">
        <f>VLOOKUP(D294,Master!C:G,5,)</f>
        <v>Ganache- UF</v>
      </c>
      <c r="I294" s="549">
        <v>1126.32</v>
      </c>
      <c r="J294" s="549">
        <v>516</v>
      </c>
      <c r="K294" s="71">
        <f t="shared" si="25"/>
        <v>0.45812912848923931</v>
      </c>
      <c r="L294" s="549">
        <v>0</v>
      </c>
      <c r="M294" s="511"/>
      <c r="N294" s="549">
        <v>888</v>
      </c>
      <c r="O294" s="549">
        <v>888</v>
      </c>
      <c r="P294" s="72">
        <f t="shared" si="26"/>
        <v>-277.68000000000006</v>
      </c>
      <c r="Q294" s="72">
        <f>IFERROR(IF(D294=20250,O294/(#REF!/30),O294/(I294/30)),0)</f>
        <v>23.652248028979333</v>
      </c>
      <c r="R294" s="72">
        <f t="shared" si="27"/>
        <v>23.652248028979333</v>
      </c>
      <c r="AC294"/>
      <c r="AD294"/>
      <c r="AE294"/>
      <c r="AF294"/>
      <c r="AG294"/>
      <c r="AH294"/>
      <c r="AI294"/>
      <c r="AJ294"/>
    </row>
    <row r="295" spans="1:36" ht="15">
      <c r="A295" s="352" t="str">
        <f t="shared" si="23"/>
        <v>420123081</v>
      </c>
      <c r="B295" s="509" t="s">
        <v>100</v>
      </c>
      <c r="C295" s="69" t="str">
        <f>_xlfn.XLOOKUP(B:B,Master!A:A,Master!B:B)</f>
        <v>RPSPL-GT</v>
      </c>
      <c r="D295" s="509" t="s">
        <v>189</v>
      </c>
      <c r="E295" s="69" t="str">
        <f t="shared" si="24"/>
        <v>420123081</v>
      </c>
      <c r="F295" s="509" t="s">
        <v>190</v>
      </c>
      <c r="G295" s="70" t="str">
        <f>VLOOKUP(D295,Master!C:G,4,)</f>
        <v>T&amp;I</v>
      </c>
      <c r="H295" s="69" t="str">
        <f>VLOOKUP(D295,Master!C:G,5,)</f>
        <v>T&amp;I EX HP</v>
      </c>
      <c r="I295" s="549">
        <v>128.63999999999999</v>
      </c>
      <c r="J295" s="549">
        <v>0</v>
      </c>
      <c r="K295" s="71">
        <f t="shared" si="25"/>
        <v>0</v>
      </c>
      <c r="L295" s="549">
        <v>0</v>
      </c>
      <c r="M295" s="511"/>
      <c r="N295" s="549">
        <v>132</v>
      </c>
      <c r="O295" s="549">
        <v>132</v>
      </c>
      <c r="P295" s="72">
        <f t="shared" si="26"/>
        <v>-3.3600000000000136</v>
      </c>
      <c r="Q295" s="72">
        <f>IFERROR(IF(D295=20250,O295/(#REF!/30),O295/(I295/30)),0)</f>
        <v>30.783582089552244</v>
      </c>
      <c r="R295" s="72">
        <f t="shared" si="27"/>
        <v>30.783582089552244</v>
      </c>
      <c r="AC295"/>
      <c r="AD295"/>
      <c r="AE295"/>
      <c r="AF295"/>
      <c r="AG295"/>
      <c r="AH295"/>
      <c r="AI295"/>
      <c r="AJ295"/>
    </row>
    <row r="296" spans="1:36" ht="15">
      <c r="A296" s="352" t="str">
        <f t="shared" si="23"/>
        <v>420123401</v>
      </c>
      <c r="B296" s="509" t="s">
        <v>100</v>
      </c>
      <c r="C296" s="69" t="str">
        <f>_xlfn.XLOOKUP(B:B,Master!A:A,Master!B:B)</f>
        <v>RPSPL-GT</v>
      </c>
      <c r="D296" s="509" t="s">
        <v>194</v>
      </c>
      <c r="E296" s="69" t="str">
        <f t="shared" si="24"/>
        <v>420123401</v>
      </c>
      <c r="F296" s="509" t="s">
        <v>195</v>
      </c>
      <c r="G296" s="70" t="str">
        <f>VLOOKUP(D296,Master!C:G,4,)</f>
        <v>T&amp;I</v>
      </c>
      <c r="H296" s="69" t="str">
        <f>VLOOKUP(D296,Master!C:G,5,)</f>
        <v>T&amp;I EX UF</v>
      </c>
      <c r="I296" s="549">
        <v>4826.04</v>
      </c>
      <c r="J296" s="549">
        <v>2436</v>
      </c>
      <c r="K296" s="71">
        <f t="shared" si="25"/>
        <v>0.5047616679513639</v>
      </c>
      <c r="L296" s="549">
        <v>0</v>
      </c>
      <c r="M296" s="511"/>
      <c r="N296" s="549">
        <v>5544</v>
      </c>
      <c r="O296" s="549">
        <v>5544</v>
      </c>
      <c r="P296" s="72">
        <f t="shared" si="26"/>
        <v>-3153.96</v>
      </c>
      <c r="Q296" s="72">
        <f>IFERROR(IF(D296=20250,O296/(#REF!/30),O296/(I296/30)),0)</f>
        <v>34.463038018748293</v>
      </c>
      <c r="R296" s="72">
        <f t="shared" si="27"/>
        <v>34.463038018748293</v>
      </c>
      <c r="AC296"/>
      <c r="AD296"/>
      <c r="AE296"/>
      <c r="AF296"/>
      <c r="AG296"/>
      <c r="AH296"/>
      <c r="AI296"/>
      <c r="AJ296"/>
    </row>
    <row r="297" spans="1:36" ht="15">
      <c r="A297" s="352" t="str">
        <f t="shared" si="23"/>
        <v>420124768</v>
      </c>
      <c r="B297" s="509" t="s">
        <v>100</v>
      </c>
      <c r="C297" s="69" t="str">
        <f>_xlfn.XLOOKUP(B:B,Master!A:A,Master!B:B)</f>
        <v>RPSPL-GT</v>
      </c>
      <c r="D297" s="509" t="s">
        <v>906</v>
      </c>
      <c r="E297" s="69" t="str">
        <f t="shared" si="24"/>
        <v>420124768</v>
      </c>
      <c r="F297" s="509" t="s">
        <v>912</v>
      </c>
      <c r="G297" s="70" t="str">
        <f>VLOOKUP(D297,Master!C:G,4,)</f>
        <v>T&amp;I</v>
      </c>
      <c r="H297" s="69" t="str">
        <f>VLOOKUP(D297,Master!C:G,5,)</f>
        <v>T&amp;I EX UF</v>
      </c>
      <c r="I297" s="549">
        <v>4504.4399999999996</v>
      </c>
      <c r="J297" s="549">
        <v>1200</v>
      </c>
      <c r="K297" s="71">
        <f t="shared" si="25"/>
        <v>0.26640381490262943</v>
      </c>
      <c r="L297" s="549">
        <v>0</v>
      </c>
      <c r="M297" s="511"/>
      <c r="N297" s="549">
        <v>3324</v>
      </c>
      <c r="O297" s="549">
        <v>3324</v>
      </c>
      <c r="P297" s="72">
        <f t="shared" si="26"/>
        <v>-19.5600000000004</v>
      </c>
      <c r="Q297" s="72">
        <f>IFERROR(IF(D297=20250,O297/(#REF!/30),O297/(I297/30)),0)</f>
        <v>22.138157018408503</v>
      </c>
      <c r="R297" s="72">
        <f t="shared" si="27"/>
        <v>22.138157018408503</v>
      </c>
      <c r="AC297"/>
      <c r="AD297"/>
      <c r="AE297"/>
      <c r="AF297"/>
      <c r="AG297"/>
      <c r="AH297"/>
      <c r="AI297"/>
      <c r="AJ297"/>
    </row>
    <row r="298" spans="1:36" ht="15">
      <c r="A298" s="352" t="str">
        <f t="shared" si="23"/>
        <v>420125570</v>
      </c>
      <c r="B298" s="509" t="s">
        <v>100</v>
      </c>
      <c r="C298" s="69" t="str">
        <f>_xlfn.XLOOKUP(B:B,Master!A:A,Master!B:B)</f>
        <v>RPSPL-GT</v>
      </c>
      <c r="D298" s="509" t="s">
        <v>1006</v>
      </c>
      <c r="E298" s="69" t="str">
        <f t="shared" si="24"/>
        <v>420125570</v>
      </c>
      <c r="F298" s="509" t="s">
        <v>1008</v>
      </c>
      <c r="G298" s="70" t="str">
        <f>VLOOKUP(D298,Master!C:G,4,)</f>
        <v>T&amp;I</v>
      </c>
      <c r="H298" s="69" t="str">
        <f>VLOOKUP(D298,Master!C:G,5,)</f>
        <v>T&amp;I EX HP</v>
      </c>
      <c r="I298" s="549">
        <v>3217.68</v>
      </c>
      <c r="J298" s="549">
        <v>120</v>
      </c>
      <c r="K298" s="71">
        <f t="shared" si="25"/>
        <v>3.7293950921160592E-2</v>
      </c>
      <c r="L298" s="549">
        <v>0</v>
      </c>
      <c r="M298" s="511"/>
      <c r="N298" s="549">
        <v>4644</v>
      </c>
      <c r="O298" s="549">
        <v>4644</v>
      </c>
      <c r="P298" s="72">
        <f t="shared" si="26"/>
        <v>-1546.3200000000002</v>
      </c>
      <c r="Q298" s="72">
        <f>IFERROR(IF(D298=20250,O298/(#REF!/30),O298/(I298/30)),0)</f>
        <v>43.298277019467442</v>
      </c>
      <c r="R298" s="72">
        <f t="shared" si="27"/>
        <v>43.298277019467442</v>
      </c>
      <c r="AC298"/>
      <c r="AD298"/>
      <c r="AE298"/>
      <c r="AF298"/>
      <c r="AG298"/>
      <c r="AH298"/>
      <c r="AI298"/>
      <c r="AJ298"/>
    </row>
    <row r="299" spans="1:36" ht="15">
      <c r="A299" s="352" t="str">
        <f t="shared" si="23"/>
        <v>420125598</v>
      </c>
      <c r="B299" s="509" t="s">
        <v>100</v>
      </c>
      <c r="C299" s="69" t="str">
        <f>_xlfn.XLOOKUP(B:B,Master!A:A,Master!B:B)</f>
        <v>RPSPL-GT</v>
      </c>
      <c r="D299" s="509" t="s">
        <v>1007</v>
      </c>
      <c r="E299" s="69" t="str">
        <f t="shared" si="24"/>
        <v>420125598</v>
      </c>
      <c r="F299" s="509" t="s">
        <v>1009</v>
      </c>
      <c r="G299" s="70" t="str">
        <f>VLOOKUP(D299,Master!C:G,4,)</f>
        <v>T&amp;I</v>
      </c>
      <c r="H299" s="69" t="str">
        <f>VLOOKUP(D299,Master!C:G,5,)</f>
        <v>T&amp;I EX HP</v>
      </c>
      <c r="I299" s="549">
        <v>2574.36</v>
      </c>
      <c r="J299" s="549">
        <v>1308</v>
      </c>
      <c r="K299" s="71">
        <f t="shared" si="25"/>
        <v>0.50808744697711272</v>
      </c>
      <c r="L299" s="549">
        <v>0</v>
      </c>
      <c r="M299" s="511"/>
      <c r="N299" s="549">
        <v>1380</v>
      </c>
      <c r="O299" s="549">
        <v>1380</v>
      </c>
      <c r="P299" s="72">
        <f t="shared" si="26"/>
        <v>-113.63999999999987</v>
      </c>
      <c r="Q299" s="72">
        <f>IFERROR(IF(D299=20250,O299/(#REF!/30),O299/(I299/30)),0)</f>
        <v>16.081666899734305</v>
      </c>
      <c r="R299" s="72">
        <f t="shared" si="27"/>
        <v>16.081666899734305</v>
      </c>
      <c r="AC299"/>
      <c r="AD299"/>
      <c r="AE299"/>
      <c r="AF299"/>
      <c r="AG299"/>
      <c r="AH299"/>
      <c r="AI299"/>
      <c r="AJ299"/>
    </row>
    <row r="300" spans="1:36" ht="15">
      <c r="A300" s="352" t="str">
        <f t="shared" si="23"/>
        <v>420306151</v>
      </c>
      <c r="B300" s="509" t="s">
        <v>174</v>
      </c>
      <c r="C300" s="69" t="str">
        <f>_xlfn.XLOOKUP(B:B,Master!A:A,Master!B:B)</f>
        <v>RPSPL-PA</v>
      </c>
      <c r="D300" s="509" t="s">
        <v>28</v>
      </c>
      <c r="E300" s="69" t="str">
        <f t="shared" si="24"/>
        <v>420306151</v>
      </c>
      <c r="F300" s="509" t="s">
        <v>29</v>
      </c>
      <c r="G300" s="70" t="str">
        <f>VLOOKUP(D300,Master!C:G,4,)</f>
        <v>DD</v>
      </c>
      <c r="H300" s="69" t="str">
        <f>VLOOKUP(D300,Master!C:G,5,)</f>
        <v>OS - Dry</v>
      </c>
      <c r="I300" s="549">
        <v>6756</v>
      </c>
      <c r="J300" s="549">
        <v>5244</v>
      </c>
      <c r="K300" s="71">
        <f t="shared" si="25"/>
        <v>0.77619893428063946</v>
      </c>
      <c r="L300" s="549">
        <v>0</v>
      </c>
      <c r="M300" s="511"/>
      <c r="N300" s="549">
        <v>10644</v>
      </c>
      <c r="O300" s="549">
        <v>10644</v>
      </c>
      <c r="P300" s="72">
        <f t="shared" si="26"/>
        <v>-9132</v>
      </c>
      <c r="Q300" s="72">
        <f>IFERROR(IF(D300=20250,O300/(#REF!/30),O300/(I300/30)),0)</f>
        <v>47.264653641207815</v>
      </c>
      <c r="R300" s="72">
        <f t="shared" si="27"/>
        <v>47.264653641207815</v>
      </c>
      <c r="AC300"/>
      <c r="AD300"/>
      <c r="AE300"/>
      <c r="AF300"/>
      <c r="AG300"/>
      <c r="AH300"/>
      <c r="AI300"/>
      <c r="AJ300"/>
    </row>
    <row r="301" spans="1:36" ht="15">
      <c r="A301" s="352" t="str">
        <f t="shared" si="23"/>
        <v>420313490</v>
      </c>
      <c r="B301" s="509" t="s">
        <v>174</v>
      </c>
      <c r="C301" s="69" t="str">
        <f>_xlfn.XLOOKUP(B:B,Master!A:A,Master!B:B)</f>
        <v>RPSPL-PA</v>
      </c>
      <c r="D301" s="509" t="s">
        <v>37</v>
      </c>
      <c r="E301" s="69" t="str">
        <f t="shared" si="24"/>
        <v>420313490</v>
      </c>
      <c r="F301" s="509" t="s">
        <v>38</v>
      </c>
      <c r="G301" s="70" t="str">
        <f>VLOOKUP(D301,Master!C:G,4,)</f>
        <v>NGL</v>
      </c>
      <c r="H301" s="69" t="str">
        <f>VLOOKUP(D301,Master!C:G,5,)</f>
        <v>UF-Dry</v>
      </c>
      <c r="I301" s="549">
        <v>1930</v>
      </c>
      <c r="J301" s="549">
        <v>630</v>
      </c>
      <c r="K301" s="71">
        <f t="shared" si="25"/>
        <v>0.32642487046632124</v>
      </c>
      <c r="L301" s="549">
        <v>0</v>
      </c>
      <c r="M301" s="511"/>
      <c r="N301" s="549">
        <v>3290</v>
      </c>
      <c r="O301" s="549">
        <v>3290</v>
      </c>
      <c r="P301" s="72">
        <f t="shared" si="26"/>
        <v>-1990</v>
      </c>
      <c r="Q301" s="72">
        <f>IFERROR(IF(D301=20250,O301/(#REF!/30),O301/(I301/30)),0)</f>
        <v>51.139896373056999</v>
      </c>
      <c r="R301" s="72">
        <f t="shared" si="27"/>
        <v>51.139896373056999</v>
      </c>
      <c r="AC301"/>
      <c r="AD301"/>
      <c r="AE301"/>
      <c r="AF301"/>
      <c r="AG301"/>
      <c r="AH301"/>
      <c r="AI301"/>
      <c r="AJ301"/>
    </row>
    <row r="302" spans="1:36" ht="15">
      <c r="A302" s="352" t="str">
        <f t="shared" si="23"/>
        <v>420315300</v>
      </c>
      <c r="B302" s="509" t="s">
        <v>174</v>
      </c>
      <c r="C302" s="69" t="str">
        <f>_xlfn.XLOOKUP(B:B,Master!A:A,Master!B:B)</f>
        <v>RPSPL-PA</v>
      </c>
      <c r="D302" s="509" t="s">
        <v>43</v>
      </c>
      <c r="E302" s="69" t="str">
        <f t="shared" si="24"/>
        <v>420315300</v>
      </c>
      <c r="F302" s="509" t="s">
        <v>44</v>
      </c>
      <c r="G302" s="70" t="str">
        <f>VLOOKUP(D302,Master!C:G,4,)</f>
        <v>NGL</v>
      </c>
      <c r="H302" s="69" t="str">
        <f>VLOOKUP(D302,Master!C:G,5,)</f>
        <v>UF-Dry</v>
      </c>
      <c r="I302" s="549">
        <v>177.03</v>
      </c>
      <c r="J302" s="549">
        <v>63</v>
      </c>
      <c r="K302" s="71">
        <f t="shared" si="25"/>
        <v>0.35587188612099646</v>
      </c>
      <c r="L302" s="549">
        <v>0</v>
      </c>
      <c r="M302" s="511"/>
      <c r="N302" s="549">
        <v>351</v>
      </c>
      <c r="O302" s="549">
        <v>351</v>
      </c>
      <c r="P302" s="72">
        <f t="shared" si="26"/>
        <v>-236.97</v>
      </c>
      <c r="Q302" s="72">
        <f>IFERROR(IF(D302=20250,O302/(#REF!/30),O302/(I302/30)),0)</f>
        <v>59.481443823080838</v>
      </c>
      <c r="R302" s="72">
        <f t="shared" si="27"/>
        <v>59.481443823080838</v>
      </c>
      <c r="AC302"/>
      <c r="AD302"/>
      <c r="AE302"/>
      <c r="AF302"/>
      <c r="AG302"/>
      <c r="AH302"/>
      <c r="AI302"/>
      <c r="AJ302"/>
    </row>
    <row r="303" spans="1:36" ht="15">
      <c r="A303" s="352" t="str">
        <f t="shared" si="23"/>
        <v>420319690</v>
      </c>
      <c r="B303" s="509" t="s">
        <v>174</v>
      </c>
      <c r="C303" s="69" t="str">
        <f>_xlfn.XLOOKUP(B:B,Master!A:A,Master!B:B)</f>
        <v>RPSPL-PA</v>
      </c>
      <c r="D303" s="509" t="s">
        <v>88</v>
      </c>
      <c r="E303" s="69" t="str">
        <f t="shared" si="24"/>
        <v>420319690</v>
      </c>
      <c r="F303" s="509" t="s">
        <v>89</v>
      </c>
      <c r="G303" s="70" t="str">
        <f>VLOOKUP(D303,Master!C:G,4,)</f>
        <v>NFL</v>
      </c>
      <c r="H303" s="69" t="str">
        <f>VLOOKUP(D303,Master!C:G,5,)</f>
        <v>OS - Dry</v>
      </c>
      <c r="I303" s="549">
        <v>192.96</v>
      </c>
      <c r="J303" s="549">
        <v>108</v>
      </c>
      <c r="K303" s="71">
        <f t="shared" si="25"/>
        <v>0.55970149253731338</v>
      </c>
      <c r="L303" s="549">
        <v>0</v>
      </c>
      <c r="M303" s="511"/>
      <c r="N303" s="549">
        <v>84</v>
      </c>
      <c r="O303" s="549">
        <v>84</v>
      </c>
      <c r="P303" s="72">
        <f t="shared" si="26"/>
        <v>0.96000000000000796</v>
      </c>
      <c r="Q303" s="72">
        <f>IFERROR(IF(D303=20250,O303/(#REF!/30),O303/(I303/30)),0)</f>
        <v>13.059701492537313</v>
      </c>
      <c r="R303" s="72">
        <f t="shared" si="27"/>
        <v>13.059701492537313</v>
      </c>
      <c r="AC303"/>
      <c r="AD303"/>
      <c r="AE303"/>
      <c r="AF303"/>
      <c r="AG303"/>
      <c r="AH303"/>
      <c r="AI303"/>
      <c r="AJ303"/>
    </row>
    <row r="304" spans="1:36" ht="15">
      <c r="A304" s="352" t="str">
        <f t="shared" si="23"/>
        <v>420320160</v>
      </c>
      <c r="B304" s="509" t="s">
        <v>174</v>
      </c>
      <c r="C304" s="69" t="str">
        <f>_xlfn.XLOOKUP(B:B,Master!A:A,Master!B:B)</f>
        <v>RPSPL-PA</v>
      </c>
      <c r="D304" s="509" t="s">
        <v>144</v>
      </c>
      <c r="E304" s="69" t="str">
        <f t="shared" si="24"/>
        <v>420320160</v>
      </c>
      <c r="F304" s="509" t="s">
        <v>145</v>
      </c>
      <c r="G304" s="70" t="str">
        <f>VLOOKUP(D304,Master!C:G,4,)</f>
        <v>NFL</v>
      </c>
      <c r="H304" s="69" t="str">
        <f>VLOOKUP(D304,Master!C:G,5,)</f>
        <v>OS - Dry</v>
      </c>
      <c r="I304" s="549">
        <v>128.63999999999999</v>
      </c>
      <c r="J304" s="549">
        <v>0</v>
      </c>
      <c r="K304" s="71">
        <f t="shared" si="25"/>
        <v>0</v>
      </c>
      <c r="L304" s="549">
        <v>0</v>
      </c>
      <c r="M304" s="511"/>
      <c r="N304" s="549">
        <v>0</v>
      </c>
      <c r="O304" s="549">
        <v>0</v>
      </c>
      <c r="P304" s="72">
        <f t="shared" si="26"/>
        <v>128.63999999999999</v>
      </c>
      <c r="Q304" s="72">
        <f>IFERROR(IF(D304=20250,O304/(#REF!/30),O304/(I304/30)),0)</f>
        <v>0</v>
      </c>
      <c r="R304" s="72">
        <f t="shared" si="27"/>
        <v>0</v>
      </c>
      <c r="AC304"/>
      <c r="AD304"/>
      <c r="AE304"/>
      <c r="AF304"/>
      <c r="AG304"/>
      <c r="AH304"/>
      <c r="AI304"/>
      <c r="AJ304"/>
    </row>
    <row r="305" spans="1:36" ht="15">
      <c r="A305" s="352" t="str">
        <f t="shared" si="23"/>
        <v>420320309</v>
      </c>
      <c r="B305" s="509" t="s">
        <v>174</v>
      </c>
      <c r="C305" s="69" t="str">
        <f>_xlfn.XLOOKUP(B:B,Master!A:A,Master!B:B)</f>
        <v>RPSPL-PA</v>
      </c>
      <c r="D305" s="509" t="s">
        <v>1025</v>
      </c>
      <c r="E305" s="69" t="str">
        <f t="shared" si="24"/>
        <v>420320309</v>
      </c>
      <c r="F305" s="509" t="s">
        <v>1026</v>
      </c>
      <c r="G305" s="70" t="str">
        <f>VLOOKUP(D305,Master!C:G,4,)</f>
        <v>NFL</v>
      </c>
      <c r="H305" s="69" t="str">
        <f>VLOOKUP(D305,Master!C:G,5,)</f>
        <v>OS - Dry</v>
      </c>
      <c r="I305" s="549">
        <v>128.63999999999999</v>
      </c>
      <c r="J305" s="549">
        <v>0</v>
      </c>
      <c r="K305" s="71">
        <f t="shared" si="25"/>
        <v>0</v>
      </c>
      <c r="L305" s="549">
        <v>0</v>
      </c>
      <c r="M305" s="511"/>
      <c r="N305" s="549">
        <v>0</v>
      </c>
      <c r="O305" s="549">
        <v>0</v>
      </c>
      <c r="P305" s="72">
        <f t="shared" si="26"/>
        <v>128.63999999999999</v>
      </c>
      <c r="Q305" s="72">
        <f>IFERROR(IF(D305=20250,O305/(#REF!/30),O305/(I305/30)),0)</f>
        <v>0</v>
      </c>
      <c r="R305" s="72">
        <f t="shared" si="27"/>
        <v>0</v>
      </c>
      <c r="AC305"/>
      <c r="AD305"/>
      <c r="AE305"/>
      <c r="AF305"/>
      <c r="AG305"/>
      <c r="AH305"/>
      <c r="AI305"/>
      <c r="AJ305"/>
    </row>
    <row r="306" spans="1:36" ht="15">
      <c r="A306" s="352" t="str">
        <f t="shared" si="23"/>
        <v>420320661</v>
      </c>
      <c r="B306" s="509" t="s">
        <v>174</v>
      </c>
      <c r="C306" s="69" t="str">
        <f>_xlfn.XLOOKUP(B:B,Master!A:A,Master!B:B)</f>
        <v>RPSPL-PA</v>
      </c>
      <c r="D306" s="509" t="s">
        <v>167</v>
      </c>
      <c r="E306" s="69" t="str">
        <f t="shared" si="24"/>
        <v>420320661</v>
      </c>
      <c r="F306" s="509" t="s">
        <v>168</v>
      </c>
      <c r="G306" s="70" t="str">
        <f>VLOOKUP(D306,Master!C:G,4,)</f>
        <v>UHT-Chill</v>
      </c>
      <c r="H306" s="69" t="str">
        <f>VLOOKUP(D306,Master!C:G,5,)</f>
        <v>OS-Chill</v>
      </c>
      <c r="I306" s="549">
        <v>463.08</v>
      </c>
      <c r="J306" s="549">
        <v>276</v>
      </c>
      <c r="K306" s="71">
        <f t="shared" si="25"/>
        <v>0.5960093288416688</v>
      </c>
      <c r="L306" s="549">
        <v>0</v>
      </c>
      <c r="M306" s="511"/>
      <c r="N306" s="549">
        <v>1188</v>
      </c>
      <c r="O306" s="549">
        <v>1188</v>
      </c>
      <c r="P306" s="72">
        <f t="shared" si="26"/>
        <v>-1000.9200000000001</v>
      </c>
      <c r="Q306" s="72">
        <f>IFERROR(IF(D306=20250,O306/(#REF!/30),O306/(I306/30)),0)</f>
        <v>76.962943767815503</v>
      </c>
      <c r="R306" s="72">
        <f t="shared" si="27"/>
        <v>76.962943767815503</v>
      </c>
      <c r="AC306"/>
      <c r="AD306"/>
      <c r="AE306"/>
      <c r="AF306"/>
      <c r="AG306"/>
      <c r="AH306"/>
      <c r="AI306"/>
      <c r="AJ306"/>
    </row>
    <row r="307" spans="1:36" ht="15">
      <c r="A307" s="352" t="str">
        <f t="shared" si="23"/>
        <v>420323638</v>
      </c>
      <c r="B307" s="509" t="s">
        <v>174</v>
      </c>
      <c r="C307" s="69" t="str">
        <f>_xlfn.XLOOKUP(B:B,Master!A:A,Master!B:B)</f>
        <v>RPSPL-PA</v>
      </c>
      <c r="D307" s="509" t="s">
        <v>198</v>
      </c>
      <c r="E307" s="69" t="str">
        <f t="shared" si="24"/>
        <v>420323638</v>
      </c>
      <c r="F307" s="509" t="s">
        <v>199</v>
      </c>
      <c r="G307" s="70" t="str">
        <f>VLOOKUP(D307,Master!C:G,4,)</f>
        <v>DD</v>
      </c>
      <c r="H307" s="69" t="str">
        <f>VLOOKUP(D307,Master!C:G,5,)</f>
        <v>OS - Dry</v>
      </c>
      <c r="I307" s="549">
        <v>2251.6799999999998</v>
      </c>
      <c r="J307" s="549">
        <v>1740</v>
      </c>
      <c r="K307" s="71">
        <f t="shared" si="25"/>
        <v>0.772756341931358</v>
      </c>
      <c r="L307" s="549">
        <v>0</v>
      </c>
      <c r="M307" s="511"/>
      <c r="N307" s="549">
        <v>2052</v>
      </c>
      <c r="O307" s="549">
        <v>2052</v>
      </c>
      <c r="P307" s="72">
        <f t="shared" si="26"/>
        <v>-1540.3200000000002</v>
      </c>
      <c r="Q307" s="72">
        <f>IFERROR(IF(D307=20250,O307/(#REF!/30),O307/(I307/30)),0)</f>
        <v>27.339586442123217</v>
      </c>
      <c r="R307" s="72">
        <f t="shared" si="27"/>
        <v>27.339586442123217</v>
      </c>
      <c r="AC307"/>
      <c r="AD307"/>
      <c r="AE307"/>
      <c r="AF307"/>
      <c r="AG307"/>
      <c r="AH307"/>
      <c r="AI307"/>
      <c r="AJ307"/>
    </row>
    <row r="308" spans="1:36" ht="15">
      <c r="A308" s="352" t="str">
        <f t="shared" si="23"/>
        <v>420325885</v>
      </c>
      <c r="B308" s="509" t="s">
        <v>174</v>
      </c>
      <c r="C308" s="69" t="str">
        <f>_xlfn.XLOOKUP(B:B,Master!A:A,Master!B:B)</f>
        <v>RPSPL-PA</v>
      </c>
      <c r="D308" s="509" t="s">
        <v>1037</v>
      </c>
      <c r="E308" s="69" t="str">
        <f t="shared" si="24"/>
        <v>420325885</v>
      </c>
      <c r="F308" s="509" t="s">
        <v>1038</v>
      </c>
      <c r="G308" s="70" t="str">
        <f>VLOOKUP(D308,Master!C:G,4,)</f>
        <v>T&amp;I</v>
      </c>
      <c r="H308" s="69" t="str">
        <f>VLOOKUP(D308,Master!C:G,5,)</f>
        <v>T&amp;I EX UF</v>
      </c>
      <c r="I308" s="549">
        <v>1286.6400000000001</v>
      </c>
      <c r="J308" s="549">
        <v>60</v>
      </c>
      <c r="K308" s="71">
        <f t="shared" si="25"/>
        <v>4.6633090841260952E-2</v>
      </c>
      <c r="L308" s="549">
        <v>0</v>
      </c>
      <c r="M308" s="511"/>
      <c r="N308" s="549">
        <v>1248</v>
      </c>
      <c r="O308" s="549">
        <v>1248</v>
      </c>
      <c r="P308" s="72">
        <f t="shared" si="26"/>
        <v>-21.3599999999999</v>
      </c>
      <c r="Q308" s="72">
        <f>IFERROR(IF(D308=20250,O308/(#REF!/30),O308/(I308/30)),0)</f>
        <v>29.099048684946833</v>
      </c>
      <c r="R308" s="72">
        <f t="shared" si="27"/>
        <v>29.099048684946833</v>
      </c>
      <c r="AC308"/>
      <c r="AD308"/>
      <c r="AE308"/>
      <c r="AF308"/>
      <c r="AG308"/>
      <c r="AH308"/>
      <c r="AI308"/>
      <c r="AJ308"/>
    </row>
    <row r="309" spans="1:36" ht="15">
      <c r="A309" s="352" t="str">
        <f t="shared" si="23"/>
        <v>420326745</v>
      </c>
      <c r="B309" s="509" t="s">
        <v>174</v>
      </c>
      <c r="C309" s="69" t="str">
        <f>_xlfn.XLOOKUP(B:B,Master!A:A,Master!B:B)</f>
        <v>RPSPL-PA</v>
      </c>
      <c r="D309" s="509" t="s">
        <v>1232</v>
      </c>
      <c r="E309" s="69" t="str">
        <f t="shared" si="24"/>
        <v>420326745</v>
      </c>
      <c r="F309" s="509" t="s">
        <v>1237</v>
      </c>
      <c r="G309" s="70" t="str">
        <f>VLOOKUP(D309,Master!C:G,4,)</f>
        <v>NFL</v>
      </c>
      <c r="H309" s="69" t="str">
        <f>VLOOKUP(D309,Master!C:G,5,)</f>
        <v>PF MFG</v>
      </c>
      <c r="I309" s="549">
        <v>128.63999999999999</v>
      </c>
      <c r="J309" s="549">
        <v>0</v>
      </c>
      <c r="K309" s="71">
        <f t="shared" si="25"/>
        <v>0</v>
      </c>
      <c r="L309" s="549">
        <v>0</v>
      </c>
      <c r="M309" s="511"/>
      <c r="N309" s="549">
        <v>0</v>
      </c>
      <c r="O309" s="549">
        <v>0</v>
      </c>
      <c r="P309" s="72">
        <f t="shared" si="26"/>
        <v>128.63999999999999</v>
      </c>
      <c r="Q309" s="72">
        <f>IFERROR(IF(D309=20250,O309/(#REF!/30),O309/(I309/30)),0)</f>
        <v>0</v>
      </c>
      <c r="R309" s="72">
        <f t="shared" si="27"/>
        <v>0</v>
      </c>
      <c r="AC309"/>
      <c r="AD309"/>
      <c r="AE309"/>
      <c r="AF309"/>
      <c r="AG309"/>
      <c r="AH309"/>
      <c r="AI309"/>
      <c r="AJ309"/>
    </row>
    <row r="310" spans="1:36" ht="15">
      <c r="A310" s="352" t="str">
        <f t="shared" si="23"/>
        <v>420304145</v>
      </c>
      <c r="B310" s="509" t="s">
        <v>174</v>
      </c>
      <c r="C310" s="69" t="str">
        <f>_xlfn.XLOOKUP(B:B,Master!A:A,Master!B:B)</f>
        <v>RPSPL-PA</v>
      </c>
      <c r="D310" s="509" t="s">
        <v>34</v>
      </c>
      <c r="E310" s="69" t="str">
        <f t="shared" si="24"/>
        <v>420304145</v>
      </c>
      <c r="F310" s="509" t="s">
        <v>35</v>
      </c>
      <c r="G310" s="70" t="str">
        <f>VLOOKUP(D310,Master!C:G,4,)</f>
        <v>NGL</v>
      </c>
      <c r="H310" s="69" t="str">
        <f>VLOOKUP(D310,Master!C:G,5,)</f>
        <v>UF-Dry</v>
      </c>
      <c r="I310" s="549">
        <v>48.42</v>
      </c>
      <c r="J310" s="549">
        <v>144</v>
      </c>
      <c r="K310" s="71">
        <f t="shared" si="25"/>
        <v>2.9739776951672861</v>
      </c>
      <c r="L310" s="549">
        <v>0</v>
      </c>
      <c r="M310" s="511"/>
      <c r="N310" s="549">
        <v>234</v>
      </c>
      <c r="O310" s="549">
        <v>234</v>
      </c>
      <c r="P310" s="72">
        <f t="shared" si="26"/>
        <v>-329.58</v>
      </c>
      <c r="Q310" s="72">
        <f>IFERROR(IF(D310=20250,O310/(#REF!/30),O310/(I310/30)),0)</f>
        <v>144.98141263940519</v>
      </c>
      <c r="R310" s="72">
        <f t="shared" si="27"/>
        <v>144.98141263940519</v>
      </c>
      <c r="AC310"/>
      <c r="AD310"/>
      <c r="AE310"/>
      <c r="AF310"/>
      <c r="AG310"/>
      <c r="AH310"/>
      <c r="AI310"/>
      <c r="AJ310"/>
    </row>
    <row r="311" spans="1:36" ht="15">
      <c r="A311" s="352" t="str">
        <f t="shared" si="23"/>
        <v>420314248</v>
      </c>
      <c r="B311" s="509" t="s">
        <v>174</v>
      </c>
      <c r="C311" s="69" t="str">
        <f>_xlfn.XLOOKUP(B:B,Master!A:A,Master!B:B)</f>
        <v>RPSPL-PA</v>
      </c>
      <c r="D311" s="509" t="s">
        <v>41</v>
      </c>
      <c r="E311" s="69" t="str">
        <f t="shared" si="24"/>
        <v>420314248</v>
      </c>
      <c r="F311" s="509" t="s">
        <v>42</v>
      </c>
      <c r="G311" s="70" t="str">
        <f>VLOOKUP(D311,Master!C:G,4,)</f>
        <v>NGL</v>
      </c>
      <c r="H311" s="69" t="str">
        <f>VLOOKUP(D311,Master!C:G,5,)</f>
        <v>UF-Dry</v>
      </c>
      <c r="I311" s="549">
        <v>1501.4</v>
      </c>
      <c r="J311" s="549">
        <v>720</v>
      </c>
      <c r="K311" s="71">
        <f t="shared" si="25"/>
        <v>0.47955241774343943</v>
      </c>
      <c r="L311" s="549">
        <v>0</v>
      </c>
      <c r="M311" s="511"/>
      <c r="N311" s="549">
        <v>1070</v>
      </c>
      <c r="O311" s="549">
        <v>1070</v>
      </c>
      <c r="P311" s="72">
        <f t="shared" si="26"/>
        <v>-288.59999999999991</v>
      </c>
      <c r="Q311" s="72">
        <f>IFERROR(IF(D311=20250,O311/(#REF!/30),O311/(I311/30)),0)</f>
        <v>21.380045291061677</v>
      </c>
      <c r="R311" s="72">
        <f t="shared" si="27"/>
        <v>21.380045291061677</v>
      </c>
      <c r="AC311"/>
      <c r="AD311"/>
      <c r="AE311"/>
      <c r="AF311"/>
      <c r="AG311"/>
      <c r="AH311"/>
      <c r="AI311"/>
      <c r="AJ311"/>
    </row>
    <row r="312" spans="1:36" ht="15">
      <c r="A312" s="352" t="str">
        <f t="shared" si="23"/>
        <v>420315305</v>
      </c>
      <c r="B312" s="509" t="s">
        <v>174</v>
      </c>
      <c r="C312" s="69" t="str">
        <f>_xlfn.XLOOKUP(B:B,Master!A:A,Master!B:B)</f>
        <v>RPSPL-PA</v>
      </c>
      <c r="D312" s="509" t="s">
        <v>45</v>
      </c>
      <c r="E312" s="69" t="str">
        <f t="shared" si="24"/>
        <v>420315305</v>
      </c>
      <c r="F312" s="509" t="s">
        <v>46</v>
      </c>
      <c r="G312" s="70" t="str">
        <f>VLOOKUP(D312,Master!C:G,4,)</f>
        <v>NGL</v>
      </c>
      <c r="H312" s="69" t="str">
        <f>VLOOKUP(D312,Master!C:G,5,)</f>
        <v>UF-Dry</v>
      </c>
      <c r="I312" s="549">
        <v>177.03</v>
      </c>
      <c r="J312" s="549">
        <v>63</v>
      </c>
      <c r="K312" s="71">
        <f t="shared" si="25"/>
        <v>0.35587188612099646</v>
      </c>
      <c r="L312" s="549">
        <v>0</v>
      </c>
      <c r="M312" s="511"/>
      <c r="N312" s="549">
        <v>297</v>
      </c>
      <c r="O312" s="549">
        <v>297</v>
      </c>
      <c r="P312" s="72">
        <f t="shared" si="26"/>
        <v>-182.97</v>
      </c>
      <c r="Q312" s="72">
        <f>IFERROR(IF(D312=20250,O312/(#REF!/30),O312/(I312/30)),0)</f>
        <v>50.330452465683784</v>
      </c>
      <c r="R312" s="72">
        <f t="shared" si="27"/>
        <v>50.330452465683784</v>
      </c>
      <c r="AC312"/>
      <c r="AD312"/>
      <c r="AE312"/>
      <c r="AF312"/>
      <c r="AG312"/>
      <c r="AH312"/>
      <c r="AI312"/>
      <c r="AJ312"/>
    </row>
    <row r="313" spans="1:36" ht="15">
      <c r="A313" s="352" t="str">
        <f t="shared" si="23"/>
        <v>420315312</v>
      </c>
      <c r="B313" s="509" t="s">
        <v>174</v>
      </c>
      <c r="C313" s="69" t="str">
        <f>_xlfn.XLOOKUP(B:B,Master!A:A,Master!B:B)</f>
        <v>RPSPL-PA</v>
      </c>
      <c r="D313" s="509" t="s">
        <v>47</v>
      </c>
      <c r="E313" s="69" t="str">
        <f t="shared" si="24"/>
        <v>420315312</v>
      </c>
      <c r="F313" s="509" t="s">
        <v>48</v>
      </c>
      <c r="G313" s="70" t="str">
        <f>VLOOKUP(D313,Master!C:G,4,)</f>
        <v>NGL</v>
      </c>
      <c r="H313" s="69" t="str">
        <f>VLOOKUP(D313,Master!C:G,5,)</f>
        <v>UF-Dry</v>
      </c>
      <c r="I313" s="549">
        <v>177.03</v>
      </c>
      <c r="J313" s="549">
        <v>45</v>
      </c>
      <c r="K313" s="71">
        <f t="shared" si="25"/>
        <v>0.2541942043721403</v>
      </c>
      <c r="L313" s="549">
        <v>0</v>
      </c>
      <c r="M313" s="511"/>
      <c r="N313" s="549">
        <v>135</v>
      </c>
      <c r="O313" s="549">
        <v>135</v>
      </c>
      <c r="P313" s="72">
        <f t="shared" si="26"/>
        <v>-2.9699999999999989</v>
      </c>
      <c r="Q313" s="72">
        <f>IFERROR(IF(D313=20250,O313/(#REF!/30),O313/(I313/30)),0)</f>
        <v>22.87747839349263</v>
      </c>
      <c r="R313" s="72">
        <f t="shared" si="27"/>
        <v>22.87747839349263</v>
      </c>
      <c r="AC313"/>
      <c r="AD313"/>
      <c r="AE313"/>
      <c r="AF313"/>
      <c r="AG313"/>
      <c r="AH313"/>
      <c r="AI313"/>
      <c r="AJ313"/>
    </row>
    <row r="314" spans="1:36" ht="15">
      <c r="A314" s="352" t="str">
        <f t="shared" si="23"/>
        <v>420316407</v>
      </c>
      <c r="B314" s="509" t="s">
        <v>174</v>
      </c>
      <c r="C314" s="69" t="str">
        <f>_xlfn.XLOOKUP(B:B,Master!A:A,Master!B:B)</f>
        <v>RPSPL-PA</v>
      </c>
      <c r="D314" s="509" t="s">
        <v>49</v>
      </c>
      <c r="E314" s="69" t="str">
        <f t="shared" si="24"/>
        <v>420316407</v>
      </c>
      <c r="F314" s="509" t="s">
        <v>50</v>
      </c>
      <c r="G314" s="70" t="str">
        <f>VLOOKUP(D314,Master!C:G,4,)</f>
        <v>NGL</v>
      </c>
      <c r="H314" s="69" t="str">
        <f>VLOOKUP(D314,Master!C:G,5,)</f>
        <v>UF-Dry</v>
      </c>
      <c r="I314" s="549">
        <v>386.91</v>
      </c>
      <c r="J314" s="549">
        <v>135</v>
      </c>
      <c r="K314" s="71">
        <f t="shared" si="25"/>
        <v>0.34891835310537334</v>
      </c>
      <c r="L314" s="549">
        <v>0</v>
      </c>
      <c r="M314" s="511"/>
      <c r="N314" s="549">
        <v>252</v>
      </c>
      <c r="O314" s="549">
        <v>252</v>
      </c>
      <c r="P314" s="72">
        <f t="shared" si="26"/>
        <v>-8.9999999999974989E-2</v>
      </c>
      <c r="Q314" s="72">
        <f>IFERROR(IF(D314=20250,O314/(#REF!/30),O314/(I314/30)),0)</f>
        <v>19.539427773900908</v>
      </c>
      <c r="R314" s="72">
        <f t="shared" si="27"/>
        <v>19.539427773900908</v>
      </c>
      <c r="AC314"/>
      <c r="AD314"/>
      <c r="AE314"/>
      <c r="AF314"/>
      <c r="AG314"/>
      <c r="AH314"/>
      <c r="AI314"/>
      <c r="AJ314"/>
    </row>
    <row r="315" spans="1:36" ht="15">
      <c r="A315" s="352" t="str">
        <f t="shared" si="23"/>
        <v>420300189</v>
      </c>
      <c r="B315" s="509" t="s">
        <v>174</v>
      </c>
      <c r="C315" s="69" t="str">
        <f>_xlfn.XLOOKUP(B:B,Master!A:A,Master!B:B)</f>
        <v>RPSPL-PA</v>
      </c>
      <c r="D315" s="509" t="s">
        <v>51</v>
      </c>
      <c r="E315" s="69" t="str">
        <f t="shared" si="24"/>
        <v>420300189</v>
      </c>
      <c r="F315" s="509" t="s">
        <v>903</v>
      </c>
      <c r="G315" s="70" t="str">
        <f>VLOOKUP(D315,Master!C:G,4,)</f>
        <v>T&amp;I</v>
      </c>
      <c r="H315" s="69" t="str">
        <f>VLOOKUP(D315,Master!C:G,5,)</f>
        <v>T&amp;I Comm-UF</v>
      </c>
      <c r="I315" s="549">
        <v>82045.440000000002</v>
      </c>
      <c r="J315" s="549">
        <v>40848</v>
      </c>
      <c r="K315" s="71">
        <f t="shared" si="25"/>
        <v>0.49787044837592437</v>
      </c>
      <c r="L315" s="549">
        <v>5292</v>
      </c>
      <c r="M315" s="511">
        <v>46166</v>
      </c>
      <c r="N315" s="549">
        <v>35976</v>
      </c>
      <c r="O315" s="549">
        <v>41268</v>
      </c>
      <c r="P315" s="72">
        <f t="shared" si="26"/>
        <v>-70.559999999997672</v>
      </c>
      <c r="Q315" s="72">
        <f>IFERROR(IF(D315=20250,O315/(#REF!/30),O315/(I315/30)),0)</f>
        <v>15.089686885706262</v>
      </c>
      <c r="R315" s="72">
        <f t="shared" si="27"/>
        <v>13.154661611906768</v>
      </c>
      <c r="AC315"/>
      <c r="AD315"/>
      <c r="AE315"/>
      <c r="AF315"/>
      <c r="AG315"/>
      <c r="AH315"/>
      <c r="AI315"/>
      <c r="AJ315"/>
    </row>
    <row r="316" spans="1:36" ht="15">
      <c r="A316" s="352" t="str">
        <f t="shared" si="23"/>
        <v>420301167</v>
      </c>
      <c r="B316" s="509" t="s">
        <v>174</v>
      </c>
      <c r="C316" s="69" t="str">
        <f>_xlfn.XLOOKUP(B:B,Master!A:A,Master!B:B)</f>
        <v>RPSPL-PA</v>
      </c>
      <c r="D316" s="509" t="s">
        <v>53</v>
      </c>
      <c r="E316" s="69" t="str">
        <f t="shared" si="24"/>
        <v>420301167</v>
      </c>
      <c r="F316" s="509" t="s">
        <v>54</v>
      </c>
      <c r="G316" s="70" t="str">
        <f>VLOOKUP(D316,Master!C:G,4,)</f>
        <v>T&amp;I</v>
      </c>
      <c r="H316" s="69" t="str">
        <f>VLOOKUP(D316,Master!C:G,5,)</f>
        <v>T&amp;I EX UF</v>
      </c>
      <c r="I316" s="549">
        <v>1286.6400000000001</v>
      </c>
      <c r="J316" s="549">
        <v>612</v>
      </c>
      <c r="K316" s="71">
        <f t="shared" si="25"/>
        <v>0.47565752658086174</v>
      </c>
      <c r="L316" s="549">
        <v>0</v>
      </c>
      <c r="M316" s="511"/>
      <c r="N316" s="549">
        <v>1464</v>
      </c>
      <c r="O316" s="549">
        <v>1464</v>
      </c>
      <c r="P316" s="72">
        <f t="shared" si="26"/>
        <v>-789.3599999999999</v>
      </c>
      <c r="Q316" s="72">
        <f>IFERROR(IF(D316=20250,O316/(#REF!/30),O316/(I316/30)),0)</f>
        <v>34.13542249580302</v>
      </c>
      <c r="R316" s="72">
        <f t="shared" si="27"/>
        <v>34.13542249580302</v>
      </c>
      <c r="AC316"/>
      <c r="AD316"/>
      <c r="AE316"/>
      <c r="AF316"/>
      <c r="AG316"/>
      <c r="AH316"/>
      <c r="AI316"/>
      <c r="AJ316"/>
    </row>
    <row r="317" spans="1:36" ht="15">
      <c r="A317" s="352" t="str">
        <f t="shared" si="23"/>
        <v>420301296</v>
      </c>
      <c r="B317" s="509" t="s">
        <v>174</v>
      </c>
      <c r="C317" s="69" t="str">
        <f>_xlfn.XLOOKUP(B:B,Master!A:A,Master!B:B)</f>
        <v>RPSPL-PA</v>
      </c>
      <c r="D317" s="509" t="s">
        <v>15</v>
      </c>
      <c r="E317" s="69" t="str">
        <f t="shared" si="24"/>
        <v>420301296</v>
      </c>
      <c r="F317" s="509" t="s">
        <v>16</v>
      </c>
      <c r="G317" s="70" t="str">
        <f>VLOOKUP(D317,Master!C:G,4,)</f>
        <v>T&amp;I</v>
      </c>
      <c r="H317" s="69" t="str">
        <f>VLOOKUP(D317,Master!C:G,5,)</f>
        <v>T&amp;I EX HP 2 KG</v>
      </c>
      <c r="I317" s="549">
        <v>1350.96</v>
      </c>
      <c r="J317" s="549">
        <v>216</v>
      </c>
      <c r="K317" s="71">
        <f t="shared" si="25"/>
        <v>0.15988630307337004</v>
      </c>
      <c r="L317" s="549">
        <v>0</v>
      </c>
      <c r="M317" s="511"/>
      <c r="N317" s="549">
        <v>1140</v>
      </c>
      <c r="O317" s="549">
        <v>1140</v>
      </c>
      <c r="P317" s="72">
        <f t="shared" si="26"/>
        <v>-5.0399999999999636</v>
      </c>
      <c r="Q317" s="72">
        <f>IFERROR(IF(D317=20250,O317/(#REF!/30),O317/(I317/30)),0)</f>
        <v>25.315331319950257</v>
      </c>
      <c r="R317" s="72">
        <f t="shared" si="27"/>
        <v>25.315331319950257</v>
      </c>
      <c r="AC317"/>
      <c r="AD317"/>
      <c r="AE317"/>
      <c r="AF317"/>
      <c r="AG317"/>
      <c r="AH317"/>
      <c r="AI317"/>
      <c r="AJ317"/>
    </row>
    <row r="318" spans="1:36" ht="15">
      <c r="A318" s="352" t="str">
        <f t="shared" si="23"/>
        <v>420302122</v>
      </c>
      <c r="B318" s="509" t="s">
        <v>174</v>
      </c>
      <c r="C318" s="69" t="str">
        <f>_xlfn.XLOOKUP(B:B,Master!A:A,Master!B:B)</f>
        <v>RPSPL-PA</v>
      </c>
      <c r="D318" s="509" t="s">
        <v>55</v>
      </c>
      <c r="E318" s="69" t="str">
        <f t="shared" si="24"/>
        <v>420302122</v>
      </c>
      <c r="F318" s="509" t="s">
        <v>56</v>
      </c>
      <c r="G318" s="70" t="str">
        <f>VLOOKUP(D318,Master!C:G,4,)</f>
        <v>T&amp;I</v>
      </c>
      <c r="H318" s="69" t="str">
        <f>VLOOKUP(D318,Master!C:G,5,)</f>
        <v>T&amp;I EX HP 2 KG</v>
      </c>
      <c r="I318" s="549">
        <v>257.27999999999997</v>
      </c>
      <c r="J318" s="549">
        <v>60</v>
      </c>
      <c r="K318" s="71">
        <f t="shared" si="25"/>
        <v>0.23320895522388063</v>
      </c>
      <c r="L318" s="549">
        <v>0</v>
      </c>
      <c r="M318" s="511"/>
      <c r="N318" s="549">
        <v>408</v>
      </c>
      <c r="O318" s="549">
        <v>408</v>
      </c>
      <c r="P318" s="72">
        <f t="shared" si="26"/>
        <v>-210.72000000000003</v>
      </c>
      <c r="Q318" s="72">
        <f>IFERROR(IF(D318=20250,O318/(#REF!/30),O318/(I318/30)),0)</f>
        <v>47.574626865671647</v>
      </c>
      <c r="R318" s="72">
        <f t="shared" si="27"/>
        <v>47.574626865671647</v>
      </c>
      <c r="AC318"/>
      <c r="AD318"/>
      <c r="AE318"/>
      <c r="AF318"/>
      <c r="AG318"/>
      <c r="AH318"/>
      <c r="AI318"/>
      <c r="AJ318"/>
    </row>
    <row r="319" spans="1:36" ht="15">
      <c r="A319" s="352" t="str">
        <f t="shared" si="23"/>
        <v>420306982</v>
      </c>
      <c r="B319" s="509" t="s">
        <v>174</v>
      </c>
      <c r="C319" s="69" t="str">
        <f>_xlfn.XLOOKUP(B:B,Master!A:A,Master!B:B)</f>
        <v>RPSPL-PA</v>
      </c>
      <c r="D319" s="509" t="s">
        <v>59</v>
      </c>
      <c r="E319" s="69" t="str">
        <f t="shared" si="24"/>
        <v>420306982</v>
      </c>
      <c r="F319" s="509" t="s">
        <v>60</v>
      </c>
      <c r="G319" s="70" t="str">
        <f>VLOOKUP(D319,Master!C:G,4,)</f>
        <v>T&amp;I</v>
      </c>
      <c r="H319" s="69" t="str">
        <f>VLOOKUP(D319,Master!C:G,5,)</f>
        <v>T&amp;I Comm-UF</v>
      </c>
      <c r="I319" s="549">
        <v>0</v>
      </c>
      <c r="J319" s="549">
        <v>0</v>
      </c>
      <c r="K319" s="71">
        <f t="shared" si="25"/>
        <v>0</v>
      </c>
      <c r="L319" s="549">
        <v>0</v>
      </c>
      <c r="M319" s="511"/>
      <c r="N319" s="549">
        <v>504</v>
      </c>
      <c r="O319" s="549">
        <v>504</v>
      </c>
      <c r="P319" s="72">
        <f t="shared" si="26"/>
        <v>-504</v>
      </c>
      <c r="Q319" s="72">
        <f>IFERROR(IF(D319=20250,O319/(#REF!/30),O319/(I319/30)),0)</f>
        <v>0</v>
      </c>
      <c r="R319" s="72">
        <f t="shared" si="27"/>
        <v>0</v>
      </c>
      <c r="AC319"/>
      <c r="AD319"/>
      <c r="AE319"/>
      <c r="AF319"/>
      <c r="AG319"/>
      <c r="AH319"/>
      <c r="AI319"/>
      <c r="AJ319"/>
    </row>
    <row r="320" spans="1:36" ht="15">
      <c r="A320" s="352" t="str">
        <f t="shared" si="23"/>
        <v>420307310</v>
      </c>
      <c r="B320" s="509" t="s">
        <v>174</v>
      </c>
      <c r="C320" s="69" t="str">
        <f>_xlfn.XLOOKUP(B:B,Master!A:A,Master!B:B)</f>
        <v>RPSPL-PA</v>
      </c>
      <c r="D320" s="509" t="s">
        <v>19</v>
      </c>
      <c r="E320" s="69" t="str">
        <f t="shared" si="24"/>
        <v>420307310</v>
      </c>
      <c r="F320" s="509" t="s">
        <v>20</v>
      </c>
      <c r="G320" s="70" t="str">
        <f>VLOOKUP(D320,Master!C:G,4,)</f>
        <v>T&amp;I</v>
      </c>
      <c r="H320" s="69" t="str">
        <f>VLOOKUP(D320,Master!C:G,5,)</f>
        <v>T&amp;I Comm -HP</v>
      </c>
      <c r="I320" s="549">
        <v>5147.76</v>
      </c>
      <c r="J320" s="549">
        <v>1464</v>
      </c>
      <c r="K320" s="71">
        <f t="shared" si="25"/>
        <v>0.28439554291575364</v>
      </c>
      <c r="L320" s="549">
        <v>1692</v>
      </c>
      <c r="M320" s="511">
        <v>46166</v>
      </c>
      <c r="N320" s="549">
        <v>4308</v>
      </c>
      <c r="O320" s="549">
        <v>6000</v>
      </c>
      <c r="P320" s="72">
        <f t="shared" si="26"/>
        <v>-2316.2399999999998</v>
      </c>
      <c r="Q320" s="72">
        <f>IFERROR(IF(D320=20250,O320/(#REF!/30),O320/(I320/30)),0)</f>
        <v>34.966665112592658</v>
      </c>
      <c r="R320" s="72">
        <f t="shared" si="27"/>
        <v>25.106065550841528</v>
      </c>
      <c r="AC320"/>
      <c r="AD320"/>
      <c r="AE320"/>
      <c r="AF320"/>
      <c r="AG320"/>
      <c r="AH320"/>
      <c r="AI320"/>
      <c r="AJ320"/>
    </row>
    <row r="321" spans="1:36" ht="15">
      <c r="A321" s="352" t="str">
        <f t="shared" si="23"/>
        <v>420308529</v>
      </c>
      <c r="B321" s="509" t="s">
        <v>174</v>
      </c>
      <c r="C321" s="69" t="str">
        <f>_xlfn.XLOOKUP(B:B,Master!A:A,Master!B:B)</f>
        <v>RPSPL-PA</v>
      </c>
      <c r="D321" s="509" t="s">
        <v>61</v>
      </c>
      <c r="E321" s="69" t="str">
        <f t="shared" si="24"/>
        <v>420308529</v>
      </c>
      <c r="F321" s="509" t="s">
        <v>62</v>
      </c>
      <c r="G321" s="70" t="str">
        <f>VLOOKUP(D321,Master!C:G,4,)</f>
        <v>T&amp;I</v>
      </c>
      <c r="H321" s="69" t="str">
        <f>VLOOKUP(D321,Master!C:G,5,)</f>
        <v>T&amp;I EX HP 2 KG</v>
      </c>
      <c r="I321" s="549">
        <v>11904</v>
      </c>
      <c r="J321" s="549">
        <v>4812</v>
      </c>
      <c r="K321" s="71">
        <f t="shared" si="25"/>
        <v>0.40423387096774194</v>
      </c>
      <c r="L321" s="549">
        <v>4980</v>
      </c>
      <c r="M321" s="511">
        <v>46166</v>
      </c>
      <c r="N321" s="549">
        <v>7188</v>
      </c>
      <c r="O321" s="549">
        <v>12168</v>
      </c>
      <c r="P321" s="72">
        <f t="shared" si="26"/>
        <v>-5076</v>
      </c>
      <c r="Q321" s="72">
        <f>IFERROR(IF(D321=20250,O321/(#REF!/30),O321/(I321/30)),0)</f>
        <v>30.66532258064516</v>
      </c>
      <c r="R321" s="72">
        <f t="shared" si="27"/>
        <v>18.114919354838708</v>
      </c>
      <c r="AC321"/>
      <c r="AD321"/>
      <c r="AE321"/>
      <c r="AF321"/>
      <c r="AG321"/>
      <c r="AH321"/>
      <c r="AI321"/>
      <c r="AJ321"/>
    </row>
    <row r="322" spans="1:36" ht="15">
      <c r="A322" s="352" t="str">
        <f t="shared" si="23"/>
        <v>420313678</v>
      </c>
      <c r="B322" s="509" t="s">
        <v>174</v>
      </c>
      <c r="C322" s="69" t="str">
        <f>_xlfn.XLOOKUP(B:B,Master!A:A,Master!B:B)</f>
        <v>RPSPL-PA</v>
      </c>
      <c r="D322" s="509" t="s">
        <v>65</v>
      </c>
      <c r="E322" s="69" t="str">
        <f t="shared" si="24"/>
        <v>420313678</v>
      </c>
      <c r="F322" s="509" t="s">
        <v>66</v>
      </c>
      <c r="G322" s="70" t="str">
        <f>VLOOKUP(D322,Master!C:G,4,)</f>
        <v>T&amp;I</v>
      </c>
      <c r="H322" s="69" t="str">
        <f>VLOOKUP(D322,Master!C:G,5,)</f>
        <v>T&amp;I EX HP</v>
      </c>
      <c r="I322" s="549">
        <v>1929.96</v>
      </c>
      <c r="J322" s="549">
        <v>672</v>
      </c>
      <c r="K322" s="71">
        <f t="shared" si="25"/>
        <v>0.34819374494808181</v>
      </c>
      <c r="L322" s="549">
        <v>0</v>
      </c>
      <c r="M322" s="511"/>
      <c r="N322" s="549">
        <v>1380</v>
      </c>
      <c r="O322" s="549">
        <v>1380</v>
      </c>
      <c r="P322" s="72">
        <f t="shared" si="26"/>
        <v>-122.03999999999996</v>
      </c>
      <c r="Q322" s="72">
        <f>IFERROR(IF(D322=20250,O322/(#REF!/30),O322/(I322/30)),0)</f>
        <v>21.451221786980039</v>
      </c>
      <c r="R322" s="72">
        <f t="shared" si="27"/>
        <v>21.451221786980039</v>
      </c>
      <c r="AC322"/>
      <c r="AD322"/>
      <c r="AE322"/>
      <c r="AF322"/>
      <c r="AG322"/>
      <c r="AH322"/>
      <c r="AI322"/>
      <c r="AJ322"/>
    </row>
    <row r="323" spans="1:36" ht="15">
      <c r="A323" s="352" t="str">
        <f t="shared" si="23"/>
        <v>420314654</v>
      </c>
      <c r="B323" s="509" t="s">
        <v>174</v>
      </c>
      <c r="C323" s="69" t="str">
        <f>_xlfn.XLOOKUP(B:B,Master!A:A,Master!B:B)</f>
        <v>RPSPL-PA</v>
      </c>
      <c r="D323" s="509" t="s">
        <v>67</v>
      </c>
      <c r="E323" s="69" t="str">
        <f t="shared" si="24"/>
        <v>420314654</v>
      </c>
      <c r="F323" s="509" t="s">
        <v>68</v>
      </c>
      <c r="G323" s="70" t="str">
        <f>VLOOKUP(D323,Master!C:G,4,)</f>
        <v>T&amp;I</v>
      </c>
      <c r="H323" s="69" t="str">
        <f>VLOOKUP(D323,Master!C:G,5,)</f>
        <v>T&amp;I Comm-UF</v>
      </c>
      <c r="I323" s="549">
        <v>2573.2800000000002</v>
      </c>
      <c r="J323" s="549">
        <v>240</v>
      </c>
      <c r="K323" s="71">
        <f t="shared" si="25"/>
        <v>9.3266181682521904E-2</v>
      </c>
      <c r="L323" s="549">
        <v>0</v>
      </c>
      <c r="M323" s="511"/>
      <c r="N323" s="549">
        <v>2352</v>
      </c>
      <c r="O323" s="549">
        <v>2352</v>
      </c>
      <c r="P323" s="72">
        <f t="shared" si="26"/>
        <v>-18.7199999999998</v>
      </c>
      <c r="Q323" s="72">
        <f>IFERROR(IF(D323=20250,O323/(#REF!/30),O323/(I323/30)),0)</f>
        <v>27.420257414661439</v>
      </c>
      <c r="R323" s="72">
        <f t="shared" si="27"/>
        <v>27.420257414661439</v>
      </c>
      <c r="AC323"/>
      <c r="AD323"/>
      <c r="AE323"/>
      <c r="AF323"/>
      <c r="AG323"/>
      <c r="AH323"/>
      <c r="AI323"/>
      <c r="AJ323"/>
    </row>
    <row r="324" spans="1:36" ht="15">
      <c r="A324" s="352" t="str">
        <f t="shared" si="23"/>
        <v>420314788</v>
      </c>
      <c r="B324" s="509" t="s">
        <v>174</v>
      </c>
      <c r="C324" s="69" t="str">
        <f>_xlfn.XLOOKUP(B:B,Master!A:A,Master!B:B)</f>
        <v>RPSPL-PA</v>
      </c>
      <c r="D324" s="509" t="s">
        <v>69</v>
      </c>
      <c r="E324" s="69" t="str">
        <f t="shared" si="24"/>
        <v>420314788</v>
      </c>
      <c r="F324" s="509" t="s">
        <v>70</v>
      </c>
      <c r="G324" s="70" t="str">
        <f>VLOOKUP(D324,Master!C:G,4,)</f>
        <v>T&amp;I</v>
      </c>
      <c r="H324" s="69" t="str">
        <f>VLOOKUP(D324,Master!C:G,5,)</f>
        <v>T&amp;I EX HP</v>
      </c>
      <c r="I324" s="549">
        <v>14401.2</v>
      </c>
      <c r="J324" s="549">
        <v>8508</v>
      </c>
      <c r="K324" s="71">
        <f t="shared" si="25"/>
        <v>0.59078410132488957</v>
      </c>
      <c r="L324" s="549">
        <v>4992</v>
      </c>
      <c r="M324" s="511">
        <v>46166</v>
      </c>
      <c r="N324" s="549">
        <v>7368</v>
      </c>
      <c r="O324" s="549">
        <v>12360</v>
      </c>
      <c r="P324" s="72">
        <f t="shared" si="26"/>
        <v>-6466.7999999999993</v>
      </c>
      <c r="Q324" s="72">
        <f>IFERROR(IF(D324=20250,O324/(#REF!/30),O324/(I324/30)),0)</f>
        <v>25.747854345471211</v>
      </c>
      <c r="R324" s="72">
        <f t="shared" si="27"/>
        <v>15.348720939921673</v>
      </c>
      <c r="AC324"/>
      <c r="AD324"/>
      <c r="AE324"/>
      <c r="AF324"/>
      <c r="AG324"/>
      <c r="AH324"/>
      <c r="AI324"/>
      <c r="AJ324"/>
    </row>
    <row r="325" spans="1:36" ht="15">
      <c r="A325" s="352" t="str">
        <f t="shared" ref="A325:A388" si="28">B325&amp;D325</f>
        <v>420315536</v>
      </c>
      <c r="B325" s="509" t="s">
        <v>174</v>
      </c>
      <c r="C325" s="69" t="str">
        <f>_xlfn.XLOOKUP(B:B,Master!A:A,Master!B:B)</f>
        <v>RPSPL-PA</v>
      </c>
      <c r="D325" s="509" t="s">
        <v>71</v>
      </c>
      <c r="E325" s="69" t="str">
        <f t="shared" ref="E325:E388" si="29">B325&amp;D325</f>
        <v>420315536</v>
      </c>
      <c r="F325" s="509" t="s">
        <v>72</v>
      </c>
      <c r="G325" s="70" t="str">
        <f>VLOOKUP(D325,Master!C:G,4,)</f>
        <v>Ganache</v>
      </c>
      <c r="H325" s="69" t="str">
        <f>VLOOKUP(D325,Master!C:G,5,)</f>
        <v>Ganache- UF</v>
      </c>
      <c r="I325" s="549">
        <v>16409.400000000001</v>
      </c>
      <c r="J325" s="549">
        <v>4824</v>
      </c>
      <c r="K325" s="71">
        <f t="shared" ref="K325:K388" si="30">IFERROR(J325/I325,0)</f>
        <v>0.2939778419686277</v>
      </c>
      <c r="L325" s="549">
        <v>0</v>
      </c>
      <c r="M325" s="511"/>
      <c r="N325" s="549">
        <v>17100</v>
      </c>
      <c r="O325" s="549">
        <v>17100</v>
      </c>
      <c r="P325" s="72">
        <f t="shared" ref="P325:P388" si="31">I325-J325-O325</f>
        <v>-5514.5999999999985</v>
      </c>
      <c r="Q325" s="72">
        <f>IFERROR(IF(D325=20250,O325/(#REF!/30),O325/(I325/30)),0)</f>
        <v>31.262569015320487</v>
      </c>
      <c r="R325" s="72">
        <f t="shared" ref="R325:R388" si="32">IFERROR(N325/(I325/30),0)</f>
        <v>31.262569015320487</v>
      </c>
      <c r="AC325"/>
      <c r="AD325"/>
      <c r="AE325"/>
      <c r="AF325"/>
      <c r="AG325"/>
      <c r="AH325"/>
      <c r="AI325"/>
      <c r="AJ325"/>
    </row>
    <row r="326" spans="1:36" ht="15">
      <c r="A326" s="352" t="str">
        <f t="shared" si="28"/>
        <v>420316336</v>
      </c>
      <c r="B326" s="509" t="s">
        <v>174</v>
      </c>
      <c r="C326" s="69" t="str">
        <f>_xlfn.XLOOKUP(B:B,Master!A:A,Master!B:B)</f>
        <v>RPSPL-PA</v>
      </c>
      <c r="D326" s="509" t="s">
        <v>24</v>
      </c>
      <c r="E326" s="69" t="str">
        <f t="shared" si="29"/>
        <v>420316336</v>
      </c>
      <c r="F326" s="509" t="s">
        <v>25</v>
      </c>
      <c r="G326" s="70" t="str">
        <f>VLOOKUP(D326,Master!C:G,4,)</f>
        <v>T&amp;I</v>
      </c>
      <c r="H326" s="69" t="str">
        <f>VLOOKUP(D326,Master!C:G,5,)</f>
        <v>T&amp;I Comm-UF</v>
      </c>
      <c r="I326" s="549">
        <v>90877.2</v>
      </c>
      <c r="J326" s="549">
        <v>57396</v>
      </c>
      <c r="K326" s="71">
        <f t="shared" si="30"/>
        <v>0.63157755740713839</v>
      </c>
      <c r="L326" s="549">
        <v>4992</v>
      </c>
      <c r="M326" s="511">
        <v>46166</v>
      </c>
      <c r="N326" s="549">
        <v>36552</v>
      </c>
      <c r="O326" s="549">
        <v>41544</v>
      </c>
      <c r="P326" s="72">
        <f t="shared" si="31"/>
        <v>-8062.8000000000029</v>
      </c>
      <c r="Q326" s="72">
        <f>IFERROR(IF(D326=20250,O326/(#REF!/30),O326/(I326/30)),0)</f>
        <v>13.714330987310349</v>
      </c>
      <c r="R326" s="72">
        <f t="shared" si="32"/>
        <v>12.066392890626032</v>
      </c>
      <c r="AC326"/>
      <c r="AD326"/>
      <c r="AE326"/>
      <c r="AF326"/>
      <c r="AG326"/>
      <c r="AH326"/>
      <c r="AI326"/>
      <c r="AJ326"/>
    </row>
    <row r="327" spans="1:36" ht="15">
      <c r="A327" s="352" t="str">
        <f t="shared" si="28"/>
        <v>420316984</v>
      </c>
      <c r="B327" s="509" t="s">
        <v>174</v>
      </c>
      <c r="C327" s="69" t="str">
        <f>_xlfn.XLOOKUP(B:B,Master!A:A,Master!B:B)</f>
        <v>RPSPL-PA</v>
      </c>
      <c r="D327" s="509" t="s">
        <v>78</v>
      </c>
      <c r="E327" s="69" t="str">
        <f t="shared" si="29"/>
        <v>420316984</v>
      </c>
      <c r="F327" s="509" t="s">
        <v>79</v>
      </c>
      <c r="G327" s="70" t="str">
        <f>VLOOKUP(D327,Master!C:G,4,)</f>
        <v>T&amp;I</v>
      </c>
      <c r="H327" s="69" t="str">
        <f>VLOOKUP(D327,Master!C:G,5,)</f>
        <v>T&amp;I EX HP</v>
      </c>
      <c r="I327" s="549">
        <v>128.63999999999999</v>
      </c>
      <c r="J327" s="549">
        <v>60</v>
      </c>
      <c r="K327" s="71">
        <f t="shared" si="30"/>
        <v>0.46641791044776126</v>
      </c>
      <c r="L327" s="549">
        <v>48</v>
      </c>
      <c r="M327" s="511">
        <v>46166</v>
      </c>
      <c r="N327" s="549">
        <v>24</v>
      </c>
      <c r="O327" s="549">
        <v>72</v>
      </c>
      <c r="P327" s="72">
        <f t="shared" si="31"/>
        <v>-3.3600000000000136</v>
      </c>
      <c r="Q327" s="72">
        <f>IFERROR(IF(D327=20250,O327/(#REF!/30),O327/(I327/30)),0)</f>
        <v>16.791044776119406</v>
      </c>
      <c r="R327" s="72">
        <f t="shared" si="32"/>
        <v>5.5970149253731352</v>
      </c>
      <c r="AC327"/>
      <c r="AD327"/>
      <c r="AE327"/>
      <c r="AF327"/>
      <c r="AG327"/>
      <c r="AH327"/>
      <c r="AI327"/>
      <c r="AJ327"/>
    </row>
    <row r="328" spans="1:36" ht="15">
      <c r="A328" s="352" t="str">
        <f t="shared" si="28"/>
        <v>420316998</v>
      </c>
      <c r="B328" s="509" t="s">
        <v>174</v>
      </c>
      <c r="C328" s="69" t="str">
        <f>_xlfn.XLOOKUP(B:B,Master!A:A,Master!B:B)</f>
        <v>RPSPL-PA</v>
      </c>
      <c r="D328" s="509" t="s">
        <v>80</v>
      </c>
      <c r="E328" s="69" t="str">
        <f t="shared" si="29"/>
        <v>420316998</v>
      </c>
      <c r="F328" s="509" t="s">
        <v>81</v>
      </c>
      <c r="G328" s="70" t="str">
        <f>VLOOKUP(D328,Master!C:G,4,)</f>
        <v>T&amp;I</v>
      </c>
      <c r="H328" s="69" t="str">
        <f>VLOOKUP(D328,Master!C:G,5,)</f>
        <v>T&amp;I EX UF</v>
      </c>
      <c r="I328" s="549">
        <v>1093.56</v>
      </c>
      <c r="J328" s="549">
        <v>0</v>
      </c>
      <c r="K328" s="71">
        <f t="shared" si="30"/>
        <v>0</v>
      </c>
      <c r="L328" s="549">
        <v>0</v>
      </c>
      <c r="M328" s="511"/>
      <c r="N328" s="549">
        <v>2052</v>
      </c>
      <c r="O328" s="549">
        <v>2052</v>
      </c>
      <c r="P328" s="72">
        <f t="shared" si="31"/>
        <v>-958.44</v>
      </c>
      <c r="Q328" s="72">
        <f>IFERROR(IF(D328=20250,O328/(#REF!/30),O328/(I328/30)),0)</f>
        <v>56.293207505761004</v>
      </c>
      <c r="R328" s="72">
        <f t="shared" si="32"/>
        <v>56.293207505761004</v>
      </c>
      <c r="AC328"/>
      <c r="AD328"/>
      <c r="AE328"/>
      <c r="AF328"/>
      <c r="AG328"/>
      <c r="AH328"/>
      <c r="AI328"/>
      <c r="AJ328"/>
    </row>
    <row r="329" spans="1:36" ht="15">
      <c r="A329" s="352" t="str">
        <f t="shared" si="28"/>
        <v>420318098</v>
      </c>
      <c r="B329" s="509" t="s">
        <v>174</v>
      </c>
      <c r="C329" s="69" t="str">
        <f>_xlfn.XLOOKUP(B:B,Master!A:A,Master!B:B)</f>
        <v>RPSPL-PA</v>
      </c>
      <c r="D329" s="509" t="s">
        <v>84</v>
      </c>
      <c r="E329" s="69" t="str">
        <f t="shared" si="29"/>
        <v>420318098</v>
      </c>
      <c r="F329" s="509" t="s">
        <v>1222</v>
      </c>
      <c r="G329" s="70" t="str">
        <f>VLOOKUP(D329,Master!C:G,4,)</f>
        <v>T&amp;I</v>
      </c>
      <c r="H329" s="69" t="str">
        <f>VLOOKUP(D329,Master!C:G,5,)</f>
        <v>T&amp;I EX HP</v>
      </c>
      <c r="I329" s="549">
        <v>964.92</v>
      </c>
      <c r="J329" s="549">
        <v>120</v>
      </c>
      <c r="K329" s="71">
        <f t="shared" si="30"/>
        <v>0.12436264146250467</v>
      </c>
      <c r="L329" s="549">
        <v>0</v>
      </c>
      <c r="M329" s="511"/>
      <c r="N329" s="549">
        <v>1680</v>
      </c>
      <c r="O329" s="549">
        <v>1680</v>
      </c>
      <c r="P329" s="72">
        <f t="shared" si="31"/>
        <v>-835.08</v>
      </c>
      <c r="Q329" s="72">
        <f>IFERROR(IF(D329=20250,O329/(#REF!/30),O329/(I329/30)),0)</f>
        <v>52.232309414251958</v>
      </c>
      <c r="R329" s="72">
        <f t="shared" si="32"/>
        <v>52.232309414251958</v>
      </c>
      <c r="AC329"/>
      <c r="AD329"/>
      <c r="AE329"/>
      <c r="AF329"/>
      <c r="AG329"/>
      <c r="AH329"/>
      <c r="AI329"/>
      <c r="AJ329"/>
    </row>
    <row r="330" spans="1:36" ht="15">
      <c r="A330" s="352" t="str">
        <f t="shared" si="28"/>
        <v>420320308</v>
      </c>
      <c r="B330" s="509" t="s">
        <v>174</v>
      </c>
      <c r="C330" s="69" t="str">
        <f>_xlfn.XLOOKUP(B:B,Master!A:A,Master!B:B)</f>
        <v>RPSPL-PA</v>
      </c>
      <c r="D330" s="509" t="s">
        <v>146</v>
      </c>
      <c r="E330" s="69" t="str">
        <f t="shared" si="29"/>
        <v>420320308</v>
      </c>
      <c r="F330" s="509" t="s">
        <v>902</v>
      </c>
      <c r="G330" s="70" t="str">
        <f>VLOOKUP(D330,Master!C:G,4,)</f>
        <v>T&amp;I</v>
      </c>
      <c r="H330" s="69" t="str">
        <f>VLOOKUP(D330,Master!C:G,5,)</f>
        <v>T&amp;I EX HP 2 KG</v>
      </c>
      <c r="I330" s="549">
        <v>4504.4399999999996</v>
      </c>
      <c r="J330" s="549">
        <v>0</v>
      </c>
      <c r="K330" s="71">
        <f t="shared" si="30"/>
        <v>0</v>
      </c>
      <c r="L330" s="549">
        <v>0</v>
      </c>
      <c r="M330" s="511"/>
      <c r="N330" s="549">
        <v>5820</v>
      </c>
      <c r="O330" s="549">
        <v>5820</v>
      </c>
      <c r="P330" s="72">
        <f t="shared" si="31"/>
        <v>-1315.5600000000004</v>
      </c>
      <c r="Q330" s="72">
        <f>IFERROR(IF(D330=20250,O330/(#REF!/30),O330/(I330/30)),0)</f>
        <v>38.761755068332576</v>
      </c>
      <c r="R330" s="72">
        <f t="shared" si="32"/>
        <v>38.761755068332576</v>
      </c>
      <c r="AC330"/>
      <c r="AD330"/>
      <c r="AE330"/>
      <c r="AF330"/>
      <c r="AG330"/>
      <c r="AH330"/>
      <c r="AI330"/>
      <c r="AJ330"/>
    </row>
    <row r="331" spans="1:36" ht="15">
      <c r="A331" s="352" t="str">
        <f t="shared" si="28"/>
        <v>420320827</v>
      </c>
      <c r="B331" s="509" t="s">
        <v>174</v>
      </c>
      <c r="C331" s="69" t="str">
        <f>_xlfn.XLOOKUP(B:B,Master!A:A,Master!B:B)</f>
        <v>RPSPL-PA</v>
      </c>
      <c r="D331" s="509" t="s">
        <v>149</v>
      </c>
      <c r="E331" s="69" t="str">
        <f t="shared" si="29"/>
        <v>420320827</v>
      </c>
      <c r="F331" s="509" t="s">
        <v>150</v>
      </c>
      <c r="G331" s="70" t="str">
        <f>VLOOKUP(D331,Master!C:G,4,)</f>
        <v>Ganache</v>
      </c>
      <c r="H331" s="69" t="str">
        <f>VLOOKUP(D331,Master!C:G,5,)</f>
        <v>Ganache- UF</v>
      </c>
      <c r="I331" s="549">
        <v>1286.6400000000001</v>
      </c>
      <c r="J331" s="549">
        <v>696</v>
      </c>
      <c r="K331" s="71">
        <f t="shared" si="30"/>
        <v>0.54094385375862708</v>
      </c>
      <c r="L331" s="549">
        <v>0</v>
      </c>
      <c r="M331" s="511"/>
      <c r="N331" s="549">
        <v>1452</v>
      </c>
      <c r="O331" s="549">
        <v>1452</v>
      </c>
      <c r="P331" s="72">
        <f t="shared" si="31"/>
        <v>-861.3599999999999</v>
      </c>
      <c r="Q331" s="72">
        <f>IFERROR(IF(D331=20250,O331/(#REF!/30),O331/(I331/30)),0)</f>
        <v>33.855623950755451</v>
      </c>
      <c r="R331" s="72">
        <f t="shared" si="32"/>
        <v>33.855623950755451</v>
      </c>
      <c r="AC331"/>
      <c r="AD331"/>
      <c r="AE331"/>
      <c r="AF331"/>
      <c r="AG331"/>
      <c r="AH331"/>
      <c r="AI331"/>
      <c r="AJ331"/>
    </row>
    <row r="332" spans="1:36" ht="15">
      <c r="A332" s="352" t="str">
        <f t="shared" si="28"/>
        <v>420321910</v>
      </c>
      <c r="B332" s="509" t="s">
        <v>174</v>
      </c>
      <c r="C332" s="69" t="str">
        <f>_xlfn.XLOOKUP(B:B,Master!A:A,Master!B:B)</f>
        <v>RPSPL-PA</v>
      </c>
      <c r="D332" s="509" t="s">
        <v>180</v>
      </c>
      <c r="E332" s="69" t="str">
        <f t="shared" si="29"/>
        <v>420321910</v>
      </c>
      <c r="F332" s="509" t="s">
        <v>181</v>
      </c>
      <c r="G332" s="70" t="str">
        <f>VLOOKUP(D332,Master!C:G,4,)</f>
        <v>T&amp;I</v>
      </c>
      <c r="H332" s="69" t="str">
        <f>VLOOKUP(D332,Master!C:G,5,)</f>
        <v>T&amp;I EX HP 2 KG</v>
      </c>
      <c r="I332" s="549">
        <v>6434.52</v>
      </c>
      <c r="J332" s="549">
        <v>1680</v>
      </c>
      <c r="K332" s="71">
        <f t="shared" si="30"/>
        <v>0.26109173644654143</v>
      </c>
      <c r="L332" s="549">
        <v>2004</v>
      </c>
      <c r="M332" s="511">
        <v>46166</v>
      </c>
      <c r="N332" s="549">
        <v>5304</v>
      </c>
      <c r="O332" s="549">
        <v>7308</v>
      </c>
      <c r="P332" s="72">
        <f t="shared" si="31"/>
        <v>-2553.4799999999996</v>
      </c>
      <c r="Q332" s="72">
        <f>IFERROR(IF(D332=20250,O332/(#REF!/30),O332/(I332/30)),0)</f>
        <v>34.072471606273659</v>
      </c>
      <c r="R332" s="72">
        <f t="shared" si="32"/>
        <v>24.729117323436711</v>
      </c>
      <c r="AC332"/>
      <c r="AD332"/>
      <c r="AE332"/>
      <c r="AF332"/>
      <c r="AG332"/>
      <c r="AH332"/>
      <c r="AI332"/>
      <c r="AJ332"/>
    </row>
    <row r="333" spans="1:36" ht="15">
      <c r="A333" s="352" t="str">
        <f t="shared" si="28"/>
        <v>420322059</v>
      </c>
      <c r="B333" s="509" t="s">
        <v>174</v>
      </c>
      <c r="C333" s="69" t="str">
        <f>_xlfn.XLOOKUP(B:B,Master!A:A,Master!B:B)</f>
        <v>RPSPL-PA</v>
      </c>
      <c r="D333" s="509" t="s">
        <v>183</v>
      </c>
      <c r="E333" s="69" t="str">
        <f t="shared" si="29"/>
        <v>420322059</v>
      </c>
      <c r="F333" s="509" t="s">
        <v>184</v>
      </c>
      <c r="G333" s="70" t="str">
        <f>VLOOKUP(D333,Master!C:G,4,)</f>
        <v>T&amp;I</v>
      </c>
      <c r="H333" s="69" t="str">
        <f>VLOOKUP(D333,Master!C:G,5,)</f>
        <v>T&amp;I EX HP</v>
      </c>
      <c r="I333" s="549">
        <v>128.63999999999999</v>
      </c>
      <c r="J333" s="549">
        <v>0</v>
      </c>
      <c r="K333" s="71">
        <f t="shared" si="30"/>
        <v>0</v>
      </c>
      <c r="L333" s="549">
        <v>0</v>
      </c>
      <c r="M333" s="511"/>
      <c r="N333" s="549">
        <v>0</v>
      </c>
      <c r="O333" s="549">
        <v>0</v>
      </c>
      <c r="P333" s="72">
        <f t="shared" si="31"/>
        <v>128.63999999999999</v>
      </c>
      <c r="Q333" s="72">
        <f>IFERROR(IF(D333=20250,O333/(#REF!/30),O333/(I333/30)),0)</f>
        <v>0</v>
      </c>
      <c r="R333" s="72">
        <f t="shared" si="32"/>
        <v>0</v>
      </c>
      <c r="AC333"/>
      <c r="AD333"/>
      <c r="AE333"/>
      <c r="AF333"/>
      <c r="AG333"/>
      <c r="AH333"/>
      <c r="AI333"/>
      <c r="AJ333"/>
    </row>
    <row r="334" spans="1:36" ht="15">
      <c r="A334" s="352" t="str">
        <f t="shared" si="28"/>
        <v>420323081</v>
      </c>
      <c r="B334" s="509" t="s">
        <v>174</v>
      </c>
      <c r="C334" s="69" t="str">
        <f>_xlfn.XLOOKUP(B:B,Master!A:A,Master!B:B)</f>
        <v>RPSPL-PA</v>
      </c>
      <c r="D334" s="509" t="s">
        <v>189</v>
      </c>
      <c r="E334" s="69" t="str">
        <f t="shared" si="29"/>
        <v>420323081</v>
      </c>
      <c r="F334" s="509" t="s">
        <v>190</v>
      </c>
      <c r="G334" s="70" t="str">
        <f>VLOOKUP(D334,Master!C:G,4,)</f>
        <v>T&amp;I</v>
      </c>
      <c r="H334" s="69" t="str">
        <f>VLOOKUP(D334,Master!C:G,5,)</f>
        <v>T&amp;I EX HP</v>
      </c>
      <c r="I334" s="549">
        <v>643.32000000000005</v>
      </c>
      <c r="J334" s="549">
        <v>24</v>
      </c>
      <c r="K334" s="71">
        <f t="shared" si="30"/>
        <v>3.7306472673008767E-2</v>
      </c>
      <c r="L334" s="549">
        <v>0</v>
      </c>
      <c r="M334" s="511"/>
      <c r="N334" s="549">
        <v>1188</v>
      </c>
      <c r="O334" s="549">
        <v>1188</v>
      </c>
      <c r="P334" s="72">
        <f t="shared" si="31"/>
        <v>-568.67999999999995</v>
      </c>
      <c r="Q334" s="72">
        <f>IFERROR(IF(D334=20250,O334/(#REF!/30),O334/(I334/30)),0)</f>
        <v>55.400111919418009</v>
      </c>
      <c r="R334" s="72">
        <f t="shared" si="32"/>
        <v>55.400111919418009</v>
      </c>
      <c r="AC334"/>
      <c r="AD334"/>
      <c r="AE334"/>
      <c r="AF334"/>
      <c r="AG334"/>
      <c r="AH334"/>
      <c r="AI334"/>
      <c r="AJ334"/>
    </row>
    <row r="335" spans="1:36" ht="15">
      <c r="A335" s="352" t="str">
        <f t="shared" si="28"/>
        <v>420323401</v>
      </c>
      <c r="B335" s="509" t="s">
        <v>174</v>
      </c>
      <c r="C335" s="69" t="str">
        <f>_xlfn.XLOOKUP(B:B,Master!A:A,Master!B:B)</f>
        <v>RPSPL-PA</v>
      </c>
      <c r="D335" s="509" t="s">
        <v>194</v>
      </c>
      <c r="E335" s="69" t="str">
        <f t="shared" si="29"/>
        <v>420323401</v>
      </c>
      <c r="F335" s="509" t="s">
        <v>195</v>
      </c>
      <c r="G335" s="70" t="str">
        <f>VLOOKUP(D335,Master!C:G,4,)</f>
        <v>T&amp;I</v>
      </c>
      <c r="H335" s="69" t="str">
        <f>VLOOKUP(D335,Master!C:G,5,)</f>
        <v>T&amp;I EX UF</v>
      </c>
      <c r="I335" s="549">
        <v>1093.56</v>
      </c>
      <c r="J335" s="549">
        <v>360</v>
      </c>
      <c r="K335" s="71">
        <f t="shared" si="30"/>
        <v>0.32920004389333918</v>
      </c>
      <c r="L335" s="549">
        <v>0</v>
      </c>
      <c r="M335" s="511"/>
      <c r="N335" s="549">
        <v>912</v>
      </c>
      <c r="O335" s="549">
        <v>912</v>
      </c>
      <c r="P335" s="72">
        <f t="shared" si="31"/>
        <v>-178.44000000000005</v>
      </c>
      <c r="Q335" s="72">
        <f>IFERROR(IF(D335=20250,O335/(#REF!/30),O335/(I335/30)),0)</f>
        <v>25.019203335893778</v>
      </c>
      <c r="R335" s="72">
        <f t="shared" si="32"/>
        <v>25.019203335893778</v>
      </c>
      <c r="AC335"/>
      <c r="AD335"/>
      <c r="AE335"/>
      <c r="AF335"/>
      <c r="AG335"/>
      <c r="AH335"/>
      <c r="AI335"/>
      <c r="AJ335"/>
    </row>
    <row r="336" spans="1:36" ht="15">
      <c r="A336" s="352" t="str">
        <f t="shared" si="28"/>
        <v>420324768</v>
      </c>
      <c r="B336" s="509" t="s">
        <v>174</v>
      </c>
      <c r="C336" s="69" t="str">
        <f>_xlfn.XLOOKUP(B:B,Master!A:A,Master!B:B)</f>
        <v>RPSPL-PA</v>
      </c>
      <c r="D336" s="509" t="s">
        <v>906</v>
      </c>
      <c r="E336" s="69" t="str">
        <f t="shared" si="29"/>
        <v>420324768</v>
      </c>
      <c r="F336" s="509" t="s">
        <v>912</v>
      </c>
      <c r="G336" s="70" t="str">
        <f>VLOOKUP(D336,Master!C:G,4,)</f>
        <v>T&amp;I</v>
      </c>
      <c r="H336" s="69" t="str">
        <f>VLOOKUP(D336,Master!C:G,5,)</f>
        <v>T&amp;I EX UF</v>
      </c>
      <c r="I336" s="549">
        <v>2251.56</v>
      </c>
      <c r="J336" s="549">
        <v>972</v>
      </c>
      <c r="K336" s="71">
        <f t="shared" si="30"/>
        <v>0.43170068752331719</v>
      </c>
      <c r="L336" s="549">
        <v>0</v>
      </c>
      <c r="M336" s="511"/>
      <c r="N336" s="549">
        <v>3708</v>
      </c>
      <c r="O336" s="549">
        <v>3708</v>
      </c>
      <c r="P336" s="72">
        <f t="shared" si="31"/>
        <v>-2428.44</v>
      </c>
      <c r="Q336" s="72">
        <f>IFERROR(IF(D336=20250,O336/(#REF!/30),O336/(I336/30)),0)</f>
        <v>49.405745349890751</v>
      </c>
      <c r="R336" s="72">
        <f t="shared" si="32"/>
        <v>49.405745349890751</v>
      </c>
      <c r="AC336"/>
      <c r="AD336"/>
      <c r="AE336"/>
      <c r="AF336"/>
      <c r="AG336"/>
      <c r="AH336"/>
      <c r="AI336"/>
      <c r="AJ336"/>
    </row>
    <row r="337" spans="1:36" ht="15">
      <c r="A337" s="352" t="str">
        <f t="shared" si="28"/>
        <v>420325570</v>
      </c>
      <c r="B337" s="509" t="s">
        <v>174</v>
      </c>
      <c r="C337" s="69" t="str">
        <f>_xlfn.XLOOKUP(B:B,Master!A:A,Master!B:B)</f>
        <v>RPSPL-PA</v>
      </c>
      <c r="D337" s="509" t="s">
        <v>1006</v>
      </c>
      <c r="E337" s="69" t="str">
        <f t="shared" si="29"/>
        <v>420325570</v>
      </c>
      <c r="F337" s="509" t="s">
        <v>1008</v>
      </c>
      <c r="G337" s="70" t="str">
        <f>VLOOKUP(D337,Master!C:G,4,)</f>
        <v>T&amp;I</v>
      </c>
      <c r="H337" s="69" t="str">
        <f>VLOOKUP(D337,Master!C:G,5,)</f>
        <v>T&amp;I EX HP</v>
      </c>
      <c r="I337" s="549">
        <v>1286.6400000000001</v>
      </c>
      <c r="J337" s="549">
        <v>192</v>
      </c>
      <c r="K337" s="71">
        <f t="shared" si="30"/>
        <v>0.14922589069203507</v>
      </c>
      <c r="L337" s="549">
        <v>0</v>
      </c>
      <c r="M337" s="511"/>
      <c r="N337" s="549">
        <v>1116</v>
      </c>
      <c r="O337" s="549">
        <v>1116</v>
      </c>
      <c r="P337" s="72">
        <f t="shared" si="31"/>
        <v>-21.3599999999999</v>
      </c>
      <c r="Q337" s="72">
        <f>IFERROR(IF(D337=20250,O337/(#REF!/30),O337/(I337/30)),0)</f>
        <v>26.02126468942361</v>
      </c>
      <c r="R337" s="72">
        <f t="shared" si="32"/>
        <v>26.02126468942361</v>
      </c>
      <c r="AC337"/>
      <c r="AD337"/>
      <c r="AE337"/>
      <c r="AF337"/>
      <c r="AG337"/>
      <c r="AH337"/>
      <c r="AI337"/>
      <c r="AJ337"/>
    </row>
    <row r="338" spans="1:36" ht="15">
      <c r="A338" s="352" t="str">
        <f t="shared" si="28"/>
        <v>420325598</v>
      </c>
      <c r="B338" s="509" t="s">
        <v>174</v>
      </c>
      <c r="C338" s="69" t="str">
        <f>_xlfn.XLOOKUP(B:B,Master!A:A,Master!B:B)</f>
        <v>RPSPL-PA</v>
      </c>
      <c r="D338" s="509" t="s">
        <v>1007</v>
      </c>
      <c r="E338" s="69" t="str">
        <f t="shared" si="29"/>
        <v>420325598</v>
      </c>
      <c r="F338" s="509" t="s">
        <v>1009</v>
      </c>
      <c r="G338" s="70" t="str">
        <f>VLOOKUP(D338,Master!C:G,4,)</f>
        <v>T&amp;I</v>
      </c>
      <c r="H338" s="69" t="str">
        <f>VLOOKUP(D338,Master!C:G,5,)</f>
        <v>T&amp;I EX HP</v>
      </c>
      <c r="I338" s="549">
        <v>1415.28</v>
      </c>
      <c r="J338" s="549">
        <v>480</v>
      </c>
      <c r="K338" s="71">
        <f t="shared" si="30"/>
        <v>0.33915550279803292</v>
      </c>
      <c r="L338" s="549">
        <v>0</v>
      </c>
      <c r="M338" s="511"/>
      <c r="N338" s="549">
        <v>1044</v>
      </c>
      <c r="O338" s="549">
        <v>1044</v>
      </c>
      <c r="P338" s="72">
        <f t="shared" si="31"/>
        <v>-108.72000000000003</v>
      </c>
      <c r="Q338" s="72">
        <f>IFERROR(IF(D338=20250,O338/(#REF!/30),O338/(I338/30)),0)</f>
        <v>22.129896557571644</v>
      </c>
      <c r="R338" s="72">
        <f t="shared" si="32"/>
        <v>22.129896557571644</v>
      </c>
      <c r="AC338"/>
      <c r="AD338"/>
      <c r="AE338"/>
      <c r="AF338"/>
      <c r="AG338"/>
      <c r="AH338"/>
      <c r="AI338"/>
      <c r="AJ338"/>
    </row>
    <row r="339" spans="1:36" ht="15">
      <c r="A339" s="352" t="str">
        <f t="shared" si="28"/>
        <v>430106151</v>
      </c>
      <c r="B339" s="509" t="s">
        <v>104</v>
      </c>
      <c r="C339" s="69" t="str">
        <f>_xlfn.XLOOKUP(B:B,Master!A:A,Master!B:B)</f>
        <v>RPSPL-PBN</v>
      </c>
      <c r="D339" s="509" t="s">
        <v>28</v>
      </c>
      <c r="E339" s="69" t="str">
        <f t="shared" si="29"/>
        <v>430106151</v>
      </c>
      <c r="F339" s="509" t="s">
        <v>29</v>
      </c>
      <c r="G339" s="70" t="str">
        <f>VLOOKUP(D339,Master!C:G,4,)</f>
        <v>DD</v>
      </c>
      <c r="H339" s="69" t="str">
        <f>VLOOKUP(D339,Master!C:G,5,)</f>
        <v>OS - Dry</v>
      </c>
      <c r="I339" s="549">
        <v>15999.96</v>
      </c>
      <c r="J339" s="549">
        <v>7044</v>
      </c>
      <c r="K339" s="71">
        <f t="shared" si="30"/>
        <v>0.44025110062775158</v>
      </c>
      <c r="L339" s="549">
        <v>0</v>
      </c>
      <c r="M339" s="511"/>
      <c r="N339" s="549">
        <v>5892</v>
      </c>
      <c r="O339" s="549">
        <v>5892</v>
      </c>
      <c r="P339" s="72">
        <f t="shared" si="31"/>
        <v>3063.9599999999991</v>
      </c>
      <c r="Q339" s="72">
        <f>IFERROR(IF(D339=20250,O339/(#REF!/30),O339/(I339/30)),0)</f>
        <v>11.047527618819046</v>
      </c>
      <c r="R339" s="72">
        <f t="shared" si="32"/>
        <v>11.047527618819046</v>
      </c>
      <c r="AC339"/>
      <c r="AD339"/>
      <c r="AE339"/>
      <c r="AF339"/>
      <c r="AG339"/>
      <c r="AH339"/>
      <c r="AI339"/>
      <c r="AJ339"/>
    </row>
    <row r="340" spans="1:36" ht="15">
      <c r="A340" s="352" t="str">
        <f t="shared" si="28"/>
        <v>430113490</v>
      </c>
      <c r="B340" s="509" t="s">
        <v>104</v>
      </c>
      <c r="C340" s="69" t="str">
        <f>_xlfn.XLOOKUP(B:B,Master!A:A,Master!B:B)</f>
        <v>RPSPL-PBN</v>
      </c>
      <c r="D340" s="509" t="s">
        <v>37</v>
      </c>
      <c r="E340" s="69" t="str">
        <f t="shared" si="29"/>
        <v>430113490</v>
      </c>
      <c r="F340" s="509" t="s">
        <v>38</v>
      </c>
      <c r="G340" s="70" t="str">
        <f>VLOOKUP(D340,Master!C:G,4,)</f>
        <v>NGL</v>
      </c>
      <c r="H340" s="69" t="str">
        <f>VLOOKUP(D340,Master!C:G,5,)</f>
        <v>UF-Dry</v>
      </c>
      <c r="I340" s="549">
        <v>4000</v>
      </c>
      <c r="J340" s="549">
        <v>2460</v>
      </c>
      <c r="K340" s="71">
        <f t="shared" si="30"/>
        <v>0.61499999999999999</v>
      </c>
      <c r="L340" s="549">
        <v>0</v>
      </c>
      <c r="M340" s="511"/>
      <c r="N340" s="549">
        <v>5490</v>
      </c>
      <c r="O340" s="549">
        <v>5490</v>
      </c>
      <c r="P340" s="72">
        <f t="shared" si="31"/>
        <v>-3950</v>
      </c>
      <c r="Q340" s="72">
        <f>IFERROR(IF(D340=20250,O340/(#REF!/30),O340/(I340/30)),0)</f>
        <v>41.174999999999997</v>
      </c>
      <c r="R340" s="72">
        <f t="shared" si="32"/>
        <v>41.174999999999997</v>
      </c>
      <c r="AC340"/>
      <c r="AD340"/>
      <c r="AE340"/>
      <c r="AF340"/>
      <c r="AG340"/>
      <c r="AH340"/>
      <c r="AI340"/>
      <c r="AJ340"/>
    </row>
    <row r="341" spans="1:36" ht="15">
      <c r="A341" s="352" t="str">
        <f t="shared" si="28"/>
        <v>430115300</v>
      </c>
      <c r="B341" s="509" t="s">
        <v>104</v>
      </c>
      <c r="C341" s="69" t="str">
        <f>_xlfn.XLOOKUP(B:B,Master!A:A,Master!B:B)</f>
        <v>RPSPL-PBN</v>
      </c>
      <c r="D341" s="509" t="s">
        <v>43</v>
      </c>
      <c r="E341" s="69" t="str">
        <f t="shared" si="29"/>
        <v>430115300</v>
      </c>
      <c r="F341" s="509" t="s">
        <v>44</v>
      </c>
      <c r="G341" s="70" t="str">
        <f>VLOOKUP(D341,Master!C:G,4,)</f>
        <v>NGL</v>
      </c>
      <c r="H341" s="69" t="str">
        <f>VLOOKUP(D341,Master!C:G,5,)</f>
        <v>UF-Dry</v>
      </c>
      <c r="I341" s="549">
        <v>189</v>
      </c>
      <c r="J341" s="549">
        <v>18</v>
      </c>
      <c r="K341" s="71">
        <f t="shared" si="30"/>
        <v>9.5238095238095233E-2</v>
      </c>
      <c r="L341" s="549">
        <v>0</v>
      </c>
      <c r="M341" s="511"/>
      <c r="N341" s="549">
        <v>198</v>
      </c>
      <c r="O341" s="549">
        <v>198</v>
      </c>
      <c r="P341" s="72">
        <f t="shared" si="31"/>
        <v>-27</v>
      </c>
      <c r="Q341" s="72">
        <f>IFERROR(IF(D341=20250,O341/(#REF!/30),O341/(I341/30)),0)</f>
        <v>31.428571428571431</v>
      </c>
      <c r="R341" s="72">
        <f t="shared" si="32"/>
        <v>31.428571428571431</v>
      </c>
      <c r="AC341"/>
      <c r="AD341"/>
      <c r="AE341"/>
      <c r="AF341"/>
      <c r="AG341"/>
      <c r="AH341"/>
      <c r="AI341"/>
      <c r="AJ341"/>
    </row>
    <row r="342" spans="1:36" ht="15">
      <c r="A342" s="352" t="str">
        <f t="shared" si="28"/>
        <v>430119690</v>
      </c>
      <c r="B342" s="509" t="s">
        <v>104</v>
      </c>
      <c r="C342" s="69" t="str">
        <f>_xlfn.XLOOKUP(B:B,Master!A:A,Master!B:B)</f>
        <v>RPSPL-PBN</v>
      </c>
      <c r="D342" s="509" t="s">
        <v>88</v>
      </c>
      <c r="E342" s="69" t="str">
        <f t="shared" si="29"/>
        <v>430119690</v>
      </c>
      <c r="F342" s="509" t="s">
        <v>89</v>
      </c>
      <c r="G342" s="70" t="str">
        <f>VLOOKUP(D342,Master!C:G,4,)</f>
        <v>NFL</v>
      </c>
      <c r="H342" s="69" t="str">
        <f>VLOOKUP(D342,Master!C:G,5,)</f>
        <v>OS - Dry</v>
      </c>
      <c r="I342" s="549">
        <v>72</v>
      </c>
      <c r="J342" s="549">
        <v>96</v>
      </c>
      <c r="K342" s="71">
        <f t="shared" si="30"/>
        <v>1.3333333333333333</v>
      </c>
      <c r="L342" s="549">
        <v>0</v>
      </c>
      <c r="M342" s="511"/>
      <c r="N342" s="549">
        <v>168</v>
      </c>
      <c r="O342" s="549">
        <v>168</v>
      </c>
      <c r="P342" s="72">
        <f t="shared" si="31"/>
        <v>-192</v>
      </c>
      <c r="Q342" s="72">
        <f>IFERROR(IF(D342=20250,O342/(#REF!/30),O342/(I342/30)),0)</f>
        <v>70</v>
      </c>
      <c r="R342" s="72">
        <f t="shared" si="32"/>
        <v>70</v>
      </c>
      <c r="AC342"/>
      <c r="AD342"/>
      <c r="AE342"/>
      <c r="AF342"/>
      <c r="AG342"/>
      <c r="AH342"/>
      <c r="AI342"/>
      <c r="AJ342"/>
    </row>
    <row r="343" spans="1:36" ht="15">
      <c r="A343" s="352" t="str">
        <f t="shared" si="28"/>
        <v>430120661</v>
      </c>
      <c r="B343" s="509" t="s">
        <v>104</v>
      </c>
      <c r="C343" s="69" t="str">
        <f>_xlfn.XLOOKUP(B:B,Master!A:A,Master!B:B)</f>
        <v>RPSPL-PBN</v>
      </c>
      <c r="D343" s="509" t="s">
        <v>167</v>
      </c>
      <c r="E343" s="69" t="str">
        <f t="shared" si="29"/>
        <v>430120661</v>
      </c>
      <c r="F343" s="509" t="s">
        <v>168</v>
      </c>
      <c r="G343" s="70" t="str">
        <f>VLOOKUP(D343,Master!C:G,4,)</f>
        <v>UHT-Chill</v>
      </c>
      <c r="H343" s="69" t="str">
        <f>VLOOKUP(D343,Master!C:G,5,)</f>
        <v>OS-Chill</v>
      </c>
      <c r="I343" s="549">
        <v>2035.92</v>
      </c>
      <c r="J343" s="549">
        <v>456</v>
      </c>
      <c r="K343" s="71">
        <f t="shared" si="30"/>
        <v>0.22397736649770128</v>
      </c>
      <c r="L343" s="549">
        <v>0</v>
      </c>
      <c r="M343" s="511"/>
      <c r="N343" s="549">
        <v>156</v>
      </c>
      <c r="O343" s="549">
        <v>156</v>
      </c>
      <c r="P343" s="72">
        <f t="shared" si="31"/>
        <v>1423.92</v>
      </c>
      <c r="Q343" s="72">
        <f>IFERROR(IF(D343=20250,O343/(#REF!/30),O343/(I343/30)),0)</f>
        <v>2.2987150772132501</v>
      </c>
      <c r="R343" s="72">
        <f t="shared" si="32"/>
        <v>2.2987150772132501</v>
      </c>
      <c r="AC343"/>
      <c r="AD343"/>
      <c r="AE343"/>
      <c r="AF343"/>
      <c r="AG343"/>
      <c r="AH343"/>
      <c r="AI343"/>
      <c r="AJ343"/>
    </row>
    <row r="344" spans="1:36" ht="15">
      <c r="A344" s="352" t="str">
        <f t="shared" si="28"/>
        <v>430123638</v>
      </c>
      <c r="B344" s="509" t="s">
        <v>104</v>
      </c>
      <c r="C344" s="69" t="str">
        <f>_xlfn.XLOOKUP(B:B,Master!A:A,Master!B:B)</f>
        <v>RPSPL-PBN</v>
      </c>
      <c r="D344" s="509" t="s">
        <v>198</v>
      </c>
      <c r="E344" s="69" t="str">
        <f t="shared" si="29"/>
        <v>430123638</v>
      </c>
      <c r="F344" s="509" t="s">
        <v>199</v>
      </c>
      <c r="G344" s="70" t="str">
        <f>VLOOKUP(D344,Master!C:G,4,)</f>
        <v>DD</v>
      </c>
      <c r="H344" s="69" t="str">
        <f>VLOOKUP(D344,Master!C:G,5,)</f>
        <v>OS - Dry</v>
      </c>
      <c r="I344" s="549">
        <v>14599.92</v>
      </c>
      <c r="J344" s="549">
        <v>4956</v>
      </c>
      <c r="K344" s="71">
        <f t="shared" si="30"/>
        <v>0.33945391481597159</v>
      </c>
      <c r="L344" s="549">
        <v>0</v>
      </c>
      <c r="M344" s="511"/>
      <c r="N344" s="549">
        <v>4056</v>
      </c>
      <c r="O344" s="549">
        <v>4056</v>
      </c>
      <c r="P344" s="72">
        <f t="shared" si="31"/>
        <v>5587.92</v>
      </c>
      <c r="Q344" s="72">
        <f>IFERROR(IF(D344=20250,O344/(#REF!/30),O344/(I344/30)),0)</f>
        <v>8.3342922426972201</v>
      </c>
      <c r="R344" s="72">
        <f t="shared" si="32"/>
        <v>8.3342922426972201</v>
      </c>
      <c r="AC344"/>
      <c r="AD344"/>
      <c r="AE344"/>
      <c r="AF344"/>
      <c r="AG344"/>
      <c r="AH344"/>
      <c r="AI344"/>
      <c r="AJ344"/>
    </row>
    <row r="345" spans="1:36" ht="15">
      <c r="A345" s="352" t="str">
        <f t="shared" si="28"/>
        <v>430125885</v>
      </c>
      <c r="B345" s="509" t="s">
        <v>104</v>
      </c>
      <c r="C345" s="69" t="str">
        <f>_xlfn.XLOOKUP(B:B,Master!A:A,Master!B:B)</f>
        <v>RPSPL-PBN</v>
      </c>
      <c r="D345" s="509" t="s">
        <v>1037</v>
      </c>
      <c r="E345" s="69" t="str">
        <f t="shared" si="29"/>
        <v>430125885</v>
      </c>
      <c r="F345" s="509" t="s">
        <v>1038</v>
      </c>
      <c r="G345" s="70" t="str">
        <f>VLOOKUP(D345,Master!C:G,4,)</f>
        <v>T&amp;I</v>
      </c>
      <c r="H345" s="69" t="str">
        <f>VLOOKUP(D345,Master!C:G,5,)</f>
        <v>T&amp;I EX UF</v>
      </c>
      <c r="I345" s="549">
        <v>1680</v>
      </c>
      <c r="J345" s="549">
        <v>336</v>
      </c>
      <c r="K345" s="71">
        <f t="shared" si="30"/>
        <v>0.2</v>
      </c>
      <c r="L345" s="549">
        <v>0</v>
      </c>
      <c r="M345" s="511"/>
      <c r="N345" s="549">
        <v>2544</v>
      </c>
      <c r="O345" s="549">
        <v>2544</v>
      </c>
      <c r="P345" s="72">
        <f t="shared" si="31"/>
        <v>-1200</v>
      </c>
      <c r="Q345" s="72">
        <f>IFERROR(IF(D345=20250,O345/(#REF!/30),O345/(I345/30)),0)</f>
        <v>45.428571428571431</v>
      </c>
      <c r="R345" s="72">
        <f t="shared" si="32"/>
        <v>45.428571428571431</v>
      </c>
      <c r="AC345"/>
      <c r="AD345"/>
      <c r="AE345"/>
      <c r="AF345"/>
      <c r="AG345"/>
      <c r="AH345"/>
      <c r="AI345"/>
      <c r="AJ345"/>
    </row>
    <row r="346" spans="1:36" ht="15">
      <c r="A346" s="352" t="str">
        <f t="shared" si="28"/>
        <v>430126193</v>
      </c>
      <c r="B346" s="509" t="s">
        <v>104</v>
      </c>
      <c r="C346" s="69" t="str">
        <f>_xlfn.XLOOKUP(B:B,Master!A:A,Master!B:B)</f>
        <v>RPSPL-PBN</v>
      </c>
      <c r="D346" s="509" t="s">
        <v>1194</v>
      </c>
      <c r="E346" s="69" t="str">
        <f t="shared" si="29"/>
        <v>430126193</v>
      </c>
      <c r="F346" s="509" t="s">
        <v>1225</v>
      </c>
      <c r="G346" s="70" t="str">
        <f>VLOOKUP(D346,Master!C:G,4,)</f>
        <v>DD</v>
      </c>
      <c r="H346" s="69" t="str">
        <f>VLOOKUP(D346,Master!C:G,5,)</f>
        <v>OS - Dry</v>
      </c>
      <c r="I346" s="549">
        <v>0</v>
      </c>
      <c r="J346" s="549">
        <v>360</v>
      </c>
      <c r="K346" s="71">
        <f t="shared" si="30"/>
        <v>0</v>
      </c>
      <c r="L346" s="549">
        <v>0</v>
      </c>
      <c r="M346" s="511"/>
      <c r="N346" s="549">
        <v>0</v>
      </c>
      <c r="O346" s="549">
        <v>0</v>
      </c>
      <c r="P346" s="72">
        <f t="shared" si="31"/>
        <v>-360</v>
      </c>
      <c r="Q346" s="72">
        <f>IFERROR(IF(D346=20250,O346/(#REF!/30),O346/(I346/30)),0)</f>
        <v>0</v>
      </c>
      <c r="R346" s="72">
        <f t="shared" si="32"/>
        <v>0</v>
      </c>
      <c r="AC346"/>
      <c r="AD346"/>
      <c r="AE346"/>
      <c r="AF346"/>
      <c r="AG346"/>
      <c r="AH346"/>
      <c r="AI346"/>
      <c r="AJ346"/>
    </row>
    <row r="347" spans="1:36" ht="15">
      <c r="A347" s="352" t="str">
        <f t="shared" si="28"/>
        <v>430126234</v>
      </c>
      <c r="B347" s="509" t="s">
        <v>104</v>
      </c>
      <c r="C347" s="69" t="str">
        <f>_xlfn.XLOOKUP(B:B,Master!A:A,Master!B:B)</f>
        <v>RPSPL-PBN</v>
      </c>
      <c r="D347" s="509" t="s">
        <v>1176</v>
      </c>
      <c r="E347" s="69" t="str">
        <f t="shared" si="29"/>
        <v>430126234</v>
      </c>
      <c r="F347" s="509" t="s">
        <v>1182</v>
      </c>
      <c r="G347" s="70" t="str">
        <f>VLOOKUP(D347,Master!C:G,4,)</f>
        <v>T&amp;I</v>
      </c>
      <c r="H347" s="69" t="str">
        <f>VLOOKUP(D347,Master!C:G,5,)</f>
        <v>T&amp;I EX UF</v>
      </c>
      <c r="I347" s="549">
        <v>36</v>
      </c>
      <c r="J347" s="549">
        <v>0</v>
      </c>
      <c r="K347" s="71">
        <f t="shared" si="30"/>
        <v>0</v>
      </c>
      <c r="L347" s="549">
        <v>0</v>
      </c>
      <c r="M347" s="511"/>
      <c r="N347" s="549">
        <v>924</v>
      </c>
      <c r="O347" s="549">
        <v>924</v>
      </c>
      <c r="P347" s="72">
        <f t="shared" si="31"/>
        <v>-888</v>
      </c>
      <c r="Q347" s="72">
        <f>IFERROR(IF(D347=20250,O347/(#REF!/30),O347/(I347/30)),0)</f>
        <v>770</v>
      </c>
      <c r="R347" s="72">
        <f t="shared" si="32"/>
        <v>770</v>
      </c>
      <c r="AC347"/>
      <c r="AD347"/>
      <c r="AE347"/>
      <c r="AF347"/>
      <c r="AG347"/>
      <c r="AH347"/>
      <c r="AI347"/>
      <c r="AJ347"/>
    </row>
    <row r="348" spans="1:36" ht="15">
      <c r="A348" s="352" t="str">
        <f t="shared" si="28"/>
        <v>430104145</v>
      </c>
      <c r="B348" s="509" t="s">
        <v>104</v>
      </c>
      <c r="C348" s="69" t="str">
        <f>_xlfn.XLOOKUP(B:B,Master!A:A,Master!B:B)</f>
        <v>RPSPL-PBN</v>
      </c>
      <c r="D348" s="509" t="s">
        <v>34</v>
      </c>
      <c r="E348" s="69" t="str">
        <f t="shared" si="29"/>
        <v>430104145</v>
      </c>
      <c r="F348" s="509" t="s">
        <v>35</v>
      </c>
      <c r="G348" s="70" t="str">
        <f>VLOOKUP(D348,Master!C:G,4,)</f>
        <v>NGL</v>
      </c>
      <c r="H348" s="69" t="str">
        <f>VLOOKUP(D348,Master!C:G,5,)</f>
        <v>UF-Dry</v>
      </c>
      <c r="I348" s="549">
        <v>180</v>
      </c>
      <c r="J348" s="549">
        <v>72</v>
      </c>
      <c r="K348" s="71">
        <f t="shared" si="30"/>
        <v>0.4</v>
      </c>
      <c r="L348" s="549">
        <v>0</v>
      </c>
      <c r="M348" s="511"/>
      <c r="N348" s="549">
        <v>297</v>
      </c>
      <c r="O348" s="549">
        <v>297</v>
      </c>
      <c r="P348" s="72">
        <f t="shared" si="31"/>
        <v>-189</v>
      </c>
      <c r="Q348" s="72">
        <f>IFERROR(IF(D348=20250,O348/(#REF!/30),O348/(I348/30)),0)</f>
        <v>49.5</v>
      </c>
      <c r="R348" s="72">
        <f t="shared" si="32"/>
        <v>49.5</v>
      </c>
      <c r="AC348"/>
      <c r="AD348"/>
      <c r="AE348"/>
      <c r="AF348"/>
      <c r="AG348"/>
      <c r="AH348"/>
      <c r="AI348"/>
      <c r="AJ348"/>
    </row>
    <row r="349" spans="1:36" ht="15">
      <c r="A349" s="352" t="str">
        <f t="shared" si="28"/>
        <v>430114248</v>
      </c>
      <c r="B349" s="509" t="s">
        <v>104</v>
      </c>
      <c r="C349" s="69" t="str">
        <f>_xlfn.XLOOKUP(B:B,Master!A:A,Master!B:B)</f>
        <v>RPSPL-PBN</v>
      </c>
      <c r="D349" s="509" t="s">
        <v>41</v>
      </c>
      <c r="E349" s="69" t="str">
        <f t="shared" si="29"/>
        <v>430114248</v>
      </c>
      <c r="F349" s="509" t="s">
        <v>42</v>
      </c>
      <c r="G349" s="70" t="str">
        <f>VLOOKUP(D349,Master!C:G,4,)</f>
        <v>NGL</v>
      </c>
      <c r="H349" s="69" t="str">
        <f>VLOOKUP(D349,Master!C:G,5,)</f>
        <v>UF-Dry</v>
      </c>
      <c r="I349" s="549">
        <v>1070</v>
      </c>
      <c r="J349" s="549">
        <v>890</v>
      </c>
      <c r="K349" s="71">
        <f t="shared" si="30"/>
        <v>0.83177570093457942</v>
      </c>
      <c r="L349" s="549">
        <v>0</v>
      </c>
      <c r="M349" s="511"/>
      <c r="N349" s="549">
        <v>420</v>
      </c>
      <c r="O349" s="549">
        <v>420</v>
      </c>
      <c r="P349" s="72">
        <f t="shared" si="31"/>
        <v>-240</v>
      </c>
      <c r="Q349" s="72">
        <f>IFERROR(IF(D349=20250,O349/(#REF!/30),O349/(I349/30)),0)</f>
        <v>11.77570093457944</v>
      </c>
      <c r="R349" s="72">
        <f t="shared" si="32"/>
        <v>11.77570093457944</v>
      </c>
      <c r="AC349"/>
      <c r="AD349"/>
      <c r="AE349"/>
      <c r="AF349"/>
      <c r="AG349"/>
      <c r="AH349"/>
      <c r="AI349"/>
      <c r="AJ349"/>
    </row>
    <row r="350" spans="1:36" ht="15">
      <c r="A350" s="352" t="str">
        <f t="shared" si="28"/>
        <v>430115305</v>
      </c>
      <c r="B350" s="509" t="s">
        <v>104</v>
      </c>
      <c r="C350" s="69" t="str">
        <f>_xlfn.XLOOKUP(B:B,Master!A:A,Master!B:B)</f>
        <v>RPSPL-PBN</v>
      </c>
      <c r="D350" s="509" t="s">
        <v>45</v>
      </c>
      <c r="E350" s="69" t="str">
        <f t="shared" si="29"/>
        <v>430115305</v>
      </c>
      <c r="F350" s="509" t="s">
        <v>46</v>
      </c>
      <c r="G350" s="70" t="str">
        <f>VLOOKUP(D350,Master!C:G,4,)</f>
        <v>NGL</v>
      </c>
      <c r="H350" s="69" t="str">
        <f>VLOOKUP(D350,Master!C:G,5,)</f>
        <v>UF-Dry</v>
      </c>
      <c r="I350" s="549">
        <v>18</v>
      </c>
      <c r="J350" s="549">
        <v>45</v>
      </c>
      <c r="K350" s="71">
        <f t="shared" si="30"/>
        <v>2.5</v>
      </c>
      <c r="L350" s="549">
        <v>0</v>
      </c>
      <c r="M350" s="511"/>
      <c r="N350" s="549">
        <v>198</v>
      </c>
      <c r="O350" s="549">
        <v>198</v>
      </c>
      <c r="P350" s="72">
        <f t="shared" si="31"/>
        <v>-225</v>
      </c>
      <c r="Q350" s="72">
        <f>IFERROR(IF(D350=20250,O350/(#REF!/30),O350/(I350/30)),0)</f>
        <v>330</v>
      </c>
      <c r="R350" s="72">
        <f t="shared" si="32"/>
        <v>330</v>
      </c>
      <c r="AC350"/>
      <c r="AD350"/>
      <c r="AE350"/>
      <c r="AF350"/>
      <c r="AG350"/>
      <c r="AH350"/>
      <c r="AI350"/>
      <c r="AJ350"/>
    </row>
    <row r="351" spans="1:36" ht="15">
      <c r="A351" s="352" t="str">
        <f t="shared" si="28"/>
        <v>430115312</v>
      </c>
      <c r="B351" s="509" t="s">
        <v>104</v>
      </c>
      <c r="C351" s="69" t="str">
        <f>_xlfn.XLOOKUP(B:B,Master!A:A,Master!B:B)</f>
        <v>RPSPL-PBN</v>
      </c>
      <c r="D351" s="509" t="s">
        <v>47</v>
      </c>
      <c r="E351" s="69" t="str">
        <f t="shared" si="29"/>
        <v>430115312</v>
      </c>
      <c r="F351" s="509" t="s">
        <v>48</v>
      </c>
      <c r="G351" s="70" t="str">
        <f>VLOOKUP(D351,Master!C:G,4,)</f>
        <v>NGL</v>
      </c>
      <c r="H351" s="69" t="str">
        <f>VLOOKUP(D351,Master!C:G,5,)</f>
        <v>UF-Dry</v>
      </c>
      <c r="I351" s="549">
        <v>36</v>
      </c>
      <c r="J351" s="549">
        <v>36</v>
      </c>
      <c r="K351" s="71">
        <f t="shared" si="30"/>
        <v>1</v>
      </c>
      <c r="L351" s="549">
        <v>0</v>
      </c>
      <c r="M351" s="511"/>
      <c r="N351" s="549">
        <v>369</v>
      </c>
      <c r="O351" s="549">
        <v>369</v>
      </c>
      <c r="P351" s="72">
        <f t="shared" si="31"/>
        <v>-369</v>
      </c>
      <c r="Q351" s="72">
        <f>IFERROR(IF(D351=20250,O351/(#REF!/30),O351/(I351/30)),0)</f>
        <v>307.5</v>
      </c>
      <c r="R351" s="72">
        <f t="shared" si="32"/>
        <v>307.5</v>
      </c>
      <c r="AC351"/>
      <c r="AD351"/>
      <c r="AE351"/>
      <c r="AF351"/>
      <c r="AG351"/>
      <c r="AH351"/>
      <c r="AI351"/>
      <c r="AJ351"/>
    </row>
    <row r="352" spans="1:36" ht="15">
      <c r="A352" s="352" t="str">
        <f t="shared" si="28"/>
        <v>430116407</v>
      </c>
      <c r="B352" s="509" t="s">
        <v>104</v>
      </c>
      <c r="C352" s="69" t="str">
        <f>_xlfn.XLOOKUP(B:B,Master!A:A,Master!B:B)</f>
        <v>RPSPL-PBN</v>
      </c>
      <c r="D352" s="509" t="s">
        <v>49</v>
      </c>
      <c r="E352" s="69" t="str">
        <f t="shared" si="29"/>
        <v>430116407</v>
      </c>
      <c r="F352" s="509" t="s">
        <v>50</v>
      </c>
      <c r="G352" s="70" t="str">
        <f>VLOOKUP(D352,Master!C:G,4,)</f>
        <v>NGL</v>
      </c>
      <c r="H352" s="69" t="str">
        <f>VLOOKUP(D352,Master!C:G,5,)</f>
        <v>UF-Dry</v>
      </c>
      <c r="I352" s="549">
        <v>468</v>
      </c>
      <c r="J352" s="549">
        <v>369</v>
      </c>
      <c r="K352" s="71">
        <f t="shared" si="30"/>
        <v>0.78846153846153844</v>
      </c>
      <c r="L352" s="549">
        <v>0</v>
      </c>
      <c r="M352" s="511"/>
      <c r="N352" s="549">
        <v>540</v>
      </c>
      <c r="O352" s="549">
        <v>540</v>
      </c>
      <c r="P352" s="72">
        <f t="shared" si="31"/>
        <v>-441</v>
      </c>
      <c r="Q352" s="72">
        <f>IFERROR(IF(D352=20250,O352/(#REF!/30),O352/(I352/30)),0)</f>
        <v>34.615384615384613</v>
      </c>
      <c r="R352" s="72">
        <f t="shared" si="32"/>
        <v>34.615384615384613</v>
      </c>
      <c r="AC352"/>
      <c r="AD352"/>
      <c r="AE352"/>
      <c r="AF352"/>
      <c r="AG352"/>
      <c r="AH352"/>
      <c r="AI352"/>
      <c r="AJ352"/>
    </row>
    <row r="353" spans="1:36" ht="15">
      <c r="A353" s="352" t="str">
        <f t="shared" si="28"/>
        <v>430100189</v>
      </c>
      <c r="B353" s="509" t="s">
        <v>104</v>
      </c>
      <c r="C353" s="69" t="str">
        <f>_xlfn.XLOOKUP(B:B,Master!A:A,Master!B:B)</f>
        <v>RPSPL-PBN</v>
      </c>
      <c r="D353" s="509" t="s">
        <v>51</v>
      </c>
      <c r="E353" s="69" t="str">
        <f t="shared" si="29"/>
        <v>430100189</v>
      </c>
      <c r="F353" s="509" t="s">
        <v>903</v>
      </c>
      <c r="G353" s="70" t="str">
        <f>VLOOKUP(D353,Master!C:G,4,)</f>
        <v>T&amp;I</v>
      </c>
      <c r="H353" s="69" t="str">
        <f>VLOOKUP(D353,Master!C:G,5,)</f>
        <v>T&amp;I Comm-UF</v>
      </c>
      <c r="I353" s="549">
        <v>119058.6</v>
      </c>
      <c r="J353" s="549">
        <v>57048</v>
      </c>
      <c r="K353" s="71">
        <f t="shared" si="30"/>
        <v>0.47915900237362102</v>
      </c>
      <c r="L353" s="549">
        <v>0</v>
      </c>
      <c r="M353" s="511"/>
      <c r="N353" s="549">
        <v>62904</v>
      </c>
      <c r="O353" s="549">
        <v>62904</v>
      </c>
      <c r="P353" s="72">
        <f t="shared" si="31"/>
        <v>-893.39999999999418</v>
      </c>
      <c r="Q353" s="72">
        <f>IFERROR(IF(D353=20250,O353/(#REF!/30),O353/(I353/30)),0)</f>
        <v>15.850345964088271</v>
      </c>
      <c r="R353" s="72">
        <f t="shared" si="32"/>
        <v>15.850345964088271</v>
      </c>
      <c r="AC353"/>
      <c r="AD353"/>
      <c r="AE353"/>
      <c r="AF353"/>
      <c r="AG353"/>
      <c r="AH353"/>
      <c r="AI353"/>
      <c r="AJ353"/>
    </row>
    <row r="354" spans="1:36" ht="15">
      <c r="A354" s="352" t="str">
        <f t="shared" si="28"/>
        <v>430101167</v>
      </c>
      <c r="B354" s="509" t="s">
        <v>104</v>
      </c>
      <c r="C354" s="69" t="str">
        <f>_xlfn.XLOOKUP(B:B,Master!A:A,Master!B:B)</f>
        <v>RPSPL-PBN</v>
      </c>
      <c r="D354" s="509" t="s">
        <v>53</v>
      </c>
      <c r="E354" s="69" t="str">
        <f t="shared" si="29"/>
        <v>430101167</v>
      </c>
      <c r="F354" s="509" t="s">
        <v>54</v>
      </c>
      <c r="G354" s="70" t="str">
        <f>VLOOKUP(D354,Master!C:G,4,)</f>
        <v>T&amp;I</v>
      </c>
      <c r="H354" s="69" t="str">
        <f>VLOOKUP(D354,Master!C:G,5,)</f>
        <v>T&amp;I EX UF</v>
      </c>
      <c r="I354" s="549">
        <v>6721.92</v>
      </c>
      <c r="J354" s="549">
        <v>8040</v>
      </c>
      <c r="K354" s="71">
        <f t="shared" si="30"/>
        <v>1.1960868323336189</v>
      </c>
      <c r="L354" s="549">
        <v>0</v>
      </c>
      <c r="M354" s="511"/>
      <c r="N354" s="549">
        <v>4704</v>
      </c>
      <c r="O354" s="549">
        <v>4704</v>
      </c>
      <c r="P354" s="72">
        <f t="shared" si="31"/>
        <v>-6022.08</v>
      </c>
      <c r="Q354" s="72">
        <f>IFERROR(IF(D354=20250,O354/(#REF!/30),O354/(I354/30)),0)</f>
        <v>20.99400171379606</v>
      </c>
      <c r="R354" s="72">
        <f t="shared" si="32"/>
        <v>20.99400171379606</v>
      </c>
      <c r="AC354"/>
      <c r="AD354"/>
      <c r="AE354"/>
      <c r="AF354"/>
      <c r="AG354"/>
      <c r="AH354"/>
      <c r="AI354"/>
      <c r="AJ354"/>
    </row>
    <row r="355" spans="1:36" ht="15">
      <c r="A355" s="352" t="str">
        <f t="shared" si="28"/>
        <v>430101296</v>
      </c>
      <c r="B355" s="509" t="s">
        <v>104</v>
      </c>
      <c r="C355" s="69" t="str">
        <f>_xlfn.XLOOKUP(B:B,Master!A:A,Master!B:B)</f>
        <v>RPSPL-PBN</v>
      </c>
      <c r="D355" s="509" t="s">
        <v>15</v>
      </c>
      <c r="E355" s="69" t="str">
        <f t="shared" si="29"/>
        <v>430101296</v>
      </c>
      <c r="F355" s="509" t="s">
        <v>16</v>
      </c>
      <c r="G355" s="70" t="str">
        <f>VLOOKUP(D355,Master!C:G,4,)</f>
        <v>T&amp;I</v>
      </c>
      <c r="H355" s="69" t="str">
        <f>VLOOKUP(D355,Master!C:G,5,)</f>
        <v>T&amp;I EX HP 2 KG</v>
      </c>
      <c r="I355" s="549">
        <v>3128.64</v>
      </c>
      <c r="J355" s="549">
        <v>1848</v>
      </c>
      <c r="K355" s="71">
        <f t="shared" si="30"/>
        <v>0.59067198527155573</v>
      </c>
      <c r="L355" s="549">
        <v>0</v>
      </c>
      <c r="M355" s="511"/>
      <c r="N355" s="549">
        <v>1992</v>
      </c>
      <c r="O355" s="549">
        <v>1992</v>
      </c>
      <c r="P355" s="72">
        <f t="shared" si="31"/>
        <v>-711.36000000000013</v>
      </c>
      <c r="Q355" s="72">
        <f>IFERROR(IF(D355=20250,O355/(#REF!/30),O355/(I355/30)),0)</f>
        <v>19.100951212028232</v>
      </c>
      <c r="R355" s="72">
        <f t="shared" si="32"/>
        <v>19.100951212028232</v>
      </c>
      <c r="AC355"/>
      <c r="AD355"/>
      <c r="AE355"/>
      <c r="AF355"/>
      <c r="AG355"/>
      <c r="AH355"/>
      <c r="AI355"/>
      <c r="AJ355"/>
    </row>
    <row r="356" spans="1:36" ht="15">
      <c r="A356" s="352" t="str">
        <f t="shared" si="28"/>
        <v>430102122</v>
      </c>
      <c r="B356" s="509" t="s">
        <v>104</v>
      </c>
      <c r="C356" s="69" t="str">
        <f>_xlfn.XLOOKUP(B:B,Master!A:A,Master!B:B)</f>
        <v>RPSPL-PBN</v>
      </c>
      <c r="D356" s="509" t="s">
        <v>55</v>
      </c>
      <c r="E356" s="69" t="str">
        <f t="shared" si="29"/>
        <v>430102122</v>
      </c>
      <c r="F356" s="509" t="s">
        <v>56</v>
      </c>
      <c r="G356" s="70" t="str">
        <f>VLOOKUP(D356,Master!C:G,4,)</f>
        <v>T&amp;I</v>
      </c>
      <c r="H356" s="69" t="str">
        <f>VLOOKUP(D356,Master!C:G,5,)</f>
        <v>T&amp;I EX HP 2 KG</v>
      </c>
      <c r="I356" s="549">
        <v>15000</v>
      </c>
      <c r="J356" s="549">
        <v>14292</v>
      </c>
      <c r="K356" s="71">
        <f t="shared" si="30"/>
        <v>0.95279999999999998</v>
      </c>
      <c r="L356" s="549">
        <v>0</v>
      </c>
      <c r="M356" s="511"/>
      <c r="N356" s="549">
        <v>111576</v>
      </c>
      <c r="O356" s="549">
        <v>111576</v>
      </c>
      <c r="P356" s="72">
        <f t="shared" si="31"/>
        <v>-110868</v>
      </c>
      <c r="Q356" s="72">
        <f>IFERROR(IF(D356=20250,O356/(#REF!/30),O356/(I356/30)),0)</f>
        <v>223.15199999999999</v>
      </c>
      <c r="R356" s="72">
        <f t="shared" si="32"/>
        <v>223.15199999999999</v>
      </c>
      <c r="AC356"/>
      <c r="AD356"/>
      <c r="AE356"/>
      <c r="AF356"/>
      <c r="AG356"/>
      <c r="AH356"/>
      <c r="AI356"/>
      <c r="AJ356"/>
    </row>
    <row r="357" spans="1:36" ht="15">
      <c r="A357" s="352" t="str">
        <f t="shared" si="28"/>
        <v>430105159</v>
      </c>
      <c r="B357" s="509" t="s">
        <v>104</v>
      </c>
      <c r="C357" s="69" t="str">
        <f>_xlfn.XLOOKUP(B:B,Master!A:A,Master!B:B)</f>
        <v>RPSPL-PBN</v>
      </c>
      <c r="D357" s="509" t="s">
        <v>57</v>
      </c>
      <c r="E357" s="69" t="str">
        <f t="shared" si="29"/>
        <v>430105159</v>
      </c>
      <c r="F357" s="509" t="s">
        <v>58</v>
      </c>
      <c r="G357" s="70" t="str">
        <f>VLOOKUP(D357,Master!C:G,4,)</f>
        <v>T&amp;I</v>
      </c>
      <c r="H357" s="69" t="str">
        <f>VLOOKUP(D357,Master!C:G,5,)</f>
        <v>T&amp;I EX HP</v>
      </c>
      <c r="I357" s="549">
        <v>0</v>
      </c>
      <c r="J357" s="549">
        <v>0</v>
      </c>
      <c r="K357" s="71">
        <f t="shared" si="30"/>
        <v>0</v>
      </c>
      <c r="L357" s="549">
        <v>0</v>
      </c>
      <c r="M357" s="511"/>
      <c r="N357" s="549">
        <v>15036</v>
      </c>
      <c r="O357" s="549">
        <v>15036</v>
      </c>
      <c r="P357" s="72">
        <f t="shared" si="31"/>
        <v>-15036</v>
      </c>
      <c r="Q357" s="72">
        <f>IFERROR(IF(D357=20250,O357/(#REF!/30),O357/(I357/30)),0)</f>
        <v>0</v>
      </c>
      <c r="R357" s="72">
        <f t="shared" si="32"/>
        <v>0</v>
      </c>
      <c r="AC357"/>
      <c r="AD357"/>
      <c r="AE357"/>
      <c r="AF357"/>
      <c r="AG357"/>
      <c r="AH357"/>
      <c r="AI357"/>
      <c r="AJ357"/>
    </row>
    <row r="358" spans="1:36" ht="15">
      <c r="A358" s="352" t="str">
        <f t="shared" si="28"/>
        <v>430106982</v>
      </c>
      <c r="B358" s="509" t="s">
        <v>104</v>
      </c>
      <c r="C358" s="69" t="str">
        <f>_xlfn.XLOOKUP(B:B,Master!A:A,Master!B:B)</f>
        <v>RPSPL-PBN</v>
      </c>
      <c r="D358" s="509" t="s">
        <v>59</v>
      </c>
      <c r="E358" s="69" t="str">
        <f t="shared" si="29"/>
        <v>430106982</v>
      </c>
      <c r="F358" s="509" t="s">
        <v>60</v>
      </c>
      <c r="G358" s="70" t="str">
        <f>VLOOKUP(D358,Master!C:G,4,)</f>
        <v>T&amp;I</v>
      </c>
      <c r="H358" s="69" t="str">
        <f>VLOOKUP(D358,Master!C:G,5,)</f>
        <v>T&amp;I Comm-UF</v>
      </c>
      <c r="I358" s="549">
        <v>3120</v>
      </c>
      <c r="J358" s="549">
        <v>2928</v>
      </c>
      <c r="K358" s="71">
        <f t="shared" si="30"/>
        <v>0.93846153846153846</v>
      </c>
      <c r="L358" s="549">
        <v>504</v>
      </c>
      <c r="M358" s="511">
        <v>46164</v>
      </c>
      <c r="N358" s="549">
        <v>1332</v>
      </c>
      <c r="O358" s="549">
        <v>1836</v>
      </c>
      <c r="P358" s="72">
        <f t="shared" si="31"/>
        <v>-1644</v>
      </c>
      <c r="Q358" s="72">
        <f>IFERROR(IF(D358=20250,O358/(#REF!/30),O358/(I358/30)),0)</f>
        <v>17.653846153846153</v>
      </c>
      <c r="R358" s="72">
        <f t="shared" si="32"/>
        <v>12.807692307692308</v>
      </c>
      <c r="AC358"/>
      <c r="AD358"/>
      <c r="AE358"/>
      <c r="AF358"/>
      <c r="AG358"/>
      <c r="AH358"/>
      <c r="AI358"/>
      <c r="AJ358"/>
    </row>
    <row r="359" spans="1:36" ht="15">
      <c r="A359" s="352" t="str">
        <f t="shared" si="28"/>
        <v>430107310</v>
      </c>
      <c r="B359" s="509" t="s">
        <v>104</v>
      </c>
      <c r="C359" s="69" t="str">
        <f>_xlfn.XLOOKUP(B:B,Master!A:A,Master!B:B)</f>
        <v>RPSPL-PBN</v>
      </c>
      <c r="D359" s="509" t="s">
        <v>19</v>
      </c>
      <c r="E359" s="69" t="str">
        <f t="shared" si="29"/>
        <v>430107310</v>
      </c>
      <c r="F359" s="509" t="s">
        <v>20</v>
      </c>
      <c r="G359" s="70" t="str">
        <f>VLOOKUP(D359,Master!C:G,4,)</f>
        <v>T&amp;I</v>
      </c>
      <c r="H359" s="69" t="str">
        <f>VLOOKUP(D359,Master!C:G,5,)</f>
        <v>T&amp;I Comm -HP</v>
      </c>
      <c r="I359" s="549">
        <v>62964.84</v>
      </c>
      <c r="J359" s="549">
        <v>41328</v>
      </c>
      <c r="K359" s="71">
        <f t="shared" si="30"/>
        <v>0.65636631491480013</v>
      </c>
      <c r="L359" s="549">
        <v>0</v>
      </c>
      <c r="M359" s="511"/>
      <c r="N359" s="549">
        <v>94944</v>
      </c>
      <c r="O359" s="549">
        <v>94944</v>
      </c>
      <c r="P359" s="72">
        <f t="shared" si="31"/>
        <v>-73307.16</v>
      </c>
      <c r="Q359" s="72">
        <f>IFERROR(IF(D359=20250,O359/(#REF!/30),O359/(I359/30)),0)</f>
        <v>45.236674944302251</v>
      </c>
      <c r="R359" s="72">
        <f t="shared" si="32"/>
        <v>45.236674944302251</v>
      </c>
      <c r="AC359"/>
      <c r="AD359"/>
      <c r="AE359"/>
      <c r="AF359"/>
      <c r="AG359"/>
      <c r="AH359"/>
      <c r="AI359"/>
      <c r="AJ359"/>
    </row>
    <row r="360" spans="1:36" ht="15">
      <c r="A360" s="352" t="str">
        <f t="shared" si="28"/>
        <v>430108529</v>
      </c>
      <c r="B360" s="509" t="s">
        <v>104</v>
      </c>
      <c r="C360" s="69" t="str">
        <f>_xlfn.XLOOKUP(B:B,Master!A:A,Master!B:B)</f>
        <v>RPSPL-PBN</v>
      </c>
      <c r="D360" s="509" t="s">
        <v>61</v>
      </c>
      <c r="E360" s="69" t="str">
        <f t="shared" si="29"/>
        <v>430108529</v>
      </c>
      <c r="F360" s="509" t="s">
        <v>62</v>
      </c>
      <c r="G360" s="70" t="str">
        <f>VLOOKUP(D360,Master!C:G,4,)</f>
        <v>T&amp;I</v>
      </c>
      <c r="H360" s="69" t="str">
        <f>VLOOKUP(D360,Master!C:G,5,)</f>
        <v>T&amp;I EX HP 2 KG</v>
      </c>
      <c r="I360" s="549">
        <v>20182.560000000001</v>
      </c>
      <c r="J360" s="549">
        <v>9804</v>
      </c>
      <c r="K360" s="71">
        <f t="shared" si="30"/>
        <v>0.48576592860370532</v>
      </c>
      <c r="L360" s="549">
        <v>0</v>
      </c>
      <c r="M360" s="511"/>
      <c r="N360" s="549">
        <v>23580</v>
      </c>
      <c r="O360" s="549">
        <v>23580</v>
      </c>
      <c r="P360" s="72">
        <f t="shared" si="31"/>
        <v>-13201.439999999999</v>
      </c>
      <c r="Q360" s="72">
        <f>IFERROR(IF(D360=20250,O360/(#REF!/30),O360/(I360/30)),0)</f>
        <v>35.05006302471044</v>
      </c>
      <c r="R360" s="72">
        <f t="shared" si="32"/>
        <v>35.05006302471044</v>
      </c>
      <c r="AC360"/>
      <c r="AD360"/>
      <c r="AE360"/>
      <c r="AF360"/>
      <c r="AG360"/>
      <c r="AH360"/>
      <c r="AI360"/>
      <c r="AJ360"/>
    </row>
    <row r="361" spans="1:36" ht="15">
      <c r="A361" s="352" t="str">
        <f t="shared" si="28"/>
        <v>430113179</v>
      </c>
      <c r="B361" s="509" t="s">
        <v>104</v>
      </c>
      <c r="C361" s="69" t="str">
        <f>_xlfn.XLOOKUP(B:B,Master!A:A,Master!B:B)</f>
        <v>RPSPL-PBN</v>
      </c>
      <c r="D361" s="509" t="s">
        <v>22</v>
      </c>
      <c r="E361" s="69" t="str">
        <f t="shared" si="29"/>
        <v>430113179</v>
      </c>
      <c r="F361" s="509" t="s">
        <v>23</v>
      </c>
      <c r="G361" s="70" t="str">
        <f>VLOOKUP(D361,Master!C:G,4,)</f>
        <v>T&amp;I</v>
      </c>
      <c r="H361" s="69" t="str">
        <f>VLOOKUP(D361,Master!C:G,5,)</f>
        <v>T&amp;I EX HP 2 KG</v>
      </c>
      <c r="I361" s="549">
        <v>77199.960000000006</v>
      </c>
      <c r="J361" s="549">
        <v>62748</v>
      </c>
      <c r="K361" s="71">
        <f t="shared" si="30"/>
        <v>0.81279834860018052</v>
      </c>
      <c r="L361" s="549">
        <v>13296</v>
      </c>
      <c r="M361" s="511">
        <v>46166</v>
      </c>
      <c r="N361" s="549">
        <v>88380</v>
      </c>
      <c r="O361" s="549">
        <v>101676</v>
      </c>
      <c r="P361" s="72">
        <f t="shared" si="31"/>
        <v>-87224.04</v>
      </c>
      <c r="Q361" s="72">
        <f>IFERROR(IF(D361=20250,O361/(#REF!/30),O361/(I361/30)),0)</f>
        <v>39.511419435968612</v>
      </c>
      <c r="R361" s="72">
        <f t="shared" si="32"/>
        <v>34.344577380610041</v>
      </c>
      <c r="AC361"/>
      <c r="AD361"/>
      <c r="AE361"/>
      <c r="AF361"/>
      <c r="AG361"/>
      <c r="AH361"/>
      <c r="AI361"/>
      <c r="AJ361"/>
    </row>
    <row r="362" spans="1:36" ht="15">
      <c r="A362" s="352" t="str">
        <f t="shared" si="28"/>
        <v>430113678</v>
      </c>
      <c r="B362" s="509" t="s">
        <v>104</v>
      </c>
      <c r="C362" s="69" t="str">
        <f>_xlfn.XLOOKUP(B:B,Master!A:A,Master!B:B)</f>
        <v>RPSPL-PBN</v>
      </c>
      <c r="D362" s="509" t="s">
        <v>65</v>
      </c>
      <c r="E362" s="69" t="str">
        <f t="shared" si="29"/>
        <v>430113678</v>
      </c>
      <c r="F362" s="509" t="s">
        <v>66</v>
      </c>
      <c r="G362" s="70" t="str">
        <f>VLOOKUP(D362,Master!C:G,4,)</f>
        <v>T&amp;I</v>
      </c>
      <c r="H362" s="69" t="str">
        <f>VLOOKUP(D362,Master!C:G,5,)</f>
        <v>T&amp;I EX HP</v>
      </c>
      <c r="I362" s="549">
        <v>14179.92</v>
      </c>
      <c r="J362" s="549">
        <v>8184</v>
      </c>
      <c r="K362" s="71">
        <f t="shared" si="30"/>
        <v>0.57715417294314775</v>
      </c>
      <c r="L362" s="549">
        <v>0</v>
      </c>
      <c r="M362" s="511"/>
      <c r="N362" s="549">
        <v>12048</v>
      </c>
      <c r="O362" s="549">
        <v>12048</v>
      </c>
      <c r="P362" s="72">
        <f t="shared" si="31"/>
        <v>-6052.08</v>
      </c>
      <c r="Q362" s="72">
        <f>IFERROR(IF(D362=20250,O362/(#REF!/30),O362/(I362/30)),0)</f>
        <v>25.489565526462773</v>
      </c>
      <c r="R362" s="72">
        <f t="shared" si="32"/>
        <v>25.489565526462773</v>
      </c>
      <c r="AC362"/>
      <c r="AD362"/>
      <c r="AE362"/>
      <c r="AF362"/>
      <c r="AG362"/>
      <c r="AH362"/>
      <c r="AI362"/>
      <c r="AJ362"/>
    </row>
    <row r="363" spans="1:36" ht="15">
      <c r="A363" s="352" t="str">
        <f t="shared" si="28"/>
        <v>430114654</v>
      </c>
      <c r="B363" s="509" t="s">
        <v>104</v>
      </c>
      <c r="C363" s="69" t="str">
        <f>_xlfn.XLOOKUP(B:B,Master!A:A,Master!B:B)</f>
        <v>RPSPL-PBN</v>
      </c>
      <c r="D363" s="509" t="s">
        <v>67</v>
      </c>
      <c r="E363" s="69" t="str">
        <f t="shared" si="29"/>
        <v>430114654</v>
      </c>
      <c r="F363" s="509" t="s">
        <v>68</v>
      </c>
      <c r="G363" s="70" t="str">
        <f>VLOOKUP(D363,Master!C:G,4,)</f>
        <v>T&amp;I</v>
      </c>
      <c r="H363" s="69" t="str">
        <f>VLOOKUP(D363,Master!C:G,5,)</f>
        <v>T&amp;I Comm-UF</v>
      </c>
      <c r="I363" s="549">
        <v>11321.52</v>
      </c>
      <c r="J363" s="549">
        <v>9432</v>
      </c>
      <c r="K363" s="71">
        <f t="shared" si="30"/>
        <v>0.83310368219108388</v>
      </c>
      <c r="L363" s="549">
        <v>2304</v>
      </c>
      <c r="M363" s="511">
        <v>46166</v>
      </c>
      <c r="N363" s="549">
        <v>12432</v>
      </c>
      <c r="O363" s="549">
        <v>14736</v>
      </c>
      <c r="P363" s="72">
        <f t="shared" si="31"/>
        <v>-12846.48</v>
      </c>
      <c r="Q363" s="72">
        <f>IFERROR(IF(D363=20250,O363/(#REF!/30),O363/(I363/30)),0)</f>
        <v>39.047760371398894</v>
      </c>
      <c r="R363" s="72">
        <f t="shared" si="32"/>
        <v>32.942573082059653</v>
      </c>
      <c r="AC363"/>
      <c r="AD363"/>
      <c r="AE363"/>
      <c r="AF363"/>
      <c r="AG363"/>
      <c r="AH363"/>
      <c r="AI363"/>
      <c r="AJ363"/>
    </row>
    <row r="364" spans="1:36" ht="15">
      <c r="A364" s="352" t="str">
        <f t="shared" si="28"/>
        <v>430114788</v>
      </c>
      <c r="B364" s="509" t="s">
        <v>104</v>
      </c>
      <c r="C364" s="69" t="str">
        <f>_xlfn.XLOOKUP(B:B,Master!A:A,Master!B:B)</f>
        <v>RPSPL-PBN</v>
      </c>
      <c r="D364" s="509" t="s">
        <v>69</v>
      </c>
      <c r="E364" s="69" t="str">
        <f t="shared" si="29"/>
        <v>430114788</v>
      </c>
      <c r="F364" s="509" t="s">
        <v>70</v>
      </c>
      <c r="G364" s="70" t="str">
        <f>VLOOKUP(D364,Master!C:G,4,)</f>
        <v>T&amp;I</v>
      </c>
      <c r="H364" s="69" t="str">
        <f>VLOOKUP(D364,Master!C:G,5,)</f>
        <v>T&amp;I EX HP</v>
      </c>
      <c r="I364" s="549">
        <v>8434.44</v>
      </c>
      <c r="J364" s="549">
        <v>4560</v>
      </c>
      <c r="K364" s="71">
        <f t="shared" si="30"/>
        <v>0.54064051673851488</v>
      </c>
      <c r="L364" s="549">
        <v>5004</v>
      </c>
      <c r="M364" s="511">
        <v>46164</v>
      </c>
      <c r="N364" s="549">
        <v>3000</v>
      </c>
      <c r="O364" s="549">
        <v>8004</v>
      </c>
      <c r="P364" s="72">
        <f t="shared" si="31"/>
        <v>-4129.5599999999995</v>
      </c>
      <c r="Q364" s="72">
        <f>IFERROR(IF(D364=20250,O364/(#REF!/30),O364/(I364/30)),0)</f>
        <v>28.468991420888639</v>
      </c>
      <c r="R364" s="72">
        <f t="shared" si="32"/>
        <v>10.670536514575952</v>
      </c>
      <c r="AC364"/>
      <c r="AD364"/>
      <c r="AE364"/>
      <c r="AF364"/>
      <c r="AG364"/>
      <c r="AH364"/>
      <c r="AI364"/>
      <c r="AJ364"/>
    </row>
    <row r="365" spans="1:36" ht="15">
      <c r="A365" s="352" t="str">
        <f t="shared" si="28"/>
        <v>430115459</v>
      </c>
      <c r="B365" s="509" t="s">
        <v>104</v>
      </c>
      <c r="C365" s="69" t="str">
        <f>_xlfn.XLOOKUP(B:B,Master!A:A,Master!B:B)</f>
        <v>RPSPL-PBN</v>
      </c>
      <c r="D365" s="509" t="s">
        <v>90</v>
      </c>
      <c r="E365" s="69" t="str">
        <f t="shared" si="29"/>
        <v>430115459</v>
      </c>
      <c r="F365" s="509" t="s">
        <v>91</v>
      </c>
      <c r="G365" s="70" t="str">
        <f>VLOOKUP(D365,Master!C:G,4,)</f>
        <v>T&amp;I</v>
      </c>
      <c r="H365" s="69" t="str">
        <f>VLOOKUP(D365,Master!C:G,5,)</f>
        <v>T&amp;I EX HP</v>
      </c>
      <c r="I365" s="549">
        <v>0</v>
      </c>
      <c r="J365" s="549">
        <v>0</v>
      </c>
      <c r="K365" s="71">
        <f t="shared" si="30"/>
        <v>0</v>
      </c>
      <c r="L365" s="549">
        <v>0</v>
      </c>
      <c r="M365" s="511"/>
      <c r="N365" s="549">
        <v>39920</v>
      </c>
      <c r="O365" s="549">
        <v>39920</v>
      </c>
      <c r="P365" s="72">
        <f t="shared" si="31"/>
        <v>-39920</v>
      </c>
      <c r="Q365" s="72">
        <f>IFERROR(IF(D365=20250,O365/(#REF!/30),O365/(I365/30)),0)</f>
        <v>0</v>
      </c>
      <c r="R365" s="72">
        <f t="shared" si="32"/>
        <v>0</v>
      </c>
      <c r="AC365"/>
      <c r="AD365"/>
      <c r="AE365"/>
      <c r="AF365"/>
      <c r="AG365"/>
      <c r="AH365"/>
      <c r="AI365"/>
      <c r="AJ365"/>
    </row>
    <row r="366" spans="1:36" ht="15">
      <c r="A366" s="352" t="str">
        <f t="shared" si="28"/>
        <v>430115536</v>
      </c>
      <c r="B366" s="509" t="s">
        <v>104</v>
      </c>
      <c r="C366" s="69" t="str">
        <f>_xlfn.XLOOKUP(B:B,Master!A:A,Master!B:B)</f>
        <v>RPSPL-PBN</v>
      </c>
      <c r="D366" s="509" t="s">
        <v>71</v>
      </c>
      <c r="E366" s="69" t="str">
        <f t="shared" si="29"/>
        <v>430115536</v>
      </c>
      <c r="F366" s="509" t="s">
        <v>72</v>
      </c>
      <c r="G366" s="70" t="str">
        <f>VLOOKUP(D366,Master!C:G,4,)</f>
        <v>Ganache</v>
      </c>
      <c r="H366" s="69" t="str">
        <f>VLOOKUP(D366,Master!C:G,5,)</f>
        <v>Ganache- UF</v>
      </c>
      <c r="I366" s="549">
        <v>22182.6</v>
      </c>
      <c r="J366" s="549">
        <v>13140</v>
      </c>
      <c r="K366" s="71">
        <f t="shared" si="30"/>
        <v>0.59235617105298755</v>
      </c>
      <c r="L366" s="549">
        <v>1404</v>
      </c>
      <c r="M366" s="511">
        <v>46164</v>
      </c>
      <c r="N366" s="549">
        <v>15888</v>
      </c>
      <c r="O366" s="549">
        <v>17292</v>
      </c>
      <c r="P366" s="72">
        <f t="shared" si="31"/>
        <v>-8249.4000000000015</v>
      </c>
      <c r="Q366" s="72">
        <f>IFERROR(IF(D366=20250,O366/(#REF!/30),O366/(I366/30)),0)</f>
        <v>23.385897054448083</v>
      </c>
      <c r="R366" s="72">
        <f t="shared" si="32"/>
        <v>21.487111519839875</v>
      </c>
      <c r="AC366"/>
      <c r="AD366"/>
      <c r="AE366"/>
      <c r="AF366"/>
      <c r="AG366"/>
      <c r="AH366"/>
      <c r="AI366"/>
      <c r="AJ366"/>
    </row>
    <row r="367" spans="1:36" ht="15">
      <c r="A367" s="352" t="str">
        <f t="shared" si="28"/>
        <v>430115906</v>
      </c>
      <c r="B367" s="509" t="s">
        <v>104</v>
      </c>
      <c r="C367" s="69" t="str">
        <f>_xlfn.XLOOKUP(B:B,Master!A:A,Master!B:B)</f>
        <v>RPSPL-PBN</v>
      </c>
      <c r="D367" s="509" t="s">
        <v>74</v>
      </c>
      <c r="E367" s="69" t="str">
        <f t="shared" si="29"/>
        <v>430115906</v>
      </c>
      <c r="F367" s="509" t="s">
        <v>75</v>
      </c>
      <c r="G367" s="70" t="str">
        <f>VLOOKUP(D367,Master!C:G,4,)</f>
        <v>T&amp;I</v>
      </c>
      <c r="H367" s="69" t="str">
        <f>VLOOKUP(D367,Master!C:G,5,)</f>
        <v>T&amp;I EX HP</v>
      </c>
      <c r="I367" s="549">
        <v>0</v>
      </c>
      <c r="J367" s="549">
        <v>0</v>
      </c>
      <c r="K367" s="71">
        <f t="shared" si="30"/>
        <v>0</v>
      </c>
      <c r="L367" s="549">
        <v>24</v>
      </c>
      <c r="M367" s="511">
        <v>46163</v>
      </c>
      <c r="N367" s="549">
        <v>12372</v>
      </c>
      <c r="O367" s="549">
        <v>12396</v>
      </c>
      <c r="P367" s="72">
        <f t="shared" si="31"/>
        <v>-12396</v>
      </c>
      <c r="Q367" s="72">
        <f>IFERROR(IF(D367=20250,O367/(#REF!/30),O367/(I367/30)),0)</f>
        <v>0</v>
      </c>
      <c r="R367" s="72">
        <f t="shared" si="32"/>
        <v>0</v>
      </c>
      <c r="AC367"/>
      <c r="AD367"/>
      <c r="AE367"/>
      <c r="AF367"/>
      <c r="AG367"/>
      <c r="AH367"/>
      <c r="AI367"/>
      <c r="AJ367"/>
    </row>
    <row r="368" spans="1:36" ht="15">
      <c r="A368" s="352" t="str">
        <f t="shared" si="28"/>
        <v>430116336</v>
      </c>
      <c r="B368" s="509" t="s">
        <v>104</v>
      </c>
      <c r="C368" s="69" t="str">
        <f>_xlfn.XLOOKUP(B:B,Master!A:A,Master!B:B)</f>
        <v>RPSPL-PBN</v>
      </c>
      <c r="D368" s="509" t="s">
        <v>24</v>
      </c>
      <c r="E368" s="69" t="str">
        <f t="shared" si="29"/>
        <v>430116336</v>
      </c>
      <c r="F368" s="509" t="s">
        <v>25</v>
      </c>
      <c r="G368" s="70" t="str">
        <f>VLOOKUP(D368,Master!C:G,4,)</f>
        <v>T&amp;I</v>
      </c>
      <c r="H368" s="69" t="str">
        <f>VLOOKUP(D368,Master!C:G,5,)</f>
        <v>T&amp;I Comm-UF</v>
      </c>
      <c r="I368" s="549">
        <v>79503.12</v>
      </c>
      <c r="J368" s="549">
        <v>56052</v>
      </c>
      <c r="K368" s="71">
        <f t="shared" si="30"/>
        <v>0.70502893471350558</v>
      </c>
      <c r="L368" s="549">
        <v>12024</v>
      </c>
      <c r="M368" s="511">
        <v>46164</v>
      </c>
      <c r="N368" s="549">
        <v>10980</v>
      </c>
      <c r="O368" s="549">
        <v>23004</v>
      </c>
      <c r="P368" s="72">
        <f t="shared" si="31"/>
        <v>447.11999999999534</v>
      </c>
      <c r="Q368" s="72">
        <f>IFERROR(IF(D368=20250,O368/(#REF!/30),O368/(I368/30)),0)</f>
        <v>8.6804140516749531</v>
      </c>
      <c r="R368" s="72">
        <f t="shared" si="32"/>
        <v>4.1432336240389063</v>
      </c>
      <c r="AC368"/>
      <c r="AD368"/>
      <c r="AE368"/>
      <c r="AF368"/>
      <c r="AG368"/>
      <c r="AH368"/>
      <c r="AI368"/>
      <c r="AJ368"/>
    </row>
    <row r="369" spans="1:36" ht="15">
      <c r="A369" s="352" t="str">
        <f t="shared" si="28"/>
        <v>430116984</v>
      </c>
      <c r="B369" s="509" t="s">
        <v>104</v>
      </c>
      <c r="C369" s="69" t="str">
        <f>_xlfn.XLOOKUP(B:B,Master!A:A,Master!B:B)</f>
        <v>RPSPL-PBN</v>
      </c>
      <c r="D369" s="509" t="s">
        <v>78</v>
      </c>
      <c r="E369" s="69" t="str">
        <f t="shared" si="29"/>
        <v>430116984</v>
      </c>
      <c r="F369" s="509" t="s">
        <v>79</v>
      </c>
      <c r="G369" s="70" t="str">
        <f>VLOOKUP(D369,Master!C:G,4,)</f>
        <v>T&amp;I</v>
      </c>
      <c r="H369" s="69" t="str">
        <f>VLOOKUP(D369,Master!C:G,5,)</f>
        <v>T&amp;I EX HP</v>
      </c>
      <c r="I369" s="549">
        <v>204</v>
      </c>
      <c r="J369" s="549">
        <v>120</v>
      </c>
      <c r="K369" s="71">
        <f t="shared" si="30"/>
        <v>0.58823529411764708</v>
      </c>
      <c r="L369" s="549">
        <v>0</v>
      </c>
      <c r="M369" s="511"/>
      <c r="N369" s="549">
        <v>480</v>
      </c>
      <c r="O369" s="549">
        <v>480</v>
      </c>
      <c r="P369" s="72">
        <f t="shared" si="31"/>
        <v>-396</v>
      </c>
      <c r="Q369" s="72">
        <f>IFERROR(IF(D369=20250,O369/(#REF!/30),O369/(I369/30)),0)</f>
        <v>70.588235294117652</v>
      </c>
      <c r="R369" s="72">
        <f t="shared" si="32"/>
        <v>70.588235294117652</v>
      </c>
      <c r="AC369"/>
      <c r="AD369"/>
      <c r="AE369"/>
      <c r="AF369"/>
      <c r="AG369"/>
      <c r="AH369"/>
      <c r="AI369"/>
      <c r="AJ369"/>
    </row>
    <row r="370" spans="1:36" ht="15">
      <c r="A370" s="352" t="str">
        <f t="shared" si="28"/>
        <v>430116998</v>
      </c>
      <c r="B370" s="509" t="s">
        <v>104</v>
      </c>
      <c r="C370" s="69" t="str">
        <f>_xlfn.XLOOKUP(B:B,Master!A:A,Master!B:B)</f>
        <v>RPSPL-PBN</v>
      </c>
      <c r="D370" s="509" t="s">
        <v>80</v>
      </c>
      <c r="E370" s="69" t="str">
        <f t="shared" si="29"/>
        <v>430116998</v>
      </c>
      <c r="F370" s="509" t="s">
        <v>81</v>
      </c>
      <c r="G370" s="70" t="str">
        <f>VLOOKUP(D370,Master!C:G,4,)</f>
        <v>T&amp;I</v>
      </c>
      <c r="H370" s="69" t="str">
        <f>VLOOKUP(D370,Master!C:G,5,)</f>
        <v>T&amp;I EX UF</v>
      </c>
      <c r="I370" s="549">
        <v>9000</v>
      </c>
      <c r="J370" s="549">
        <v>6084</v>
      </c>
      <c r="K370" s="71">
        <f t="shared" si="30"/>
        <v>0.67600000000000005</v>
      </c>
      <c r="L370" s="549">
        <v>0</v>
      </c>
      <c r="M370" s="511"/>
      <c r="N370" s="549">
        <v>11628</v>
      </c>
      <c r="O370" s="549">
        <v>11628</v>
      </c>
      <c r="P370" s="72">
        <f t="shared" si="31"/>
        <v>-8712</v>
      </c>
      <c r="Q370" s="72">
        <f>IFERROR(IF(D370=20250,O370/(#REF!/30),O370/(I370/30)),0)</f>
        <v>38.76</v>
      </c>
      <c r="R370" s="72">
        <f t="shared" si="32"/>
        <v>38.76</v>
      </c>
      <c r="AC370"/>
      <c r="AD370"/>
      <c r="AE370"/>
      <c r="AF370"/>
      <c r="AG370"/>
      <c r="AH370"/>
      <c r="AI370"/>
      <c r="AJ370"/>
    </row>
    <row r="371" spans="1:36" ht="15">
      <c r="A371" s="352" t="str">
        <f t="shared" si="28"/>
        <v>430118098</v>
      </c>
      <c r="B371" s="509" t="s">
        <v>104</v>
      </c>
      <c r="C371" s="69" t="str">
        <f>_xlfn.XLOOKUP(B:B,Master!A:A,Master!B:B)</f>
        <v>RPSPL-PBN</v>
      </c>
      <c r="D371" s="509" t="s">
        <v>84</v>
      </c>
      <c r="E371" s="69" t="str">
        <f t="shared" si="29"/>
        <v>430118098</v>
      </c>
      <c r="F371" s="509" t="s">
        <v>1222</v>
      </c>
      <c r="G371" s="70" t="str">
        <f>VLOOKUP(D371,Master!C:G,4,)</f>
        <v>T&amp;I</v>
      </c>
      <c r="H371" s="69" t="str">
        <f>VLOOKUP(D371,Master!C:G,5,)</f>
        <v>T&amp;I EX HP</v>
      </c>
      <c r="I371" s="549">
        <v>1299.96</v>
      </c>
      <c r="J371" s="549">
        <v>492</v>
      </c>
      <c r="K371" s="71">
        <f t="shared" si="30"/>
        <v>0.37847318379027045</v>
      </c>
      <c r="L371" s="549">
        <v>0</v>
      </c>
      <c r="M371" s="511"/>
      <c r="N371" s="549">
        <v>3672</v>
      </c>
      <c r="O371" s="549">
        <v>3672</v>
      </c>
      <c r="P371" s="72">
        <f t="shared" si="31"/>
        <v>-2864.04</v>
      </c>
      <c r="Q371" s="72">
        <f>IFERROR(IF(D371=20250,O371/(#REF!/30),O371/(I371/30)),0)</f>
        <v>84.741068955967876</v>
      </c>
      <c r="R371" s="72">
        <f t="shared" si="32"/>
        <v>84.741068955967876</v>
      </c>
      <c r="AC371"/>
      <c r="AD371"/>
      <c r="AE371"/>
      <c r="AF371"/>
      <c r="AG371"/>
      <c r="AH371"/>
      <c r="AI371"/>
      <c r="AJ371"/>
    </row>
    <row r="372" spans="1:36" ht="15">
      <c r="A372" s="352" t="str">
        <f t="shared" si="28"/>
        <v>430120308</v>
      </c>
      <c r="B372" s="509" t="s">
        <v>104</v>
      </c>
      <c r="C372" s="69" t="str">
        <f>_xlfn.XLOOKUP(B:B,Master!A:A,Master!B:B)</f>
        <v>RPSPL-PBN</v>
      </c>
      <c r="D372" s="509" t="s">
        <v>146</v>
      </c>
      <c r="E372" s="69" t="str">
        <f t="shared" si="29"/>
        <v>430120308</v>
      </c>
      <c r="F372" s="509" t="s">
        <v>902</v>
      </c>
      <c r="G372" s="70" t="str">
        <f>VLOOKUP(D372,Master!C:G,4,)</f>
        <v>T&amp;I</v>
      </c>
      <c r="H372" s="69" t="str">
        <f>VLOOKUP(D372,Master!C:G,5,)</f>
        <v>T&amp;I EX HP 2 KG</v>
      </c>
      <c r="I372" s="549">
        <v>0</v>
      </c>
      <c r="J372" s="549">
        <v>240</v>
      </c>
      <c r="K372" s="71">
        <f t="shared" si="30"/>
        <v>0</v>
      </c>
      <c r="L372" s="549">
        <v>0</v>
      </c>
      <c r="M372" s="511"/>
      <c r="N372" s="549">
        <v>21696</v>
      </c>
      <c r="O372" s="549">
        <v>21696</v>
      </c>
      <c r="P372" s="72">
        <f t="shared" si="31"/>
        <v>-21936</v>
      </c>
      <c r="Q372" s="72">
        <f>IFERROR(IF(D372=20250,O372/(#REF!/30),O372/(I372/30)),0)</f>
        <v>0</v>
      </c>
      <c r="R372" s="72">
        <f t="shared" si="32"/>
        <v>0</v>
      </c>
      <c r="AC372"/>
      <c r="AD372"/>
      <c r="AE372"/>
      <c r="AF372"/>
      <c r="AG372"/>
      <c r="AH372"/>
      <c r="AI372"/>
      <c r="AJ372"/>
    </row>
    <row r="373" spans="1:36" ht="15">
      <c r="A373" s="352" t="str">
        <f t="shared" si="28"/>
        <v>430120827</v>
      </c>
      <c r="B373" s="509" t="s">
        <v>104</v>
      </c>
      <c r="C373" s="69" t="str">
        <f>_xlfn.XLOOKUP(B:B,Master!A:A,Master!B:B)</f>
        <v>RPSPL-PBN</v>
      </c>
      <c r="D373" s="509" t="s">
        <v>149</v>
      </c>
      <c r="E373" s="69" t="str">
        <f t="shared" si="29"/>
        <v>430120827</v>
      </c>
      <c r="F373" s="509" t="s">
        <v>150</v>
      </c>
      <c r="G373" s="70" t="str">
        <f>VLOOKUP(D373,Master!C:G,4,)</f>
        <v>Ganache</v>
      </c>
      <c r="H373" s="69" t="str">
        <f>VLOOKUP(D373,Master!C:G,5,)</f>
        <v>Ganache- UF</v>
      </c>
      <c r="I373" s="549">
        <v>6799.92</v>
      </c>
      <c r="J373" s="549">
        <v>7068</v>
      </c>
      <c r="K373" s="71">
        <f t="shared" si="30"/>
        <v>1.0394239932234497</v>
      </c>
      <c r="L373" s="549">
        <v>492</v>
      </c>
      <c r="M373" s="511">
        <v>46164</v>
      </c>
      <c r="N373" s="549">
        <v>7212</v>
      </c>
      <c r="O373" s="549">
        <v>7704</v>
      </c>
      <c r="P373" s="72">
        <f t="shared" si="31"/>
        <v>-7972.08</v>
      </c>
      <c r="Q373" s="72">
        <f>IFERROR(IF(D373=20250,O373/(#REF!/30),O373/(I373/30)),0)</f>
        <v>33.988635160413651</v>
      </c>
      <c r="R373" s="72">
        <f t="shared" si="32"/>
        <v>31.818021388486923</v>
      </c>
      <c r="AC373"/>
      <c r="AD373"/>
      <c r="AE373"/>
      <c r="AF373"/>
      <c r="AG373"/>
      <c r="AH373"/>
      <c r="AI373"/>
      <c r="AJ373"/>
    </row>
    <row r="374" spans="1:36" ht="15">
      <c r="A374" s="352" t="str">
        <f t="shared" si="28"/>
        <v>430121910</v>
      </c>
      <c r="B374" s="509" t="s">
        <v>104</v>
      </c>
      <c r="C374" s="69" t="str">
        <f>_xlfn.XLOOKUP(B:B,Master!A:A,Master!B:B)</f>
        <v>RPSPL-PBN</v>
      </c>
      <c r="D374" s="509" t="s">
        <v>180</v>
      </c>
      <c r="E374" s="69" t="str">
        <f t="shared" si="29"/>
        <v>430121910</v>
      </c>
      <c r="F374" s="509" t="s">
        <v>181</v>
      </c>
      <c r="G374" s="70" t="str">
        <f>VLOOKUP(D374,Master!C:G,4,)</f>
        <v>T&amp;I</v>
      </c>
      <c r="H374" s="69" t="str">
        <f>VLOOKUP(D374,Master!C:G,5,)</f>
        <v>T&amp;I EX HP 2 KG</v>
      </c>
      <c r="I374" s="549">
        <v>0</v>
      </c>
      <c r="J374" s="549">
        <v>0</v>
      </c>
      <c r="K374" s="71">
        <f t="shared" si="30"/>
        <v>0</v>
      </c>
      <c r="L374" s="549">
        <v>0</v>
      </c>
      <c r="M374" s="511"/>
      <c r="N374" s="549">
        <v>51420</v>
      </c>
      <c r="O374" s="549">
        <v>51420</v>
      </c>
      <c r="P374" s="72">
        <f t="shared" si="31"/>
        <v>-51420</v>
      </c>
      <c r="Q374" s="72">
        <f>IFERROR(IF(D374=20250,O374/(#REF!/30),O374/(I374/30)),0)</f>
        <v>0</v>
      </c>
      <c r="R374" s="72">
        <f t="shared" si="32"/>
        <v>0</v>
      </c>
      <c r="AC374"/>
      <c r="AD374"/>
      <c r="AE374"/>
      <c r="AF374"/>
      <c r="AG374"/>
      <c r="AH374"/>
      <c r="AI374"/>
      <c r="AJ374"/>
    </row>
    <row r="375" spans="1:36" ht="15">
      <c r="A375" s="352" t="str">
        <f t="shared" si="28"/>
        <v>430123081</v>
      </c>
      <c r="B375" s="509" t="s">
        <v>104</v>
      </c>
      <c r="C375" s="69" t="str">
        <f>_xlfn.XLOOKUP(B:B,Master!A:A,Master!B:B)</f>
        <v>RPSPL-PBN</v>
      </c>
      <c r="D375" s="509" t="s">
        <v>189</v>
      </c>
      <c r="E375" s="69" t="str">
        <f t="shared" si="29"/>
        <v>430123081</v>
      </c>
      <c r="F375" s="509" t="s">
        <v>190</v>
      </c>
      <c r="G375" s="70" t="str">
        <f>VLOOKUP(D375,Master!C:G,4,)</f>
        <v>T&amp;I</v>
      </c>
      <c r="H375" s="69" t="str">
        <f>VLOOKUP(D375,Master!C:G,5,)</f>
        <v>T&amp;I EX HP</v>
      </c>
      <c r="I375" s="549">
        <v>540</v>
      </c>
      <c r="J375" s="549">
        <v>0</v>
      </c>
      <c r="K375" s="71">
        <f t="shared" si="30"/>
        <v>0</v>
      </c>
      <c r="L375" s="549">
        <v>0</v>
      </c>
      <c r="M375" s="511"/>
      <c r="N375" s="549">
        <v>516</v>
      </c>
      <c r="O375" s="549">
        <v>516</v>
      </c>
      <c r="P375" s="72">
        <f t="shared" si="31"/>
        <v>24</v>
      </c>
      <c r="Q375" s="72">
        <f>IFERROR(IF(D375=20250,O375/(#REF!/30),O375/(I375/30)),0)</f>
        <v>28.666666666666668</v>
      </c>
      <c r="R375" s="72">
        <f t="shared" si="32"/>
        <v>28.666666666666668</v>
      </c>
      <c r="AC375"/>
      <c r="AD375"/>
      <c r="AE375"/>
      <c r="AF375"/>
      <c r="AG375"/>
      <c r="AH375"/>
      <c r="AI375"/>
      <c r="AJ375"/>
    </row>
    <row r="376" spans="1:36" ht="15">
      <c r="A376" s="352" t="str">
        <f t="shared" si="28"/>
        <v>430123401</v>
      </c>
      <c r="B376" s="509" t="s">
        <v>104</v>
      </c>
      <c r="C376" s="69" t="str">
        <f>_xlfn.XLOOKUP(B:B,Master!A:A,Master!B:B)</f>
        <v>RPSPL-PBN</v>
      </c>
      <c r="D376" s="509" t="s">
        <v>194</v>
      </c>
      <c r="E376" s="69" t="str">
        <f t="shared" si="29"/>
        <v>430123401</v>
      </c>
      <c r="F376" s="509" t="s">
        <v>195</v>
      </c>
      <c r="G376" s="70" t="str">
        <f>VLOOKUP(D376,Master!C:G,4,)</f>
        <v>T&amp;I</v>
      </c>
      <c r="H376" s="69" t="str">
        <f>VLOOKUP(D376,Master!C:G,5,)</f>
        <v>T&amp;I EX UF</v>
      </c>
      <c r="I376" s="549">
        <v>4206</v>
      </c>
      <c r="J376" s="549">
        <v>0</v>
      </c>
      <c r="K376" s="71">
        <f t="shared" si="30"/>
        <v>0</v>
      </c>
      <c r="L376" s="549">
        <v>0</v>
      </c>
      <c r="M376" s="511"/>
      <c r="N376" s="549">
        <v>2100</v>
      </c>
      <c r="O376" s="549">
        <v>2100</v>
      </c>
      <c r="P376" s="72">
        <f t="shared" si="31"/>
        <v>2106</v>
      </c>
      <c r="Q376" s="72">
        <f>IFERROR(IF(D376=20250,O376/(#REF!/30),O376/(I376/30)),0)</f>
        <v>14.978601997146933</v>
      </c>
      <c r="R376" s="72">
        <f t="shared" si="32"/>
        <v>14.978601997146933</v>
      </c>
      <c r="AC376"/>
      <c r="AD376"/>
      <c r="AE376"/>
      <c r="AF376"/>
      <c r="AG376"/>
      <c r="AH376"/>
      <c r="AI376"/>
      <c r="AJ376"/>
    </row>
    <row r="377" spans="1:36" ht="15">
      <c r="A377" s="352" t="str">
        <f t="shared" si="28"/>
        <v>430123890</v>
      </c>
      <c r="B377" s="509" t="s">
        <v>104</v>
      </c>
      <c r="C377" s="69" t="str">
        <f>_xlfn.XLOOKUP(B:B,Master!A:A,Master!B:B)</f>
        <v>RPSPL-PBN</v>
      </c>
      <c r="D377" s="509" t="s">
        <v>778</v>
      </c>
      <c r="E377" s="69" t="str">
        <f t="shared" si="29"/>
        <v>430123890</v>
      </c>
      <c r="F377" s="509" t="s">
        <v>780</v>
      </c>
      <c r="G377" s="70" t="str">
        <f>VLOOKUP(D377,Master!C:G,4,)</f>
        <v>T&amp;I</v>
      </c>
      <c r="H377" s="69" t="str">
        <f>VLOOKUP(D377,Master!C:G,5,)</f>
        <v>T&amp;I EX HP</v>
      </c>
      <c r="I377" s="549">
        <v>0</v>
      </c>
      <c r="J377" s="549">
        <v>0</v>
      </c>
      <c r="K377" s="71">
        <f t="shared" si="30"/>
        <v>0</v>
      </c>
      <c r="L377" s="549">
        <v>0</v>
      </c>
      <c r="M377" s="511"/>
      <c r="N377" s="549">
        <v>1356</v>
      </c>
      <c r="O377" s="549">
        <v>1356</v>
      </c>
      <c r="P377" s="72">
        <f t="shared" si="31"/>
        <v>-1356</v>
      </c>
      <c r="Q377" s="72">
        <f>IFERROR(IF(D377=20250,O377/(#REF!/30),O377/(I377/30)),0)</f>
        <v>0</v>
      </c>
      <c r="R377" s="72">
        <f t="shared" si="32"/>
        <v>0</v>
      </c>
      <c r="AC377"/>
      <c r="AD377"/>
      <c r="AE377"/>
      <c r="AF377"/>
      <c r="AG377"/>
      <c r="AH377"/>
      <c r="AI377"/>
      <c r="AJ377"/>
    </row>
    <row r="378" spans="1:36" ht="15">
      <c r="A378" s="352" t="str">
        <f t="shared" si="28"/>
        <v>430124768</v>
      </c>
      <c r="B378" s="509" t="s">
        <v>104</v>
      </c>
      <c r="C378" s="69" t="str">
        <f>_xlfn.XLOOKUP(B:B,Master!A:A,Master!B:B)</f>
        <v>RPSPL-PBN</v>
      </c>
      <c r="D378" s="509" t="s">
        <v>906</v>
      </c>
      <c r="E378" s="69" t="str">
        <f t="shared" si="29"/>
        <v>430124768</v>
      </c>
      <c r="F378" s="509" t="s">
        <v>912</v>
      </c>
      <c r="G378" s="70" t="str">
        <f>VLOOKUP(D378,Master!C:G,4,)</f>
        <v>T&amp;I</v>
      </c>
      <c r="H378" s="69" t="str">
        <f>VLOOKUP(D378,Master!C:G,5,)</f>
        <v>T&amp;I EX UF</v>
      </c>
      <c r="I378" s="549">
        <v>2404.92</v>
      </c>
      <c r="J378" s="549">
        <v>2148</v>
      </c>
      <c r="K378" s="71">
        <f t="shared" si="30"/>
        <v>0.89316900354273732</v>
      </c>
      <c r="L378" s="549">
        <v>0</v>
      </c>
      <c r="M378" s="511"/>
      <c r="N378" s="549">
        <v>1404</v>
      </c>
      <c r="O378" s="549">
        <v>1404</v>
      </c>
      <c r="P378" s="72">
        <f t="shared" si="31"/>
        <v>-1147.08</v>
      </c>
      <c r="Q378" s="72">
        <f>IFERROR(IF(D378=20250,O378/(#REF!/30),O378/(I378/30)),0)</f>
        <v>17.514096102988873</v>
      </c>
      <c r="R378" s="72">
        <f t="shared" si="32"/>
        <v>17.514096102988873</v>
      </c>
      <c r="AC378"/>
      <c r="AD378"/>
      <c r="AE378"/>
      <c r="AF378"/>
      <c r="AG378"/>
      <c r="AH378"/>
      <c r="AI378"/>
      <c r="AJ378"/>
    </row>
    <row r="379" spans="1:36" ht="15">
      <c r="A379" s="352" t="str">
        <f t="shared" si="28"/>
        <v>430125570</v>
      </c>
      <c r="B379" s="509" t="s">
        <v>104</v>
      </c>
      <c r="C379" s="69" t="str">
        <f>_xlfn.XLOOKUP(B:B,Master!A:A,Master!B:B)</f>
        <v>RPSPL-PBN</v>
      </c>
      <c r="D379" s="509" t="s">
        <v>1006</v>
      </c>
      <c r="E379" s="69" t="str">
        <f t="shared" si="29"/>
        <v>430125570</v>
      </c>
      <c r="F379" s="509" t="s">
        <v>1008</v>
      </c>
      <c r="G379" s="70" t="str">
        <f>VLOOKUP(D379,Master!C:G,4,)</f>
        <v>T&amp;I</v>
      </c>
      <c r="H379" s="69" t="str">
        <f>VLOOKUP(D379,Master!C:G,5,)</f>
        <v>T&amp;I EX HP</v>
      </c>
      <c r="I379" s="549">
        <v>300</v>
      </c>
      <c r="J379" s="549">
        <v>0</v>
      </c>
      <c r="K379" s="71">
        <f t="shared" si="30"/>
        <v>0</v>
      </c>
      <c r="L379" s="549">
        <v>24</v>
      </c>
      <c r="M379" s="511">
        <v>46163</v>
      </c>
      <c r="N379" s="549">
        <v>8472</v>
      </c>
      <c r="O379" s="549">
        <v>8496</v>
      </c>
      <c r="P379" s="72">
        <f t="shared" si="31"/>
        <v>-8196</v>
      </c>
      <c r="Q379" s="72">
        <f>IFERROR(IF(D379=20250,O379/(#REF!/30),O379/(I379/30)),0)</f>
        <v>849.6</v>
      </c>
      <c r="R379" s="72">
        <f t="shared" si="32"/>
        <v>847.2</v>
      </c>
      <c r="AC379"/>
      <c r="AD379"/>
      <c r="AE379"/>
      <c r="AF379"/>
      <c r="AG379"/>
      <c r="AH379"/>
      <c r="AI379"/>
      <c r="AJ379"/>
    </row>
    <row r="380" spans="1:36" ht="15">
      <c r="A380" s="352" t="str">
        <f t="shared" si="28"/>
        <v>430125598</v>
      </c>
      <c r="B380" s="509" t="s">
        <v>104</v>
      </c>
      <c r="C380" s="69" t="str">
        <f>_xlfn.XLOOKUP(B:B,Master!A:A,Master!B:B)</f>
        <v>RPSPL-PBN</v>
      </c>
      <c r="D380" s="509" t="s">
        <v>1007</v>
      </c>
      <c r="E380" s="69" t="str">
        <f t="shared" si="29"/>
        <v>430125598</v>
      </c>
      <c r="F380" s="509" t="s">
        <v>1009</v>
      </c>
      <c r="G380" s="70" t="str">
        <f>VLOOKUP(D380,Master!C:G,4,)</f>
        <v>T&amp;I</v>
      </c>
      <c r="H380" s="69" t="str">
        <f>VLOOKUP(D380,Master!C:G,5,)</f>
        <v>T&amp;I EX HP</v>
      </c>
      <c r="I380" s="549">
        <v>1845.6</v>
      </c>
      <c r="J380" s="549">
        <v>660</v>
      </c>
      <c r="K380" s="71">
        <f t="shared" si="30"/>
        <v>0.35760728218465543</v>
      </c>
      <c r="L380" s="549">
        <v>0</v>
      </c>
      <c r="M380" s="511"/>
      <c r="N380" s="549">
        <v>0</v>
      </c>
      <c r="O380" s="549">
        <v>0</v>
      </c>
      <c r="P380" s="72">
        <f t="shared" si="31"/>
        <v>1185.5999999999999</v>
      </c>
      <c r="Q380" s="72">
        <f>IFERROR(IF(D380=20250,O380/(#REF!/30),O380/(I380/30)),0)</f>
        <v>0</v>
      </c>
      <c r="R380" s="72">
        <f t="shared" si="32"/>
        <v>0</v>
      </c>
      <c r="AC380"/>
      <c r="AD380"/>
      <c r="AE380"/>
      <c r="AF380"/>
      <c r="AG380"/>
      <c r="AH380"/>
      <c r="AI380"/>
      <c r="AJ380"/>
    </row>
    <row r="381" spans="1:36" ht="15">
      <c r="A381" s="352" t="str">
        <f t="shared" si="28"/>
        <v>430125616</v>
      </c>
      <c r="B381" s="509" t="s">
        <v>104</v>
      </c>
      <c r="C381" s="69" t="str">
        <f>_xlfn.XLOOKUP(B:B,Master!A:A,Master!B:B)</f>
        <v>RPSPL-PBN</v>
      </c>
      <c r="D381" s="509" t="s">
        <v>1004</v>
      </c>
      <c r="E381" s="69" t="str">
        <f t="shared" si="29"/>
        <v>430125616</v>
      </c>
      <c r="F381" s="509" t="s">
        <v>1005</v>
      </c>
      <c r="G381" s="70" t="str">
        <f>VLOOKUP(D381,Master!C:G,4,)</f>
        <v>T&amp;I</v>
      </c>
      <c r="H381" s="69" t="str">
        <f>VLOOKUP(D381,Master!C:G,5,)</f>
        <v>T&amp;I EX HP</v>
      </c>
      <c r="I381" s="549">
        <v>0</v>
      </c>
      <c r="J381" s="549">
        <v>0</v>
      </c>
      <c r="K381" s="71">
        <f t="shared" si="30"/>
        <v>0</v>
      </c>
      <c r="L381" s="549">
        <v>0</v>
      </c>
      <c r="M381" s="511"/>
      <c r="N381" s="549">
        <v>16180</v>
      </c>
      <c r="O381" s="549">
        <v>16180</v>
      </c>
      <c r="P381" s="72">
        <f t="shared" si="31"/>
        <v>-16180</v>
      </c>
      <c r="Q381" s="72">
        <f>IFERROR(IF(D381=20250,O381/(#REF!/30),O381/(I381/30)),0)</f>
        <v>0</v>
      </c>
      <c r="R381" s="72">
        <f t="shared" si="32"/>
        <v>0</v>
      </c>
      <c r="AC381"/>
      <c r="AD381"/>
      <c r="AE381"/>
      <c r="AF381"/>
      <c r="AG381"/>
      <c r="AH381"/>
      <c r="AI381"/>
      <c r="AJ381"/>
    </row>
    <row r="382" spans="1:36" ht="15">
      <c r="A382" s="352" t="str">
        <f t="shared" si="28"/>
        <v>430206151</v>
      </c>
      <c r="B382" s="509" t="s">
        <v>715</v>
      </c>
      <c r="C382" s="69" t="str">
        <f>_xlfn.XLOOKUP(B:B,Master!A:A,Master!B:B)</f>
        <v>RPSPL-KNP</v>
      </c>
      <c r="D382" s="509" t="s">
        <v>28</v>
      </c>
      <c r="E382" s="69" t="str">
        <f t="shared" si="29"/>
        <v>430206151</v>
      </c>
      <c r="F382" s="509" t="s">
        <v>29</v>
      </c>
      <c r="G382" s="70" t="str">
        <f>VLOOKUP(D382,Master!C:G,4,)</f>
        <v>DD</v>
      </c>
      <c r="H382" s="69" t="str">
        <f>VLOOKUP(D382,Master!C:G,5,)</f>
        <v>OS - Dry</v>
      </c>
      <c r="I382" s="549">
        <v>15229.68</v>
      </c>
      <c r="J382" s="549">
        <v>6060</v>
      </c>
      <c r="K382" s="71">
        <f t="shared" si="30"/>
        <v>0.39790724427565122</v>
      </c>
      <c r="L382" s="549">
        <v>0</v>
      </c>
      <c r="M382" s="511"/>
      <c r="N382" s="549">
        <v>72</v>
      </c>
      <c r="O382" s="549">
        <v>72</v>
      </c>
      <c r="P382" s="72">
        <f t="shared" si="31"/>
        <v>9097.68</v>
      </c>
      <c r="Q382" s="72">
        <f>IFERROR(IF(D382=20250,O382/(#REF!/30),O382/(I382/30)),0)</f>
        <v>0.14182832469231132</v>
      </c>
      <c r="R382" s="72">
        <f t="shared" si="32"/>
        <v>0.14182832469231132</v>
      </c>
      <c r="AC382"/>
      <c r="AD382"/>
      <c r="AE382"/>
      <c r="AF382"/>
      <c r="AG382"/>
      <c r="AH382"/>
      <c r="AI382"/>
      <c r="AJ382"/>
    </row>
    <row r="383" spans="1:36" ht="15">
      <c r="A383" s="352" t="str">
        <f t="shared" si="28"/>
        <v>430213490</v>
      </c>
      <c r="B383" s="509" t="s">
        <v>715</v>
      </c>
      <c r="C383" s="69" t="str">
        <f>_xlfn.XLOOKUP(B:B,Master!A:A,Master!B:B)</f>
        <v>RPSPL-KNP</v>
      </c>
      <c r="D383" s="509" t="s">
        <v>37</v>
      </c>
      <c r="E383" s="69" t="str">
        <f t="shared" si="29"/>
        <v>430213490</v>
      </c>
      <c r="F383" s="509" t="s">
        <v>38</v>
      </c>
      <c r="G383" s="70" t="str">
        <f>VLOOKUP(D383,Master!C:G,4,)</f>
        <v>NGL</v>
      </c>
      <c r="H383" s="69" t="str">
        <f>VLOOKUP(D383,Master!C:G,5,)</f>
        <v>UF-Dry</v>
      </c>
      <c r="I383" s="549">
        <v>1930</v>
      </c>
      <c r="J383" s="549">
        <v>1330</v>
      </c>
      <c r="K383" s="71">
        <f t="shared" si="30"/>
        <v>0.68911917098445596</v>
      </c>
      <c r="L383" s="549">
        <v>0</v>
      </c>
      <c r="M383" s="511"/>
      <c r="N383" s="549">
        <v>2640</v>
      </c>
      <c r="O383" s="549">
        <v>2640</v>
      </c>
      <c r="P383" s="72">
        <f t="shared" si="31"/>
        <v>-2040</v>
      </c>
      <c r="Q383" s="72">
        <f>IFERROR(IF(D383=20250,O383/(#REF!/30),O383/(I383/30)),0)</f>
        <v>41.036269430051817</v>
      </c>
      <c r="R383" s="72">
        <f t="shared" si="32"/>
        <v>41.036269430051817</v>
      </c>
      <c r="AC383"/>
      <c r="AD383"/>
      <c r="AE383"/>
      <c r="AF383"/>
      <c r="AG383"/>
      <c r="AH383"/>
      <c r="AI383"/>
      <c r="AJ383"/>
    </row>
    <row r="384" spans="1:36" ht="15">
      <c r="A384" s="352" t="str">
        <f t="shared" si="28"/>
        <v>430215300</v>
      </c>
      <c r="B384" s="509" t="s">
        <v>715</v>
      </c>
      <c r="C384" s="69" t="str">
        <f>_xlfn.XLOOKUP(B:B,Master!A:A,Master!B:B)</f>
        <v>RPSPL-KNP</v>
      </c>
      <c r="D384" s="509" t="s">
        <v>43</v>
      </c>
      <c r="E384" s="69" t="str">
        <f t="shared" si="29"/>
        <v>430215300</v>
      </c>
      <c r="F384" s="509" t="s">
        <v>44</v>
      </c>
      <c r="G384" s="70" t="str">
        <f>VLOOKUP(D384,Master!C:G,4,)</f>
        <v>NGL</v>
      </c>
      <c r="H384" s="69" t="str">
        <f>VLOOKUP(D384,Master!C:G,5,)</f>
        <v>UF-Dry</v>
      </c>
      <c r="I384" s="549">
        <v>482.94</v>
      </c>
      <c r="J384" s="549">
        <v>261</v>
      </c>
      <c r="K384" s="71">
        <f t="shared" si="30"/>
        <v>0.54043980618710397</v>
      </c>
      <c r="L384" s="549">
        <v>0</v>
      </c>
      <c r="M384" s="511"/>
      <c r="N384" s="549">
        <v>612</v>
      </c>
      <c r="O384" s="549">
        <v>612</v>
      </c>
      <c r="P384" s="72">
        <f t="shared" si="31"/>
        <v>-390.06</v>
      </c>
      <c r="Q384" s="72">
        <f>IFERROR(IF(D384=20250,O384/(#REF!/30),O384/(I384/30)),0)</f>
        <v>38.017144986954904</v>
      </c>
      <c r="R384" s="72">
        <f t="shared" si="32"/>
        <v>38.017144986954904</v>
      </c>
      <c r="AC384"/>
      <c r="AD384"/>
      <c r="AE384"/>
      <c r="AF384"/>
      <c r="AG384"/>
      <c r="AH384"/>
      <c r="AI384"/>
      <c r="AJ384"/>
    </row>
    <row r="385" spans="1:36" ht="15">
      <c r="A385" s="352" t="str">
        <f t="shared" si="28"/>
        <v>430219690</v>
      </c>
      <c r="B385" s="509" t="s">
        <v>715</v>
      </c>
      <c r="C385" s="69" t="str">
        <f>_xlfn.XLOOKUP(B:B,Master!A:A,Master!B:B)</f>
        <v>RPSPL-KNP</v>
      </c>
      <c r="D385" s="509" t="s">
        <v>88</v>
      </c>
      <c r="E385" s="69" t="str">
        <f t="shared" si="29"/>
        <v>430219690</v>
      </c>
      <c r="F385" s="509" t="s">
        <v>89</v>
      </c>
      <c r="G385" s="70" t="str">
        <f>VLOOKUP(D385,Master!C:G,4,)</f>
        <v>NFL</v>
      </c>
      <c r="H385" s="69" t="str">
        <f>VLOOKUP(D385,Master!C:G,5,)</f>
        <v>OS - Dry</v>
      </c>
      <c r="I385" s="549">
        <v>771.96</v>
      </c>
      <c r="J385" s="549">
        <v>36</v>
      </c>
      <c r="K385" s="71">
        <f t="shared" si="30"/>
        <v>4.6634540649774597E-2</v>
      </c>
      <c r="L385" s="549">
        <v>0</v>
      </c>
      <c r="M385" s="511"/>
      <c r="N385" s="549">
        <v>840</v>
      </c>
      <c r="O385" s="549">
        <v>840</v>
      </c>
      <c r="P385" s="72">
        <f t="shared" si="31"/>
        <v>-104.03999999999996</v>
      </c>
      <c r="Q385" s="72">
        <f>IFERROR(IF(D385=20250,O385/(#REF!/30),O385/(I385/30)),0)</f>
        <v>32.644178454842219</v>
      </c>
      <c r="R385" s="72">
        <f t="shared" si="32"/>
        <v>32.644178454842219</v>
      </c>
      <c r="AC385"/>
      <c r="AD385"/>
      <c r="AE385"/>
      <c r="AF385"/>
      <c r="AG385"/>
      <c r="AH385"/>
      <c r="AI385"/>
      <c r="AJ385"/>
    </row>
    <row r="386" spans="1:36" ht="15">
      <c r="A386" s="352" t="str">
        <f t="shared" si="28"/>
        <v>430220160</v>
      </c>
      <c r="B386" s="509" t="s">
        <v>715</v>
      </c>
      <c r="C386" s="69" t="str">
        <f>_xlfn.XLOOKUP(B:B,Master!A:A,Master!B:B)</f>
        <v>RPSPL-KNP</v>
      </c>
      <c r="D386" s="509" t="s">
        <v>144</v>
      </c>
      <c r="E386" s="69" t="str">
        <f t="shared" si="29"/>
        <v>430220160</v>
      </c>
      <c r="F386" s="509" t="s">
        <v>145</v>
      </c>
      <c r="G386" s="70" t="str">
        <f>VLOOKUP(D386,Master!C:G,4,)</f>
        <v>NFL</v>
      </c>
      <c r="H386" s="69" t="str">
        <f>VLOOKUP(D386,Master!C:G,5,)</f>
        <v>OS - Dry</v>
      </c>
      <c r="I386" s="549">
        <v>192.96</v>
      </c>
      <c r="J386" s="549">
        <v>0</v>
      </c>
      <c r="K386" s="71">
        <f t="shared" si="30"/>
        <v>0</v>
      </c>
      <c r="L386" s="549">
        <v>0</v>
      </c>
      <c r="M386" s="511"/>
      <c r="N386" s="549">
        <v>0</v>
      </c>
      <c r="O386" s="549">
        <v>0</v>
      </c>
      <c r="P386" s="72">
        <f t="shared" si="31"/>
        <v>192.96</v>
      </c>
      <c r="Q386" s="72">
        <f>IFERROR(IF(D386=20250,O386/(#REF!/30),O386/(I386/30)),0)</f>
        <v>0</v>
      </c>
      <c r="R386" s="72">
        <f t="shared" si="32"/>
        <v>0</v>
      </c>
      <c r="AC386"/>
      <c r="AD386"/>
      <c r="AE386"/>
      <c r="AF386"/>
      <c r="AG386"/>
      <c r="AH386"/>
      <c r="AI386"/>
      <c r="AJ386"/>
    </row>
    <row r="387" spans="1:36" ht="15">
      <c r="A387" s="352" t="str">
        <f t="shared" si="28"/>
        <v>430220309</v>
      </c>
      <c r="B387" s="509" t="s">
        <v>715</v>
      </c>
      <c r="C387" s="69" t="str">
        <f>_xlfn.XLOOKUP(B:B,Master!A:A,Master!B:B)</f>
        <v>RPSPL-KNP</v>
      </c>
      <c r="D387" s="509" t="s">
        <v>1025</v>
      </c>
      <c r="E387" s="69" t="str">
        <f t="shared" si="29"/>
        <v>430220309</v>
      </c>
      <c r="F387" s="509" t="s">
        <v>1026</v>
      </c>
      <c r="G387" s="70" t="str">
        <f>VLOOKUP(D387,Master!C:G,4,)</f>
        <v>NFL</v>
      </c>
      <c r="H387" s="69" t="str">
        <f>VLOOKUP(D387,Master!C:G,5,)</f>
        <v>OS - Dry</v>
      </c>
      <c r="I387" s="549">
        <v>192.96</v>
      </c>
      <c r="J387" s="549">
        <v>0</v>
      </c>
      <c r="K387" s="71">
        <f t="shared" si="30"/>
        <v>0</v>
      </c>
      <c r="L387" s="549">
        <v>0</v>
      </c>
      <c r="M387" s="511"/>
      <c r="N387" s="549">
        <v>0</v>
      </c>
      <c r="O387" s="549">
        <v>0</v>
      </c>
      <c r="P387" s="72">
        <f t="shared" si="31"/>
        <v>192.96</v>
      </c>
      <c r="Q387" s="72">
        <f>IFERROR(IF(D387=20250,O387/(#REF!/30),O387/(I387/30)),0)</f>
        <v>0</v>
      </c>
      <c r="R387" s="72">
        <f t="shared" si="32"/>
        <v>0</v>
      </c>
      <c r="AC387"/>
      <c r="AD387"/>
      <c r="AE387"/>
      <c r="AF387"/>
      <c r="AG387"/>
      <c r="AH387"/>
      <c r="AI387"/>
      <c r="AJ387"/>
    </row>
    <row r="388" spans="1:36" ht="15">
      <c r="A388" s="352" t="str">
        <f t="shared" si="28"/>
        <v>430220661</v>
      </c>
      <c r="B388" s="509" t="s">
        <v>715</v>
      </c>
      <c r="C388" s="69" t="str">
        <f>_xlfn.XLOOKUP(B:B,Master!A:A,Master!B:B)</f>
        <v>RPSPL-KNP</v>
      </c>
      <c r="D388" s="509" t="s">
        <v>167</v>
      </c>
      <c r="E388" s="69" t="str">
        <f t="shared" si="29"/>
        <v>430220661</v>
      </c>
      <c r="F388" s="509" t="s">
        <v>168</v>
      </c>
      <c r="G388" s="70" t="str">
        <f>VLOOKUP(D388,Master!C:G,4,)</f>
        <v>UHT-Chill</v>
      </c>
      <c r="H388" s="69" t="str">
        <f>VLOOKUP(D388,Master!C:G,5,)</f>
        <v>OS-Chill</v>
      </c>
      <c r="I388" s="549">
        <v>1929.96</v>
      </c>
      <c r="J388" s="549">
        <v>36</v>
      </c>
      <c r="K388" s="71">
        <f t="shared" si="30"/>
        <v>1.8653236336504384E-2</v>
      </c>
      <c r="L388" s="549">
        <v>0</v>
      </c>
      <c r="M388" s="511"/>
      <c r="N388" s="549">
        <v>1740</v>
      </c>
      <c r="O388" s="549">
        <v>1740</v>
      </c>
      <c r="P388" s="72">
        <f t="shared" si="31"/>
        <v>153.96000000000004</v>
      </c>
      <c r="Q388" s="72">
        <f>IFERROR(IF(D388=20250,O388/(#REF!/30),O388/(I388/30)),0)</f>
        <v>27.047192687931354</v>
      </c>
      <c r="R388" s="72">
        <f t="shared" si="32"/>
        <v>27.047192687931354</v>
      </c>
      <c r="AC388"/>
      <c r="AD388"/>
      <c r="AE388"/>
      <c r="AF388"/>
      <c r="AG388"/>
      <c r="AH388"/>
      <c r="AI388"/>
      <c r="AJ388"/>
    </row>
    <row r="389" spans="1:36" ht="15">
      <c r="A389" s="352" t="str">
        <f t="shared" ref="A389:A452" si="33">B389&amp;D389</f>
        <v>430223638</v>
      </c>
      <c r="B389" s="509" t="s">
        <v>715</v>
      </c>
      <c r="C389" s="69" t="str">
        <f>_xlfn.XLOOKUP(B:B,Master!A:A,Master!B:B)</f>
        <v>RPSPL-KNP</v>
      </c>
      <c r="D389" s="509" t="s">
        <v>198</v>
      </c>
      <c r="E389" s="69" t="str">
        <f t="shared" ref="E389:E452" si="34">B389&amp;D389</f>
        <v>430223638</v>
      </c>
      <c r="F389" s="509" t="s">
        <v>199</v>
      </c>
      <c r="G389" s="70" t="str">
        <f>VLOOKUP(D389,Master!C:G,4,)</f>
        <v>DD</v>
      </c>
      <c r="H389" s="69" t="str">
        <f>VLOOKUP(D389,Master!C:G,5,)</f>
        <v>OS - Dry</v>
      </c>
      <c r="I389" s="549">
        <v>4397.5200000000004</v>
      </c>
      <c r="J389" s="549">
        <v>780</v>
      </c>
      <c r="K389" s="71">
        <f t="shared" ref="K389:K452" si="35">IFERROR(J389/I389,0)</f>
        <v>0.17737270097691424</v>
      </c>
      <c r="L389" s="549">
        <v>0</v>
      </c>
      <c r="M389" s="511"/>
      <c r="N389" s="549">
        <v>1452</v>
      </c>
      <c r="O389" s="549">
        <v>1452</v>
      </c>
      <c r="P389" s="72">
        <f t="shared" ref="P389:P452" si="36">I389-J389-O389</f>
        <v>2165.5200000000004</v>
      </c>
      <c r="Q389" s="72">
        <f>IFERROR(IF(D389=20250,O389/(#REF!/30),O389/(I389/30)),0)</f>
        <v>9.905583146864597</v>
      </c>
      <c r="R389" s="72">
        <f t="shared" ref="R389:R452" si="37">IFERROR(N389/(I389/30),0)</f>
        <v>9.905583146864597</v>
      </c>
      <c r="AC389"/>
      <c r="AD389"/>
      <c r="AE389"/>
      <c r="AF389"/>
      <c r="AG389"/>
      <c r="AH389"/>
      <c r="AI389"/>
      <c r="AJ389"/>
    </row>
    <row r="390" spans="1:36" ht="15">
      <c r="A390" s="352" t="str">
        <f t="shared" si="33"/>
        <v>430225885</v>
      </c>
      <c r="B390" s="509" t="s">
        <v>715</v>
      </c>
      <c r="C390" s="69" t="str">
        <f>_xlfn.XLOOKUP(B:B,Master!A:A,Master!B:B)</f>
        <v>RPSPL-KNP</v>
      </c>
      <c r="D390" s="509" t="s">
        <v>1037</v>
      </c>
      <c r="E390" s="69" t="str">
        <f t="shared" si="34"/>
        <v>430225885</v>
      </c>
      <c r="F390" s="509" t="s">
        <v>1038</v>
      </c>
      <c r="G390" s="70" t="str">
        <f>VLOOKUP(D390,Master!C:G,4,)</f>
        <v>T&amp;I</v>
      </c>
      <c r="H390" s="69" t="str">
        <f>VLOOKUP(D390,Master!C:G,5,)</f>
        <v>T&amp;I EX UF</v>
      </c>
      <c r="I390" s="549">
        <v>771.96</v>
      </c>
      <c r="J390" s="549">
        <v>156</v>
      </c>
      <c r="K390" s="71">
        <f t="shared" si="35"/>
        <v>0.20208300948235658</v>
      </c>
      <c r="L390" s="549">
        <v>0</v>
      </c>
      <c r="M390" s="511"/>
      <c r="N390" s="549">
        <v>708</v>
      </c>
      <c r="O390" s="549">
        <v>708</v>
      </c>
      <c r="P390" s="72">
        <f t="shared" si="36"/>
        <v>-92.039999999999964</v>
      </c>
      <c r="Q390" s="72">
        <f>IFERROR(IF(D390=20250,O390/(#REF!/30),O390/(I390/30)),0)</f>
        <v>27.51437898336701</v>
      </c>
      <c r="R390" s="72">
        <f t="shared" si="37"/>
        <v>27.51437898336701</v>
      </c>
      <c r="AC390"/>
      <c r="AD390"/>
      <c r="AE390"/>
      <c r="AF390"/>
      <c r="AG390"/>
      <c r="AH390"/>
      <c r="AI390"/>
      <c r="AJ390"/>
    </row>
    <row r="391" spans="1:36" ht="15">
      <c r="A391" s="352" t="str">
        <f t="shared" si="33"/>
        <v>430226234</v>
      </c>
      <c r="B391" s="509" t="s">
        <v>715</v>
      </c>
      <c r="C391" s="69" t="str">
        <f>_xlfn.XLOOKUP(B:B,Master!A:A,Master!B:B)</f>
        <v>RPSPL-KNP</v>
      </c>
      <c r="D391" s="509" t="s">
        <v>1176</v>
      </c>
      <c r="E391" s="69" t="str">
        <f t="shared" si="34"/>
        <v>430226234</v>
      </c>
      <c r="F391" s="509" t="s">
        <v>1182</v>
      </c>
      <c r="G391" s="70" t="str">
        <f>VLOOKUP(D391,Master!C:G,4,)</f>
        <v>T&amp;I</v>
      </c>
      <c r="H391" s="69" t="str">
        <f>VLOOKUP(D391,Master!C:G,5,)</f>
        <v>T&amp;I EX UF</v>
      </c>
      <c r="I391" s="549">
        <v>0</v>
      </c>
      <c r="J391" s="549">
        <v>0</v>
      </c>
      <c r="K391" s="71">
        <f t="shared" si="35"/>
        <v>0</v>
      </c>
      <c r="L391" s="549">
        <v>0</v>
      </c>
      <c r="M391" s="511"/>
      <c r="N391" s="549">
        <v>336</v>
      </c>
      <c r="O391" s="549">
        <v>336</v>
      </c>
      <c r="P391" s="72">
        <f t="shared" si="36"/>
        <v>-336</v>
      </c>
      <c r="Q391" s="72">
        <f>IFERROR(IF(D391=20250,O391/(#REF!/30),O391/(I391/30)),0)</f>
        <v>0</v>
      </c>
      <c r="R391" s="72">
        <f t="shared" si="37"/>
        <v>0</v>
      </c>
      <c r="AC391"/>
      <c r="AD391"/>
      <c r="AE391"/>
      <c r="AF391"/>
      <c r="AG391"/>
      <c r="AH391"/>
      <c r="AI391"/>
      <c r="AJ391"/>
    </row>
    <row r="392" spans="1:36" ht="15">
      <c r="A392" s="352" t="str">
        <f t="shared" si="33"/>
        <v>430226745</v>
      </c>
      <c r="B392" s="509" t="s">
        <v>715</v>
      </c>
      <c r="C392" s="69" t="str">
        <f>_xlfn.XLOOKUP(B:B,Master!A:A,Master!B:B)</f>
        <v>RPSPL-KNP</v>
      </c>
      <c r="D392" s="509" t="s">
        <v>1232</v>
      </c>
      <c r="E392" s="69" t="str">
        <f t="shared" si="34"/>
        <v>430226745</v>
      </c>
      <c r="F392" s="509" t="s">
        <v>1237</v>
      </c>
      <c r="G392" s="70" t="str">
        <f>VLOOKUP(D392,Master!C:G,4,)</f>
        <v>NFL</v>
      </c>
      <c r="H392" s="69" t="str">
        <f>VLOOKUP(D392,Master!C:G,5,)</f>
        <v>PF MFG</v>
      </c>
      <c r="I392" s="549">
        <v>192.96</v>
      </c>
      <c r="J392" s="549">
        <v>0</v>
      </c>
      <c r="K392" s="71">
        <f t="shared" si="35"/>
        <v>0</v>
      </c>
      <c r="L392" s="549">
        <v>0</v>
      </c>
      <c r="M392" s="511"/>
      <c r="N392" s="549">
        <v>0</v>
      </c>
      <c r="O392" s="549">
        <v>0</v>
      </c>
      <c r="P392" s="72">
        <f t="shared" si="36"/>
        <v>192.96</v>
      </c>
      <c r="Q392" s="72">
        <f>IFERROR(IF(D392=20250,O392/(#REF!/30),O392/(I392/30)),0)</f>
        <v>0</v>
      </c>
      <c r="R392" s="72">
        <f t="shared" si="37"/>
        <v>0</v>
      </c>
      <c r="AC392"/>
      <c r="AD392"/>
      <c r="AE392"/>
      <c r="AF392"/>
      <c r="AG392"/>
      <c r="AH392"/>
      <c r="AI392"/>
      <c r="AJ392"/>
    </row>
    <row r="393" spans="1:36" ht="15">
      <c r="A393" s="352" t="str">
        <f t="shared" si="33"/>
        <v>430204145</v>
      </c>
      <c r="B393" s="509" t="s">
        <v>715</v>
      </c>
      <c r="C393" s="69" t="str">
        <f>_xlfn.XLOOKUP(B:B,Master!A:A,Master!B:B)</f>
        <v>RPSPL-KNP</v>
      </c>
      <c r="D393" s="509" t="s">
        <v>34</v>
      </c>
      <c r="E393" s="69" t="str">
        <f t="shared" si="34"/>
        <v>430204145</v>
      </c>
      <c r="F393" s="509" t="s">
        <v>35</v>
      </c>
      <c r="G393" s="70" t="str">
        <f>VLOOKUP(D393,Master!C:G,4,)</f>
        <v>NGL</v>
      </c>
      <c r="H393" s="69" t="str">
        <f>VLOOKUP(D393,Master!C:G,5,)</f>
        <v>UF-Dry</v>
      </c>
      <c r="I393" s="549">
        <v>289.98</v>
      </c>
      <c r="J393" s="549">
        <v>126</v>
      </c>
      <c r="K393" s="71">
        <f t="shared" si="35"/>
        <v>0.4345127250155183</v>
      </c>
      <c r="L393" s="549">
        <v>0</v>
      </c>
      <c r="M393" s="511"/>
      <c r="N393" s="549">
        <v>522</v>
      </c>
      <c r="O393" s="549">
        <v>522</v>
      </c>
      <c r="P393" s="72">
        <f t="shared" si="36"/>
        <v>-358.02</v>
      </c>
      <c r="Q393" s="72">
        <f>IFERROR(IF(D393=20250,O393/(#REF!/30),O393/(I393/30)),0)</f>
        <v>54.003724394785849</v>
      </c>
      <c r="R393" s="72">
        <f t="shared" si="37"/>
        <v>54.003724394785849</v>
      </c>
      <c r="AC393"/>
      <c r="AD393"/>
      <c r="AE393"/>
      <c r="AF393"/>
      <c r="AG393"/>
      <c r="AH393"/>
      <c r="AI393"/>
      <c r="AJ393"/>
    </row>
    <row r="394" spans="1:36" ht="15">
      <c r="A394" s="352" t="str">
        <f t="shared" si="33"/>
        <v>430214248</v>
      </c>
      <c r="B394" s="509" t="s">
        <v>715</v>
      </c>
      <c r="C394" s="69" t="str">
        <f>_xlfn.XLOOKUP(B:B,Master!A:A,Master!B:B)</f>
        <v>RPSPL-KNP</v>
      </c>
      <c r="D394" s="509" t="s">
        <v>41</v>
      </c>
      <c r="E394" s="69" t="str">
        <f t="shared" si="34"/>
        <v>430214248</v>
      </c>
      <c r="F394" s="509" t="s">
        <v>42</v>
      </c>
      <c r="G394" s="70" t="str">
        <f>VLOOKUP(D394,Master!C:G,4,)</f>
        <v>NGL</v>
      </c>
      <c r="H394" s="69" t="str">
        <f>VLOOKUP(D394,Master!C:G,5,)</f>
        <v>UF-Dry</v>
      </c>
      <c r="I394" s="549">
        <v>1930</v>
      </c>
      <c r="J394" s="549">
        <v>640</v>
      </c>
      <c r="K394" s="71">
        <f t="shared" si="35"/>
        <v>0.33160621761658032</v>
      </c>
      <c r="L394" s="549">
        <v>0</v>
      </c>
      <c r="M394" s="511"/>
      <c r="N394" s="549">
        <v>2320</v>
      </c>
      <c r="O394" s="549">
        <v>2320</v>
      </c>
      <c r="P394" s="72">
        <f t="shared" si="36"/>
        <v>-1030</v>
      </c>
      <c r="Q394" s="72">
        <f>IFERROR(IF(D394=20250,O394/(#REF!/30),O394/(I394/30)),0)</f>
        <v>36.062176165803109</v>
      </c>
      <c r="R394" s="72">
        <f t="shared" si="37"/>
        <v>36.062176165803109</v>
      </c>
      <c r="AC394"/>
      <c r="AD394"/>
      <c r="AE394"/>
      <c r="AF394"/>
      <c r="AG394"/>
      <c r="AH394"/>
      <c r="AI394"/>
      <c r="AJ394"/>
    </row>
    <row r="395" spans="1:36" ht="15">
      <c r="A395" s="352" t="str">
        <f t="shared" si="33"/>
        <v>430215305</v>
      </c>
      <c r="B395" s="509" t="s">
        <v>715</v>
      </c>
      <c r="C395" s="69" t="str">
        <f>_xlfn.XLOOKUP(B:B,Master!A:A,Master!B:B)</f>
        <v>RPSPL-KNP</v>
      </c>
      <c r="D395" s="509" t="s">
        <v>45</v>
      </c>
      <c r="E395" s="69" t="str">
        <f t="shared" si="34"/>
        <v>430215305</v>
      </c>
      <c r="F395" s="509" t="s">
        <v>46</v>
      </c>
      <c r="G395" s="70" t="str">
        <f>VLOOKUP(D395,Master!C:G,4,)</f>
        <v>NGL</v>
      </c>
      <c r="H395" s="69" t="str">
        <f>VLOOKUP(D395,Master!C:G,5,)</f>
        <v>UF-Dry</v>
      </c>
      <c r="I395" s="549">
        <v>482.94</v>
      </c>
      <c r="J395" s="549">
        <v>180</v>
      </c>
      <c r="K395" s="71">
        <f t="shared" si="35"/>
        <v>0.37271710771524413</v>
      </c>
      <c r="L395" s="549">
        <v>0</v>
      </c>
      <c r="M395" s="511"/>
      <c r="N395" s="549">
        <v>306</v>
      </c>
      <c r="O395" s="549">
        <v>306</v>
      </c>
      <c r="P395" s="72">
        <f t="shared" si="36"/>
        <v>-3.0600000000000023</v>
      </c>
      <c r="Q395" s="72">
        <f>IFERROR(IF(D395=20250,O395/(#REF!/30),O395/(I395/30)),0)</f>
        <v>19.008572493477452</v>
      </c>
      <c r="R395" s="72">
        <f t="shared" si="37"/>
        <v>19.008572493477452</v>
      </c>
      <c r="AC395"/>
      <c r="AD395"/>
      <c r="AE395"/>
      <c r="AF395"/>
      <c r="AG395"/>
      <c r="AH395"/>
      <c r="AI395"/>
      <c r="AJ395"/>
    </row>
    <row r="396" spans="1:36" ht="15">
      <c r="A396" s="352" t="str">
        <f t="shared" si="33"/>
        <v>430215312</v>
      </c>
      <c r="B396" s="509" t="s">
        <v>715</v>
      </c>
      <c r="C396" s="69" t="str">
        <f>_xlfn.XLOOKUP(B:B,Master!A:A,Master!B:B)</f>
        <v>RPSPL-KNP</v>
      </c>
      <c r="D396" s="509" t="s">
        <v>47</v>
      </c>
      <c r="E396" s="69" t="str">
        <f t="shared" si="34"/>
        <v>430215312</v>
      </c>
      <c r="F396" s="509" t="s">
        <v>48</v>
      </c>
      <c r="G396" s="70" t="str">
        <f>VLOOKUP(D396,Master!C:G,4,)</f>
        <v>NGL</v>
      </c>
      <c r="H396" s="69" t="str">
        <f>VLOOKUP(D396,Master!C:G,5,)</f>
        <v>UF-Dry</v>
      </c>
      <c r="I396" s="549">
        <v>96.93</v>
      </c>
      <c r="J396" s="549">
        <v>27</v>
      </c>
      <c r="K396" s="71">
        <f t="shared" si="35"/>
        <v>0.27855153203342614</v>
      </c>
      <c r="L396" s="549">
        <v>0</v>
      </c>
      <c r="M396" s="511"/>
      <c r="N396" s="549">
        <v>162</v>
      </c>
      <c r="O396" s="549">
        <v>162</v>
      </c>
      <c r="P396" s="72">
        <f t="shared" si="36"/>
        <v>-92.07</v>
      </c>
      <c r="Q396" s="72">
        <f>IFERROR(IF(D396=20250,O396/(#REF!/30),O396/(I396/30)),0)</f>
        <v>50.139275766016709</v>
      </c>
      <c r="R396" s="72">
        <f t="shared" si="37"/>
        <v>50.139275766016709</v>
      </c>
      <c r="AC396"/>
      <c r="AD396"/>
      <c r="AE396"/>
      <c r="AF396"/>
      <c r="AG396"/>
      <c r="AH396"/>
      <c r="AI396"/>
      <c r="AJ396"/>
    </row>
    <row r="397" spans="1:36" ht="15">
      <c r="A397" s="352" t="str">
        <f t="shared" si="33"/>
        <v>430216407</v>
      </c>
      <c r="B397" s="509" t="s">
        <v>715</v>
      </c>
      <c r="C397" s="69" t="str">
        <f>_xlfn.XLOOKUP(B:B,Master!A:A,Master!B:B)</f>
        <v>RPSPL-KNP</v>
      </c>
      <c r="D397" s="509" t="s">
        <v>49</v>
      </c>
      <c r="E397" s="69" t="str">
        <f t="shared" si="34"/>
        <v>430216407</v>
      </c>
      <c r="F397" s="509" t="s">
        <v>50</v>
      </c>
      <c r="G397" s="70" t="str">
        <f>VLOOKUP(D397,Master!C:G,4,)</f>
        <v>NGL</v>
      </c>
      <c r="H397" s="69" t="str">
        <f>VLOOKUP(D397,Master!C:G,5,)</f>
        <v>UF-Dry</v>
      </c>
      <c r="I397" s="549">
        <v>643.32000000000005</v>
      </c>
      <c r="J397" s="549">
        <v>243</v>
      </c>
      <c r="K397" s="71">
        <f t="shared" si="35"/>
        <v>0.37772803581421371</v>
      </c>
      <c r="L397" s="549">
        <v>0</v>
      </c>
      <c r="M397" s="511"/>
      <c r="N397" s="549">
        <v>405</v>
      </c>
      <c r="O397" s="549">
        <v>405</v>
      </c>
      <c r="P397" s="72">
        <f t="shared" si="36"/>
        <v>-4.67999999999995</v>
      </c>
      <c r="Q397" s="72">
        <f>IFERROR(IF(D397=20250,O397/(#REF!/30),O397/(I397/30)),0)</f>
        <v>18.886401790710686</v>
      </c>
      <c r="R397" s="72">
        <f t="shared" si="37"/>
        <v>18.886401790710686</v>
      </c>
      <c r="AC397"/>
      <c r="AD397"/>
      <c r="AE397"/>
      <c r="AF397"/>
      <c r="AG397"/>
      <c r="AH397"/>
      <c r="AI397"/>
      <c r="AJ397"/>
    </row>
    <row r="398" spans="1:36" ht="15">
      <c r="A398" s="352" t="str">
        <f t="shared" si="33"/>
        <v>430200189</v>
      </c>
      <c r="B398" s="509" t="s">
        <v>715</v>
      </c>
      <c r="C398" s="69" t="str">
        <f>_xlfn.XLOOKUP(B:B,Master!A:A,Master!B:B)</f>
        <v>RPSPL-KNP</v>
      </c>
      <c r="D398" s="509" t="s">
        <v>51</v>
      </c>
      <c r="E398" s="69" t="str">
        <f t="shared" si="34"/>
        <v>430200189</v>
      </c>
      <c r="F398" s="509" t="s">
        <v>903</v>
      </c>
      <c r="G398" s="70" t="str">
        <f>VLOOKUP(D398,Master!C:G,4,)</f>
        <v>T&amp;I</v>
      </c>
      <c r="H398" s="69" t="str">
        <f>VLOOKUP(D398,Master!C:G,5,)</f>
        <v>T&amp;I Comm-UF</v>
      </c>
      <c r="I398" s="549">
        <v>25739.040000000001</v>
      </c>
      <c r="J398" s="549">
        <v>18168</v>
      </c>
      <c r="K398" s="71">
        <f t="shared" si="35"/>
        <v>0.70585383137832647</v>
      </c>
      <c r="L398" s="549">
        <v>0</v>
      </c>
      <c r="M398" s="511"/>
      <c r="N398" s="549">
        <v>17772</v>
      </c>
      <c r="O398" s="549">
        <v>17772</v>
      </c>
      <c r="P398" s="72">
        <f t="shared" si="36"/>
        <v>-10200.959999999999</v>
      </c>
      <c r="Q398" s="72">
        <f>IFERROR(IF(D398=20250,O398/(#REF!/30),O398/(I398/30)),0)</f>
        <v>20.714059265613635</v>
      </c>
      <c r="R398" s="72">
        <f t="shared" si="37"/>
        <v>20.714059265613635</v>
      </c>
      <c r="AC398"/>
      <c r="AD398"/>
      <c r="AE398"/>
      <c r="AF398"/>
      <c r="AG398"/>
      <c r="AH398"/>
      <c r="AI398"/>
      <c r="AJ398"/>
    </row>
    <row r="399" spans="1:36" ht="15">
      <c r="A399" s="352" t="str">
        <f t="shared" si="33"/>
        <v>430201167</v>
      </c>
      <c r="B399" s="509" t="s">
        <v>715</v>
      </c>
      <c r="C399" s="69" t="str">
        <f>_xlfn.XLOOKUP(B:B,Master!A:A,Master!B:B)</f>
        <v>RPSPL-KNP</v>
      </c>
      <c r="D399" s="509" t="s">
        <v>53</v>
      </c>
      <c r="E399" s="69" t="str">
        <f t="shared" si="34"/>
        <v>430201167</v>
      </c>
      <c r="F399" s="509" t="s">
        <v>54</v>
      </c>
      <c r="G399" s="70" t="str">
        <f>VLOOKUP(D399,Master!C:G,4,)</f>
        <v>T&amp;I</v>
      </c>
      <c r="H399" s="69" t="str">
        <f>VLOOKUP(D399,Master!C:G,5,)</f>
        <v>T&amp;I EX UF</v>
      </c>
      <c r="I399" s="549">
        <v>2251.6799999999998</v>
      </c>
      <c r="J399" s="549">
        <v>1680</v>
      </c>
      <c r="K399" s="71">
        <f t="shared" si="35"/>
        <v>0.74610957151993185</v>
      </c>
      <c r="L399" s="549">
        <v>0</v>
      </c>
      <c r="M399" s="511"/>
      <c r="N399" s="549">
        <v>2040</v>
      </c>
      <c r="O399" s="549">
        <v>2040</v>
      </c>
      <c r="P399" s="72">
        <f t="shared" si="36"/>
        <v>-1468.3200000000002</v>
      </c>
      <c r="Q399" s="72">
        <f>IFERROR(IF(D399=20250,O399/(#REF!/30),O399/(I399/30)),0)</f>
        <v>27.179705819654657</v>
      </c>
      <c r="R399" s="72">
        <f t="shared" si="37"/>
        <v>27.179705819654657</v>
      </c>
      <c r="AC399"/>
      <c r="AD399"/>
      <c r="AE399"/>
      <c r="AF399"/>
      <c r="AG399"/>
      <c r="AH399"/>
      <c r="AI399"/>
      <c r="AJ399"/>
    </row>
    <row r="400" spans="1:36" ht="15">
      <c r="A400" s="352" t="str">
        <f t="shared" si="33"/>
        <v>430201296</v>
      </c>
      <c r="B400" s="509" t="s">
        <v>715</v>
      </c>
      <c r="C400" s="69" t="str">
        <f>_xlfn.XLOOKUP(B:B,Master!A:A,Master!B:B)</f>
        <v>RPSPL-KNP</v>
      </c>
      <c r="D400" s="509" t="s">
        <v>15</v>
      </c>
      <c r="E400" s="69" t="str">
        <f t="shared" si="34"/>
        <v>430201296</v>
      </c>
      <c r="F400" s="509" t="s">
        <v>16</v>
      </c>
      <c r="G400" s="70" t="str">
        <f>VLOOKUP(D400,Master!C:G,4,)</f>
        <v>T&amp;I</v>
      </c>
      <c r="H400" s="69" t="str">
        <f>VLOOKUP(D400,Master!C:G,5,)</f>
        <v>T&amp;I EX HP 2 KG</v>
      </c>
      <c r="I400" s="549">
        <v>2896.08</v>
      </c>
      <c r="J400" s="549">
        <v>1644</v>
      </c>
      <c r="K400" s="71">
        <f t="shared" si="35"/>
        <v>0.56766387668848928</v>
      </c>
      <c r="L400" s="549">
        <v>0</v>
      </c>
      <c r="M400" s="511"/>
      <c r="N400" s="549">
        <v>2604</v>
      </c>
      <c r="O400" s="549">
        <v>2604</v>
      </c>
      <c r="P400" s="72">
        <f t="shared" si="36"/>
        <v>-1351.92</v>
      </c>
      <c r="Q400" s="72">
        <f>IFERROR(IF(D400=20250,O400/(#REF!/30),O400/(I400/30)),0)</f>
        <v>26.974392972569817</v>
      </c>
      <c r="R400" s="72">
        <f t="shared" si="37"/>
        <v>26.974392972569817</v>
      </c>
      <c r="AC400"/>
      <c r="AD400"/>
      <c r="AE400"/>
      <c r="AF400"/>
      <c r="AG400"/>
      <c r="AH400"/>
      <c r="AI400"/>
      <c r="AJ400"/>
    </row>
    <row r="401" spans="1:36" ht="15">
      <c r="A401" s="352" t="str">
        <f t="shared" si="33"/>
        <v>430202122</v>
      </c>
      <c r="B401" s="509" t="s">
        <v>715</v>
      </c>
      <c r="C401" s="69" t="str">
        <f>_xlfn.XLOOKUP(B:B,Master!A:A,Master!B:B)</f>
        <v>RPSPL-KNP</v>
      </c>
      <c r="D401" s="509" t="s">
        <v>55</v>
      </c>
      <c r="E401" s="69" t="str">
        <f t="shared" si="34"/>
        <v>430202122</v>
      </c>
      <c r="F401" s="509" t="s">
        <v>56</v>
      </c>
      <c r="G401" s="70" t="str">
        <f>VLOOKUP(D401,Master!C:G,4,)</f>
        <v>T&amp;I</v>
      </c>
      <c r="H401" s="69" t="str">
        <f>VLOOKUP(D401,Master!C:G,5,)</f>
        <v>T&amp;I EX HP 2 KG</v>
      </c>
      <c r="I401" s="549">
        <v>5791.08</v>
      </c>
      <c r="J401" s="549">
        <v>5196</v>
      </c>
      <c r="K401" s="71">
        <f t="shared" si="35"/>
        <v>0.89724196522928368</v>
      </c>
      <c r="L401" s="549">
        <v>0</v>
      </c>
      <c r="M401" s="511"/>
      <c r="N401" s="549">
        <v>3684</v>
      </c>
      <c r="O401" s="549">
        <v>3684</v>
      </c>
      <c r="P401" s="72">
        <f t="shared" si="36"/>
        <v>-3088.92</v>
      </c>
      <c r="Q401" s="72">
        <f>IFERROR(IF(D401=20250,O401/(#REF!/30),O401/(I401/30)),0)</f>
        <v>19.084523094137882</v>
      </c>
      <c r="R401" s="72">
        <f t="shared" si="37"/>
        <v>19.084523094137882</v>
      </c>
      <c r="AC401"/>
      <c r="AD401"/>
      <c r="AE401"/>
      <c r="AF401"/>
      <c r="AG401"/>
      <c r="AH401"/>
      <c r="AI401"/>
      <c r="AJ401"/>
    </row>
    <row r="402" spans="1:36" ht="15">
      <c r="A402" s="352" t="str">
        <f t="shared" si="33"/>
        <v>430206982</v>
      </c>
      <c r="B402" s="509" t="s">
        <v>715</v>
      </c>
      <c r="C402" s="69" t="str">
        <f>_xlfn.XLOOKUP(B:B,Master!A:A,Master!B:B)</f>
        <v>RPSPL-KNP</v>
      </c>
      <c r="D402" s="509" t="s">
        <v>59</v>
      </c>
      <c r="E402" s="69" t="str">
        <f t="shared" si="34"/>
        <v>430206982</v>
      </c>
      <c r="F402" s="509" t="s">
        <v>60</v>
      </c>
      <c r="G402" s="70" t="str">
        <f>VLOOKUP(D402,Master!C:G,4,)</f>
        <v>T&amp;I</v>
      </c>
      <c r="H402" s="69" t="str">
        <f>VLOOKUP(D402,Master!C:G,5,)</f>
        <v>T&amp;I Comm-UF</v>
      </c>
      <c r="I402" s="549">
        <v>4182.72</v>
      </c>
      <c r="J402" s="549">
        <v>456</v>
      </c>
      <c r="K402" s="71">
        <f t="shared" si="35"/>
        <v>0.10901996786779894</v>
      </c>
      <c r="L402" s="549">
        <v>0</v>
      </c>
      <c r="M402" s="511"/>
      <c r="N402" s="549">
        <v>7908</v>
      </c>
      <c r="O402" s="549">
        <v>7908</v>
      </c>
      <c r="P402" s="72">
        <f t="shared" si="36"/>
        <v>-4181.28</v>
      </c>
      <c r="Q402" s="72">
        <f>IFERROR(IF(D402=20250,O402/(#REF!/30),O402/(I402/30)),0)</f>
        <v>56.719072756483818</v>
      </c>
      <c r="R402" s="72">
        <f t="shared" si="37"/>
        <v>56.719072756483818</v>
      </c>
      <c r="AC402"/>
      <c r="AD402"/>
      <c r="AE402"/>
      <c r="AF402"/>
      <c r="AG402"/>
      <c r="AH402"/>
      <c r="AI402"/>
      <c r="AJ402"/>
    </row>
    <row r="403" spans="1:36" ht="15">
      <c r="A403" s="352" t="str">
        <f t="shared" si="33"/>
        <v>430207310</v>
      </c>
      <c r="B403" s="509" t="s">
        <v>715</v>
      </c>
      <c r="C403" s="69" t="str">
        <f>_xlfn.XLOOKUP(B:B,Master!A:A,Master!B:B)</f>
        <v>RPSPL-KNP</v>
      </c>
      <c r="D403" s="509" t="s">
        <v>19</v>
      </c>
      <c r="E403" s="69" t="str">
        <f t="shared" si="34"/>
        <v>430207310</v>
      </c>
      <c r="F403" s="509" t="s">
        <v>20</v>
      </c>
      <c r="G403" s="70" t="str">
        <f>VLOOKUP(D403,Master!C:G,4,)</f>
        <v>T&amp;I</v>
      </c>
      <c r="H403" s="69" t="str">
        <f>VLOOKUP(D403,Master!C:G,5,)</f>
        <v>T&amp;I Comm -HP</v>
      </c>
      <c r="I403" s="549">
        <v>30565.200000000001</v>
      </c>
      <c r="J403" s="549">
        <v>14004</v>
      </c>
      <c r="K403" s="71">
        <f t="shared" si="35"/>
        <v>0.45816811275568292</v>
      </c>
      <c r="L403" s="549">
        <v>0</v>
      </c>
      <c r="M403" s="511"/>
      <c r="N403" s="549">
        <v>27576</v>
      </c>
      <c r="O403" s="549">
        <v>27576</v>
      </c>
      <c r="P403" s="72">
        <f t="shared" si="36"/>
        <v>-11014.8</v>
      </c>
      <c r="Q403" s="72">
        <f>IFERROR(IF(D403=20250,O403/(#REF!/30),O403/(I403/30)),0)</f>
        <v>27.066075144281733</v>
      </c>
      <c r="R403" s="72">
        <f t="shared" si="37"/>
        <v>27.066075144281733</v>
      </c>
      <c r="AC403"/>
      <c r="AD403"/>
      <c r="AE403"/>
      <c r="AF403"/>
      <c r="AG403"/>
      <c r="AH403"/>
      <c r="AI403"/>
      <c r="AJ403"/>
    </row>
    <row r="404" spans="1:36" ht="15">
      <c r="A404" s="352" t="str">
        <f t="shared" si="33"/>
        <v>430208529</v>
      </c>
      <c r="B404" s="509" t="s">
        <v>715</v>
      </c>
      <c r="C404" s="69" t="str">
        <f>_xlfn.XLOOKUP(B:B,Master!A:A,Master!B:B)</f>
        <v>RPSPL-KNP</v>
      </c>
      <c r="D404" s="509" t="s">
        <v>61</v>
      </c>
      <c r="E404" s="69" t="str">
        <f t="shared" si="34"/>
        <v>430208529</v>
      </c>
      <c r="F404" s="509" t="s">
        <v>62</v>
      </c>
      <c r="G404" s="70" t="str">
        <f>VLOOKUP(D404,Master!C:G,4,)</f>
        <v>T&amp;I</v>
      </c>
      <c r="H404" s="69" t="str">
        <f>VLOOKUP(D404,Master!C:G,5,)</f>
        <v>T&amp;I EX HP 2 KG</v>
      </c>
      <c r="I404" s="549">
        <v>7722.24</v>
      </c>
      <c r="J404" s="549">
        <v>4848</v>
      </c>
      <c r="K404" s="71">
        <f t="shared" si="35"/>
        <v>0.62779711586275488</v>
      </c>
      <c r="L404" s="549">
        <v>0</v>
      </c>
      <c r="M404" s="511"/>
      <c r="N404" s="549">
        <v>6600</v>
      </c>
      <c r="O404" s="549">
        <v>6600</v>
      </c>
      <c r="P404" s="72">
        <f t="shared" si="36"/>
        <v>-3725.76</v>
      </c>
      <c r="Q404" s="72">
        <f>IFERROR(IF(D404=20250,O404/(#REF!/30),O404/(I404/30)),0)</f>
        <v>25.64022874191944</v>
      </c>
      <c r="R404" s="72">
        <f t="shared" si="37"/>
        <v>25.64022874191944</v>
      </c>
      <c r="AC404"/>
      <c r="AD404"/>
      <c r="AE404"/>
      <c r="AF404"/>
      <c r="AG404"/>
      <c r="AH404"/>
      <c r="AI404"/>
      <c r="AJ404"/>
    </row>
    <row r="405" spans="1:36" ht="15">
      <c r="A405" s="352" t="str">
        <f t="shared" si="33"/>
        <v>430213179</v>
      </c>
      <c r="B405" s="509" t="s">
        <v>715</v>
      </c>
      <c r="C405" s="69" t="str">
        <f>_xlfn.XLOOKUP(B:B,Master!A:A,Master!B:B)</f>
        <v>RPSPL-KNP</v>
      </c>
      <c r="D405" s="509" t="s">
        <v>22</v>
      </c>
      <c r="E405" s="69" t="str">
        <f t="shared" si="34"/>
        <v>430213179</v>
      </c>
      <c r="F405" s="509" t="s">
        <v>23</v>
      </c>
      <c r="G405" s="70" t="str">
        <f>VLOOKUP(D405,Master!C:G,4,)</f>
        <v>T&amp;I</v>
      </c>
      <c r="H405" s="69" t="str">
        <f>VLOOKUP(D405,Master!C:G,5,)</f>
        <v>T&amp;I EX HP 2 KG</v>
      </c>
      <c r="I405" s="549">
        <v>57913.8</v>
      </c>
      <c r="J405" s="549">
        <v>32760</v>
      </c>
      <c r="K405" s="71">
        <f t="shared" si="35"/>
        <v>0.56566828631517874</v>
      </c>
      <c r="L405" s="549">
        <v>0</v>
      </c>
      <c r="M405" s="511"/>
      <c r="N405" s="549">
        <v>46488</v>
      </c>
      <c r="O405" s="549">
        <v>46488</v>
      </c>
      <c r="P405" s="72">
        <f t="shared" si="36"/>
        <v>-21334.199999999997</v>
      </c>
      <c r="Q405" s="72">
        <f>IFERROR(IF(D405=20250,O405/(#REF!/30),O405/(I405/30)),0)</f>
        <v>24.081307045989039</v>
      </c>
      <c r="R405" s="72">
        <f t="shared" si="37"/>
        <v>24.081307045989039</v>
      </c>
      <c r="AC405"/>
      <c r="AD405"/>
      <c r="AE405"/>
      <c r="AF405"/>
      <c r="AG405"/>
      <c r="AH405"/>
      <c r="AI405"/>
      <c r="AJ405"/>
    </row>
    <row r="406" spans="1:36" ht="15">
      <c r="A406" s="352" t="str">
        <f t="shared" si="33"/>
        <v>430213678</v>
      </c>
      <c r="B406" s="509" t="s">
        <v>715</v>
      </c>
      <c r="C406" s="69" t="str">
        <f>_xlfn.XLOOKUP(B:B,Master!A:A,Master!B:B)</f>
        <v>RPSPL-KNP</v>
      </c>
      <c r="D406" s="509" t="s">
        <v>65</v>
      </c>
      <c r="E406" s="69" t="str">
        <f t="shared" si="34"/>
        <v>430213678</v>
      </c>
      <c r="F406" s="509" t="s">
        <v>66</v>
      </c>
      <c r="G406" s="70" t="str">
        <f>VLOOKUP(D406,Master!C:G,4,)</f>
        <v>T&amp;I</v>
      </c>
      <c r="H406" s="69" t="str">
        <f>VLOOKUP(D406,Master!C:G,5,)</f>
        <v>T&amp;I EX HP</v>
      </c>
      <c r="I406" s="549">
        <v>9000</v>
      </c>
      <c r="J406" s="549">
        <v>7104</v>
      </c>
      <c r="K406" s="71">
        <f t="shared" si="35"/>
        <v>0.78933333333333333</v>
      </c>
      <c r="L406" s="549">
        <v>0</v>
      </c>
      <c r="M406" s="511"/>
      <c r="N406" s="549">
        <v>6372</v>
      </c>
      <c r="O406" s="549">
        <v>6372</v>
      </c>
      <c r="P406" s="72">
        <f t="shared" si="36"/>
        <v>-4476</v>
      </c>
      <c r="Q406" s="72">
        <f>IFERROR(IF(D406=20250,O406/(#REF!/30),O406/(I406/30)),0)</f>
        <v>21.24</v>
      </c>
      <c r="R406" s="72">
        <f t="shared" si="37"/>
        <v>21.24</v>
      </c>
      <c r="AC406"/>
      <c r="AD406"/>
      <c r="AE406"/>
      <c r="AF406"/>
      <c r="AG406"/>
      <c r="AH406"/>
      <c r="AI406"/>
      <c r="AJ406"/>
    </row>
    <row r="407" spans="1:36" ht="15">
      <c r="A407" s="352" t="str">
        <f t="shared" si="33"/>
        <v>430214654</v>
      </c>
      <c r="B407" s="509" t="s">
        <v>715</v>
      </c>
      <c r="C407" s="69" t="str">
        <f>_xlfn.XLOOKUP(B:B,Master!A:A,Master!B:B)</f>
        <v>RPSPL-KNP</v>
      </c>
      <c r="D407" s="509" t="s">
        <v>67</v>
      </c>
      <c r="E407" s="69" t="str">
        <f t="shared" si="34"/>
        <v>430214654</v>
      </c>
      <c r="F407" s="509" t="s">
        <v>68</v>
      </c>
      <c r="G407" s="70" t="str">
        <f>VLOOKUP(D407,Master!C:G,4,)</f>
        <v>T&amp;I</v>
      </c>
      <c r="H407" s="69" t="str">
        <f>VLOOKUP(D407,Master!C:G,5,)</f>
        <v>T&amp;I Comm-UF</v>
      </c>
      <c r="I407" s="549">
        <v>5147.76</v>
      </c>
      <c r="J407" s="549">
        <v>3180</v>
      </c>
      <c r="K407" s="71">
        <f t="shared" si="35"/>
        <v>0.61774441698913696</v>
      </c>
      <c r="L407" s="549">
        <v>0</v>
      </c>
      <c r="M407" s="511"/>
      <c r="N407" s="549">
        <v>1020</v>
      </c>
      <c r="O407" s="549">
        <v>1020</v>
      </c>
      <c r="P407" s="72">
        <f t="shared" si="36"/>
        <v>947.76000000000022</v>
      </c>
      <c r="Q407" s="72">
        <f>IFERROR(IF(D407=20250,O407/(#REF!/30),O407/(I407/30)),0)</f>
        <v>5.9443330691407521</v>
      </c>
      <c r="R407" s="72">
        <f t="shared" si="37"/>
        <v>5.9443330691407521</v>
      </c>
      <c r="AC407"/>
      <c r="AD407"/>
      <c r="AE407"/>
      <c r="AF407"/>
      <c r="AG407"/>
      <c r="AH407"/>
      <c r="AI407"/>
      <c r="AJ407"/>
    </row>
    <row r="408" spans="1:36" ht="15">
      <c r="A408" s="352" t="str">
        <f t="shared" si="33"/>
        <v>430215536</v>
      </c>
      <c r="B408" s="509" t="s">
        <v>715</v>
      </c>
      <c r="C408" s="69" t="str">
        <f>_xlfn.XLOOKUP(B:B,Master!A:A,Master!B:B)</f>
        <v>RPSPL-KNP</v>
      </c>
      <c r="D408" s="509" t="s">
        <v>71</v>
      </c>
      <c r="E408" s="69" t="str">
        <f t="shared" si="34"/>
        <v>430215536</v>
      </c>
      <c r="F408" s="509" t="s">
        <v>72</v>
      </c>
      <c r="G408" s="70" t="str">
        <f>VLOOKUP(D408,Master!C:G,4,)</f>
        <v>Ganache</v>
      </c>
      <c r="H408" s="69" t="str">
        <f>VLOOKUP(D408,Master!C:G,5,)</f>
        <v>Ganache- UF</v>
      </c>
      <c r="I408" s="549">
        <v>9652.2000000000007</v>
      </c>
      <c r="J408" s="549">
        <v>5448</v>
      </c>
      <c r="K408" s="71">
        <f t="shared" si="35"/>
        <v>0.56443090694349474</v>
      </c>
      <c r="L408" s="549">
        <v>0</v>
      </c>
      <c r="M408" s="511"/>
      <c r="N408" s="549">
        <v>12612</v>
      </c>
      <c r="O408" s="549">
        <v>12612</v>
      </c>
      <c r="P408" s="72">
        <f t="shared" si="36"/>
        <v>-8407.7999999999993</v>
      </c>
      <c r="Q408" s="72">
        <f>IFERROR(IF(D408=20250,O408/(#REF!/30),O408/(I408/30)),0)</f>
        <v>39.199353515260768</v>
      </c>
      <c r="R408" s="72">
        <f t="shared" si="37"/>
        <v>39.199353515260768</v>
      </c>
      <c r="AC408"/>
      <c r="AD408"/>
      <c r="AE408"/>
      <c r="AF408"/>
      <c r="AG408"/>
      <c r="AH408"/>
      <c r="AI408"/>
      <c r="AJ408"/>
    </row>
    <row r="409" spans="1:36" ht="15">
      <c r="A409" s="352" t="str">
        <f t="shared" si="33"/>
        <v>430215906</v>
      </c>
      <c r="B409" s="509" t="s">
        <v>715</v>
      </c>
      <c r="C409" s="69" t="str">
        <f>_xlfn.XLOOKUP(B:B,Master!A:A,Master!B:B)</f>
        <v>RPSPL-KNP</v>
      </c>
      <c r="D409" s="509" t="s">
        <v>74</v>
      </c>
      <c r="E409" s="69" t="str">
        <f t="shared" si="34"/>
        <v>430215906</v>
      </c>
      <c r="F409" s="509" t="s">
        <v>75</v>
      </c>
      <c r="G409" s="70" t="str">
        <f>VLOOKUP(D409,Master!C:G,4,)</f>
        <v>T&amp;I</v>
      </c>
      <c r="H409" s="69" t="str">
        <f>VLOOKUP(D409,Master!C:G,5,)</f>
        <v>T&amp;I EX HP</v>
      </c>
      <c r="I409" s="549">
        <v>0</v>
      </c>
      <c r="J409" s="549">
        <v>0</v>
      </c>
      <c r="K409" s="71">
        <f t="shared" si="35"/>
        <v>0</v>
      </c>
      <c r="L409" s="549">
        <v>0</v>
      </c>
      <c r="M409" s="511"/>
      <c r="N409" s="549">
        <v>252</v>
      </c>
      <c r="O409" s="549">
        <v>252</v>
      </c>
      <c r="P409" s="72">
        <f t="shared" si="36"/>
        <v>-252</v>
      </c>
      <c r="Q409" s="72">
        <f>IFERROR(IF(D409=20250,O409/(#REF!/30),O409/(I409/30)),0)</f>
        <v>0</v>
      </c>
      <c r="R409" s="72">
        <f t="shared" si="37"/>
        <v>0</v>
      </c>
      <c r="AC409"/>
      <c r="AD409"/>
      <c r="AE409"/>
      <c r="AF409"/>
      <c r="AG409"/>
      <c r="AH409"/>
      <c r="AI409"/>
      <c r="AJ409"/>
    </row>
    <row r="410" spans="1:36" ht="15">
      <c r="A410" s="352" t="str">
        <f t="shared" si="33"/>
        <v>430216336</v>
      </c>
      <c r="B410" s="509" t="s">
        <v>715</v>
      </c>
      <c r="C410" s="69" t="str">
        <f>_xlfn.XLOOKUP(B:B,Master!A:A,Master!B:B)</f>
        <v>RPSPL-KNP</v>
      </c>
      <c r="D410" s="509" t="s">
        <v>24</v>
      </c>
      <c r="E410" s="69" t="str">
        <f t="shared" si="34"/>
        <v>430216336</v>
      </c>
      <c r="F410" s="509" t="s">
        <v>25</v>
      </c>
      <c r="G410" s="70" t="str">
        <f>VLOOKUP(D410,Master!C:G,4,)</f>
        <v>T&amp;I</v>
      </c>
      <c r="H410" s="69" t="str">
        <f>VLOOKUP(D410,Master!C:G,5,)</f>
        <v>T&amp;I Comm-UF</v>
      </c>
      <c r="I410" s="549">
        <v>66172.44</v>
      </c>
      <c r="J410" s="549">
        <v>42360</v>
      </c>
      <c r="K410" s="71">
        <f t="shared" si="35"/>
        <v>0.64014565580474281</v>
      </c>
      <c r="L410" s="549">
        <v>0</v>
      </c>
      <c r="M410" s="511"/>
      <c r="N410" s="549">
        <v>42708</v>
      </c>
      <c r="O410" s="549">
        <v>42708</v>
      </c>
      <c r="P410" s="72">
        <f t="shared" si="36"/>
        <v>-18895.559999999998</v>
      </c>
      <c r="Q410" s="72">
        <f>IFERROR(IF(D410=20250,O410/(#REF!/30),O410/(I410/30)),0)</f>
        <v>19.362139283363284</v>
      </c>
      <c r="R410" s="72">
        <f t="shared" si="37"/>
        <v>19.362139283363284</v>
      </c>
      <c r="AC410"/>
      <c r="AD410"/>
      <c r="AE410"/>
      <c r="AF410"/>
      <c r="AG410"/>
      <c r="AH410"/>
      <c r="AI410"/>
      <c r="AJ410"/>
    </row>
    <row r="411" spans="1:36" ht="15">
      <c r="A411" s="352" t="str">
        <f t="shared" si="33"/>
        <v>430216984</v>
      </c>
      <c r="B411" s="509" t="s">
        <v>715</v>
      </c>
      <c r="C411" s="69" t="str">
        <f>_xlfn.XLOOKUP(B:B,Master!A:A,Master!B:B)</f>
        <v>RPSPL-KNP</v>
      </c>
      <c r="D411" s="509" t="s">
        <v>78</v>
      </c>
      <c r="E411" s="69" t="str">
        <f t="shared" si="34"/>
        <v>430216984</v>
      </c>
      <c r="F411" s="509" t="s">
        <v>79</v>
      </c>
      <c r="G411" s="70" t="str">
        <f>VLOOKUP(D411,Master!C:G,4,)</f>
        <v>T&amp;I</v>
      </c>
      <c r="H411" s="69" t="str">
        <f>VLOOKUP(D411,Master!C:G,5,)</f>
        <v>T&amp;I EX HP</v>
      </c>
      <c r="I411" s="549">
        <v>257.27999999999997</v>
      </c>
      <c r="J411" s="549">
        <v>48</v>
      </c>
      <c r="K411" s="71">
        <f t="shared" si="35"/>
        <v>0.18656716417910449</v>
      </c>
      <c r="L411" s="549">
        <v>0</v>
      </c>
      <c r="M411" s="511"/>
      <c r="N411" s="549">
        <v>444</v>
      </c>
      <c r="O411" s="549">
        <v>444</v>
      </c>
      <c r="P411" s="72">
        <f t="shared" si="36"/>
        <v>-234.72000000000003</v>
      </c>
      <c r="Q411" s="72">
        <f>IFERROR(IF(D411=20250,O411/(#REF!/30),O411/(I411/30)),0)</f>
        <v>51.772388059701498</v>
      </c>
      <c r="R411" s="72">
        <f t="shared" si="37"/>
        <v>51.772388059701498</v>
      </c>
      <c r="AC411"/>
      <c r="AD411"/>
      <c r="AE411"/>
      <c r="AF411"/>
      <c r="AG411"/>
      <c r="AH411"/>
      <c r="AI411"/>
      <c r="AJ411"/>
    </row>
    <row r="412" spans="1:36" ht="15">
      <c r="A412" s="352" t="str">
        <f t="shared" si="33"/>
        <v>430216998</v>
      </c>
      <c r="B412" s="509" t="s">
        <v>715</v>
      </c>
      <c r="C412" s="69" t="str">
        <f>_xlfn.XLOOKUP(B:B,Master!A:A,Master!B:B)</f>
        <v>RPSPL-KNP</v>
      </c>
      <c r="D412" s="509" t="s">
        <v>80</v>
      </c>
      <c r="E412" s="69" t="str">
        <f t="shared" si="34"/>
        <v>430216998</v>
      </c>
      <c r="F412" s="509" t="s">
        <v>81</v>
      </c>
      <c r="G412" s="70" t="str">
        <f>VLOOKUP(D412,Master!C:G,4,)</f>
        <v>T&amp;I</v>
      </c>
      <c r="H412" s="69" t="str">
        <f>VLOOKUP(D412,Master!C:G,5,)</f>
        <v>T&amp;I EX UF</v>
      </c>
      <c r="I412" s="549">
        <v>2574.36</v>
      </c>
      <c r="J412" s="549">
        <v>840</v>
      </c>
      <c r="K412" s="71">
        <f t="shared" si="35"/>
        <v>0.32629469071924672</v>
      </c>
      <c r="L412" s="549">
        <v>0</v>
      </c>
      <c r="M412" s="511"/>
      <c r="N412" s="549">
        <v>4248</v>
      </c>
      <c r="O412" s="549">
        <v>4248</v>
      </c>
      <c r="P412" s="72">
        <f t="shared" si="36"/>
        <v>-2513.64</v>
      </c>
      <c r="Q412" s="72">
        <f>IFERROR(IF(D412=20250,O412/(#REF!/30),O412/(I412/30)),0)</f>
        <v>49.503565934834292</v>
      </c>
      <c r="R412" s="72">
        <f t="shared" si="37"/>
        <v>49.503565934834292</v>
      </c>
      <c r="AC412"/>
      <c r="AD412"/>
      <c r="AE412"/>
      <c r="AF412"/>
      <c r="AG412"/>
      <c r="AH412"/>
      <c r="AI412"/>
      <c r="AJ412"/>
    </row>
    <row r="413" spans="1:36" ht="15">
      <c r="A413" s="352" t="str">
        <f t="shared" si="33"/>
        <v>430218098</v>
      </c>
      <c r="B413" s="509" t="s">
        <v>715</v>
      </c>
      <c r="C413" s="69" t="str">
        <f>_xlfn.XLOOKUP(B:B,Master!A:A,Master!B:B)</f>
        <v>RPSPL-KNP</v>
      </c>
      <c r="D413" s="509" t="s">
        <v>84</v>
      </c>
      <c r="E413" s="69" t="str">
        <f t="shared" si="34"/>
        <v>430218098</v>
      </c>
      <c r="F413" s="509" t="s">
        <v>1222</v>
      </c>
      <c r="G413" s="70" t="str">
        <f>VLOOKUP(D413,Master!C:G,4,)</f>
        <v>T&amp;I</v>
      </c>
      <c r="H413" s="69" t="str">
        <f>VLOOKUP(D413,Master!C:G,5,)</f>
        <v>T&amp;I EX HP</v>
      </c>
      <c r="I413" s="549">
        <v>2251.6799999999998</v>
      </c>
      <c r="J413" s="549">
        <v>432</v>
      </c>
      <c r="K413" s="71">
        <f t="shared" si="35"/>
        <v>0.19185674696226818</v>
      </c>
      <c r="L413" s="549">
        <v>0</v>
      </c>
      <c r="M413" s="511"/>
      <c r="N413" s="549">
        <v>2148</v>
      </c>
      <c r="O413" s="549">
        <v>2148</v>
      </c>
      <c r="P413" s="72">
        <f t="shared" si="36"/>
        <v>-328.32000000000016</v>
      </c>
      <c r="Q413" s="72">
        <f>IFERROR(IF(D413=20250,O413/(#REF!/30),O413/(I413/30)),0)</f>
        <v>28.618631421871669</v>
      </c>
      <c r="R413" s="72">
        <f t="shared" si="37"/>
        <v>28.618631421871669</v>
      </c>
      <c r="AC413"/>
      <c r="AD413"/>
      <c r="AE413"/>
      <c r="AF413"/>
      <c r="AG413"/>
      <c r="AH413"/>
      <c r="AI413"/>
      <c r="AJ413"/>
    </row>
    <row r="414" spans="1:36" ht="15">
      <c r="A414" s="352" t="str">
        <f t="shared" si="33"/>
        <v>430220308</v>
      </c>
      <c r="B414" s="509" t="s">
        <v>715</v>
      </c>
      <c r="C414" s="69" t="str">
        <f>_xlfn.XLOOKUP(B:B,Master!A:A,Master!B:B)</f>
        <v>RPSPL-KNP</v>
      </c>
      <c r="D414" s="509" t="s">
        <v>146</v>
      </c>
      <c r="E414" s="69" t="str">
        <f t="shared" si="34"/>
        <v>430220308</v>
      </c>
      <c r="F414" s="509" t="s">
        <v>902</v>
      </c>
      <c r="G414" s="70" t="str">
        <f>VLOOKUP(D414,Master!C:G,4,)</f>
        <v>T&amp;I</v>
      </c>
      <c r="H414" s="69" t="str">
        <f>VLOOKUP(D414,Master!C:G,5,)</f>
        <v>T&amp;I EX HP 2 KG</v>
      </c>
      <c r="I414" s="549">
        <v>4826.04</v>
      </c>
      <c r="J414" s="549">
        <v>1572</v>
      </c>
      <c r="K414" s="71">
        <f t="shared" si="35"/>
        <v>0.32573289902280128</v>
      </c>
      <c r="L414" s="549">
        <v>0</v>
      </c>
      <c r="M414" s="511"/>
      <c r="N414" s="549">
        <v>5388</v>
      </c>
      <c r="O414" s="549">
        <v>5388</v>
      </c>
      <c r="P414" s="72">
        <f t="shared" si="36"/>
        <v>-2133.96</v>
      </c>
      <c r="Q414" s="72">
        <f>IFERROR(IF(D414=20250,O414/(#REF!/30),O414/(I414/30)),0)</f>
        <v>33.493298853718578</v>
      </c>
      <c r="R414" s="72">
        <f t="shared" si="37"/>
        <v>33.493298853718578</v>
      </c>
      <c r="AC414"/>
      <c r="AD414"/>
      <c r="AE414"/>
      <c r="AF414"/>
      <c r="AG414"/>
      <c r="AH414"/>
      <c r="AI414"/>
      <c r="AJ414"/>
    </row>
    <row r="415" spans="1:36" ht="15">
      <c r="A415" s="352" t="str">
        <f t="shared" si="33"/>
        <v>430220827</v>
      </c>
      <c r="B415" s="509" t="s">
        <v>715</v>
      </c>
      <c r="C415" s="69" t="str">
        <f>_xlfn.XLOOKUP(B:B,Master!A:A,Master!B:B)</f>
        <v>RPSPL-KNP</v>
      </c>
      <c r="D415" s="509" t="s">
        <v>149</v>
      </c>
      <c r="E415" s="69" t="str">
        <f t="shared" si="34"/>
        <v>430220827</v>
      </c>
      <c r="F415" s="509" t="s">
        <v>150</v>
      </c>
      <c r="G415" s="70" t="str">
        <f>VLOOKUP(D415,Master!C:G,4,)</f>
        <v>Ganache</v>
      </c>
      <c r="H415" s="69" t="str">
        <f>VLOOKUP(D415,Master!C:G,5,)</f>
        <v>Ganache- UF</v>
      </c>
      <c r="I415" s="549">
        <v>3539.4</v>
      </c>
      <c r="J415" s="549">
        <v>2244</v>
      </c>
      <c r="K415" s="71">
        <f t="shared" si="35"/>
        <v>0.63400576368876083</v>
      </c>
      <c r="L415" s="549">
        <v>0</v>
      </c>
      <c r="M415" s="511"/>
      <c r="N415" s="549">
        <v>2916</v>
      </c>
      <c r="O415" s="549">
        <v>2916</v>
      </c>
      <c r="P415" s="72">
        <f t="shared" si="36"/>
        <v>-1620.6</v>
      </c>
      <c r="Q415" s="72">
        <f>IFERROR(IF(D415=20250,O415/(#REF!/30),O415/(I415/30)),0)</f>
        <v>24.716053568401424</v>
      </c>
      <c r="R415" s="72">
        <f t="shared" si="37"/>
        <v>24.716053568401424</v>
      </c>
      <c r="AC415"/>
      <c r="AD415"/>
      <c r="AE415"/>
      <c r="AF415"/>
      <c r="AG415"/>
      <c r="AH415"/>
      <c r="AI415"/>
      <c r="AJ415"/>
    </row>
    <row r="416" spans="1:36" ht="15">
      <c r="A416" s="352" t="str">
        <f t="shared" si="33"/>
        <v>430221910</v>
      </c>
      <c r="B416" s="509" t="s">
        <v>715</v>
      </c>
      <c r="C416" s="69" t="str">
        <f>_xlfn.XLOOKUP(B:B,Master!A:A,Master!B:B)</f>
        <v>RPSPL-KNP</v>
      </c>
      <c r="D416" s="509" t="s">
        <v>180</v>
      </c>
      <c r="E416" s="69" t="str">
        <f t="shared" si="34"/>
        <v>430221910</v>
      </c>
      <c r="F416" s="509" t="s">
        <v>181</v>
      </c>
      <c r="G416" s="70" t="str">
        <f>VLOOKUP(D416,Master!C:G,4,)</f>
        <v>T&amp;I</v>
      </c>
      <c r="H416" s="69" t="str">
        <f>VLOOKUP(D416,Master!C:G,5,)</f>
        <v>T&amp;I EX HP 2 KG</v>
      </c>
      <c r="I416" s="549">
        <v>7722.24</v>
      </c>
      <c r="J416" s="549">
        <v>3960</v>
      </c>
      <c r="K416" s="71">
        <f t="shared" si="35"/>
        <v>0.51280457483838893</v>
      </c>
      <c r="L416" s="549">
        <v>0</v>
      </c>
      <c r="M416" s="511"/>
      <c r="N416" s="549">
        <v>6048</v>
      </c>
      <c r="O416" s="549">
        <v>6048</v>
      </c>
      <c r="P416" s="72">
        <f t="shared" si="36"/>
        <v>-2285.7600000000002</v>
      </c>
      <c r="Q416" s="72">
        <f>IFERROR(IF(D416=20250,O416/(#REF!/30),O416/(I416/30)),0)</f>
        <v>23.495773247140725</v>
      </c>
      <c r="R416" s="72">
        <f t="shared" si="37"/>
        <v>23.495773247140725</v>
      </c>
      <c r="AC416"/>
      <c r="AD416"/>
      <c r="AE416"/>
      <c r="AF416"/>
      <c r="AG416"/>
      <c r="AH416"/>
      <c r="AI416"/>
      <c r="AJ416"/>
    </row>
    <row r="417" spans="1:36" ht="15">
      <c r="A417" s="352" t="str">
        <f t="shared" si="33"/>
        <v>430223081</v>
      </c>
      <c r="B417" s="509" t="s">
        <v>715</v>
      </c>
      <c r="C417" s="69" t="str">
        <f>_xlfn.XLOOKUP(B:B,Master!A:A,Master!B:B)</f>
        <v>RPSPL-KNP</v>
      </c>
      <c r="D417" s="509" t="s">
        <v>189</v>
      </c>
      <c r="E417" s="69" t="str">
        <f t="shared" si="34"/>
        <v>430223081</v>
      </c>
      <c r="F417" s="509" t="s">
        <v>190</v>
      </c>
      <c r="G417" s="70" t="str">
        <f>VLOOKUP(D417,Master!C:G,4,)</f>
        <v>T&amp;I</v>
      </c>
      <c r="H417" s="69" t="str">
        <f>VLOOKUP(D417,Master!C:G,5,)</f>
        <v>T&amp;I EX HP</v>
      </c>
      <c r="I417" s="549">
        <v>2574.36</v>
      </c>
      <c r="J417" s="549">
        <v>876</v>
      </c>
      <c r="K417" s="71">
        <f t="shared" si="35"/>
        <v>0.3402787488929287</v>
      </c>
      <c r="L417" s="549">
        <v>0</v>
      </c>
      <c r="M417" s="511"/>
      <c r="N417" s="549">
        <v>1536</v>
      </c>
      <c r="O417" s="549">
        <v>1536</v>
      </c>
      <c r="P417" s="72">
        <f t="shared" si="36"/>
        <v>162.36000000000013</v>
      </c>
      <c r="Q417" s="72">
        <f>IFERROR(IF(D417=20250,O417/(#REF!/30),O417/(I417/30)),0)</f>
        <v>17.899594462312965</v>
      </c>
      <c r="R417" s="72">
        <f t="shared" si="37"/>
        <v>17.899594462312965</v>
      </c>
      <c r="AC417"/>
      <c r="AD417"/>
      <c r="AE417"/>
      <c r="AF417"/>
      <c r="AG417"/>
      <c r="AH417"/>
      <c r="AI417"/>
      <c r="AJ417"/>
    </row>
    <row r="418" spans="1:36" ht="15">
      <c r="A418" s="352" t="str">
        <f t="shared" si="33"/>
        <v>430223401</v>
      </c>
      <c r="B418" s="509" t="s">
        <v>715</v>
      </c>
      <c r="C418" s="69" t="str">
        <f>_xlfn.XLOOKUP(B:B,Master!A:A,Master!B:B)</f>
        <v>RPSPL-KNP</v>
      </c>
      <c r="D418" s="509" t="s">
        <v>194</v>
      </c>
      <c r="E418" s="69" t="str">
        <f t="shared" si="34"/>
        <v>430223401</v>
      </c>
      <c r="F418" s="509" t="s">
        <v>195</v>
      </c>
      <c r="G418" s="70" t="str">
        <f>VLOOKUP(D418,Master!C:G,4,)</f>
        <v>T&amp;I</v>
      </c>
      <c r="H418" s="69" t="str">
        <f>VLOOKUP(D418,Master!C:G,5,)</f>
        <v>T&amp;I EX UF</v>
      </c>
      <c r="I418" s="549">
        <v>964.92</v>
      </c>
      <c r="J418" s="549">
        <v>0</v>
      </c>
      <c r="K418" s="71">
        <f t="shared" si="35"/>
        <v>0</v>
      </c>
      <c r="L418" s="549">
        <v>0</v>
      </c>
      <c r="M418" s="511"/>
      <c r="N418" s="549">
        <v>540</v>
      </c>
      <c r="O418" s="549">
        <v>540</v>
      </c>
      <c r="P418" s="72">
        <f t="shared" si="36"/>
        <v>424.91999999999996</v>
      </c>
      <c r="Q418" s="72">
        <f>IFERROR(IF(D418=20250,O418/(#REF!/30),O418/(I418/30)),0)</f>
        <v>16.78895659743813</v>
      </c>
      <c r="R418" s="72">
        <f t="shared" si="37"/>
        <v>16.78895659743813</v>
      </c>
      <c r="AC418"/>
      <c r="AD418"/>
      <c r="AE418"/>
      <c r="AF418"/>
      <c r="AG418"/>
      <c r="AH418"/>
      <c r="AI418"/>
      <c r="AJ418"/>
    </row>
    <row r="419" spans="1:36" ht="15">
      <c r="A419" s="352" t="str">
        <f t="shared" si="33"/>
        <v>430224768</v>
      </c>
      <c r="B419" s="509" t="s">
        <v>715</v>
      </c>
      <c r="C419" s="69" t="str">
        <f>_xlfn.XLOOKUP(B:B,Master!A:A,Master!B:B)</f>
        <v>RPSPL-KNP</v>
      </c>
      <c r="D419" s="509" t="s">
        <v>906</v>
      </c>
      <c r="E419" s="69" t="str">
        <f t="shared" si="34"/>
        <v>430224768</v>
      </c>
      <c r="F419" s="509" t="s">
        <v>912</v>
      </c>
      <c r="G419" s="70" t="str">
        <f>VLOOKUP(D419,Master!C:G,4,)</f>
        <v>T&amp;I</v>
      </c>
      <c r="H419" s="69" t="str">
        <f>VLOOKUP(D419,Master!C:G,5,)</f>
        <v>T&amp;I EX UF</v>
      </c>
      <c r="I419" s="549">
        <v>4826.04</v>
      </c>
      <c r="J419" s="549">
        <v>1608</v>
      </c>
      <c r="K419" s="71">
        <f t="shared" si="35"/>
        <v>0.33319243106149143</v>
      </c>
      <c r="L419" s="549">
        <v>0</v>
      </c>
      <c r="M419" s="511"/>
      <c r="N419" s="549">
        <v>6636</v>
      </c>
      <c r="O419" s="549">
        <v>6636</v>
      </c>
      <c r="P419" s="72">
        <f t="shared" si="36"/>
        <v>-3417.96</v>
      </c>
      <c r="Q419" s="72">
        <f>IFERROR(IF(D419=20250,O419/(#REF!/30),O419/(I419/30)),0)</f>
        <v>41.25121217395629</v>
      </c>
      <c r="R419" s="72">
        <f t="shared" si="37"/>
        <v>41.25121217395629</v>
      </c>
      <c r="AC419"/>
      <c r="AD419"/>
      <c r="AE419"/>
      <c r="AF419"/>
      <c r="AG419"/>
      <c r="AH419"/>
      <c r="AI419"/>
      <c r="AJ419"/>
    </row>
    <row r="420" spans="1:36" ht="15">
      <c r="A420" s="352" t="str">
        <f t="shared" si="33"/>
        <v>430225570</v>
      </c>
      <c r="B420" s="509" t="s">
        <v>715</v>
      </c>
      <c r="C420" s="69" t="str">
        <f>_xlfn.XLOOKUP(B:B,Master!A:A,Master!B:B)</f>
        <v>RPSPL-KNP</v>
      </c>
      <c r="D420" s="509" t="s">
        <v>1006</v>
      </c>
      <c r="E420" s="69" t="str">
        <f t="shared" si="34"/>
        <v>430225570</v>
      </c>
      <c r="F420" s="509" t="s">
        <v>1008</v>
      </c>
      <c r="G420" s="70" t="str">
        <f>VLOOKUP(D420,Master!C:G,4,)</f>
        <v>T&amp;I</v>
      </c>
      <c r="H420" s="69" t="str">
        <f>VLOOKUP(D420,Master!C:G,5,)</f>
        <v>T&amp;I EX HP</v>
      </c>
      <c r="I420" s="549">
        <v>3217.68</v>
      </c>
      <c r="J420" s="549">
        <v>840</v>
      </c>
      <c r="K420" s="71">
        <f t="shared" si="35"/>
        <v>0.26105765644812412</v>
      </c>
      <c r="L420" s="549">
        <v>0</v>
      </c>
      <c r="M420" s="511"/>
      <c r="N420" s="549">
        <v>3240</v>
      </c>
      <c r="O420" s="549">
        <v>3240</v>
      </c>
      <c r="P420" s="72">
        <f t="shared" si="36"/>
        <v>-862.32000000000016</v>
      </c>
      <c r="Q420" s="72">
        <f>IFERROR(IF(D420=20250,O420/(#REF!/30),O420/(I420/30)),0)</f>
        <v>30.208100246140077</v>
      </c>
      <c r="R420" s="72">
        <f t="shared" si="37"/>
        <v>30.208100246140077</v>
      </c>
      <c r="AC420"/>
      <c r="AD420"/>
      <c r="AE420"/>
      <c r="AF420"/>
      <c r="AG420"/>
      <c r="AH420"/>
      <c r="AI420"/>
      <c r="AJ420"/>
    </row>
    <row r="421" spans="1:36" ht="15">
      <c r="A421" s="352" t="str">
        <f t="shared" si="33"/>
        <v>430225598</v>
      </c>
      <c r="B421" s="509" t="s">
        <v>715</v>
      </c>
      <c r="C421" s="69" t="str">
        <f>_xlfn.XLOOKUP(B:B,Master!A:A,Master!B:B)</f>
        <v>RPSPL-KNP</v>
      </c>
      <c r="D421" s="509" t="s">
        <v>1007</v>
      </c>
      <c r="E421" s="69" t="str">
        <f t="shared" si="34"/>
        <v>430225598</v>
      </c>
      <c r="F421" s="509" t="s">
        <v>1009</v>
      </c>
      <c r="G421" s="70" t="str">
        <f>VLOOKUP(D421,Master!C:G,4,)</f>
        <v>T&amp;I</v>
      </c>
      <c r="H421" s="69" t="str">
        <f>VLOOKUP(D421,Master!C:G,5,)</f>
        <v>T&amp;I EX HP</v>
      </c>
      <c r="I421" s="549">
        <v>1286.6400000000001</v>
      </c>
      <c r="J421" s="549">
        <v>432</v>
      </c>
      <c r="K421" s="71">
        <f t="shared" si="35"/>
        <v>0.33575825405707888</v>
      </c>
      <c r="L421" s="549">
        <v>0</v>
      </c>
      <c r="M421" s="511"/>
      <c r="N421" s="549">
        <v>804</v>
      </c>
      <c r="O421" s="549">
        <v>804</v>
      </c>
      <c r="P421" s="72">
        <f t="shared" si="36"/>
        <v>50.6400000000001</v>
      </c>
      <c r="Q421" s="72">
        <f>IFERROR(IF(D421=20250,O421/(#REF!/30),O421/(I421/30)),0)</f>
        <v>18.746502518186904</v>
      </c>
      <c r="R421" s="72">
        <f t="shared" si="37"/>
        <v>18.746502518186904</v>
      </c>
      <c r="AC421"/>
      <c r="AD421"/>
      <c r="AE421"/>
      <c r="AF421"/>
      <c r="AG421"/>
      <c r="AH421"/>
      <c r="AI421"/>
      <c r="AJ421"/>
    </row>
    <row r="422" spans="1:36" ht="15">
      <c r="A422" s="352" t="str">
        <f t="shared" si="33"/>
        <v>430406151</v>
      </c>
      <c r="B422" s="509" t="s">
        <v>960</v>
      </c>
      <c r="C422" s="69" t="str">
        <f>_xlfn.XLOOKUP(B:B,Master!A:A,Master!B:B)</f>
        <v>RPSPL-Sonipat</v>
      </c>
      <c r="D422" s="509" t="s">
        <v>28</v>
      </c>
      <c r="E422" s="69" t="str">
        <f t="shared" si="34"/>
        <v>430406151</v>
      </c>
      <c r="F422" s="509" t="s">
        <v>29</v>
      </c>
      <c r="G422" s="70" t="str">
        <f>VLOOKUP(D422,Master!C:G,4,)</f>
        <v>DD</v>
      </c>
      <c r="H422" s="69" t="str">
        <f>VLOOKUP(D422,Master!C:G,5,)</f>
        <v>OS - Dry</v>
      </c>
      <c r="I422" s="549">
        <v>16999.919999999998</v>
      </c>
      <c r="J422" s="549">
        <v>11580</v>
      </c>
      <c r="K422" s="71">
        <f t="shared" si="35"/>
        <v>0.68117967613965247</v>
      </c>
      <c r="L422" s="549">
        <v>11076</v>
      </c>
      <c r="M422" s="511">
        <v>46164</v>
      </c>
      <c r="N422" s="549">
        <v>3864</v>
      </c>
      <c r="O422" s="549">
        <v>14940</v>
      </c>
      <c r="P422" s="72">
        <f t="shared" si="36"/>
        <v>-9520.0800000000017</v>
      </c>
      <c r="Q422" s="72">
        <f>IFERROR(IF(D422=20250,O422/(#REF!/30),O422/(I422/30)),0)</f>
        <v>26.364829952140951</v>
      </c>
      <c r="R422" s="72">
        <f t="shared" si="37"/>
        <v>6.8188556181440854</v>
      </c>
      <c r="AC422"/>
      <c r="AD422"/>
      <c r="AE422"/>
      <c r="AF422"/>
      <c r="AG422"/>
      <c r="AH422"/>
      <c r="AI422"/>
      <c r="AJ422"/>
    </row>
    <row r="423" spans="1:36" ht="15">
      <c r="A423" s="352" t="str">
        <f t="shared" si="33"/>
        <v>430413490</v>
      </c>
      <c r="B423" s="509" t="s">
        <v>960</v>
      </c>
      <c r="C423" s="69" t="str">
        <f>_xlfn.XLOOKUP(B:B,Master!A:A,Master!B:B)</f>
        <v>RPSPL-Sonipat</v>
      </c>
      <c r="D423" s="509" t="s">
        <v>37</v>
      </c>
      <c r="E423" s="69" t="str">
        <f t="shared" si="34"/>
        <v>430413490</v>
      </c>
      <c r="F423" s="509" t="s">
        <v>38</v>
      </c>
      <c r="G423" s="70" t="str">
        <f>VLOOKUP(D423,Master!C:G,4,)</f>
        <v>NGL</v>
      </c>
      <c r="H423" s="69" t="str">
        <f>VLOOKUP(D423,Master!C:G,5,)</f>
        <v>UF-Dry</v>
      </c>
      <c r="I423" s="549">
        <v>2890</v>
      </c>
      <c r="J423" s="549">
        <v>2000</v>
      </c>
      <c r="K423" s="71">
        <f t="shared" si="35"/>
        <v>0.69204152249134943</v>
      </c>
      <c r="L423" s="549">
        <v>0</v>
      </c>
      <c r="M423" s="511"/>
      <c r="N423" s="549">
        <v>3350</v>
      </c>
      <c r="O423" s="549">
        <v>3350</v>
      </c>
      <c r="P423" s="72">
        <f t="shared" si="36"/>
        <v>-2460</v>
      </c>
      <c r="Q423" s="72">
        <f>IFERROR(IF(D423=20250,O423/(#REF!/30),O423/(I423/30)),0)</f>
        <v>34.775086505190316</v>
      </c>
      <c r="R423" s="72">
        <f t="shared" si="37"/>
        <v>34.775086505190316</v>
      </c>
      <c r="AC423"/>
      <c r="AD423"/>
      <c r="AE423"/>
      <c r="AF423"/>
      <c r="AG423"/>
      <c r="AH423"/>
      <c r="AI423"/>
      <c r="AJ423"/>
    </row>
    <row r="424" spans="1:36" ht="15">
      <c r="A424" s="352" t="str">
        <f t="shared" si="33"/>
        <v>430415300</v>
      </c>
      <c r="B424" s="509" t="s">
        <v>960</v>
      </c>
      <c r="C424" s="69" t="str">
        <f>_xlfn.XLOOKUP(B:B,Master!A:A,Master!B:B)</f>
        <v>RPSPL-Sonipat</v>
      </c>
      <c r="D424" s="509" t="s">
        <v>43</v>
      </c>
      <c r="E424" s="69" t="str">
        <f t="shared" si="34"/>
        <v>430415300</v>
      </c>
      <c r="F424" s="509" t="s">
        <v>44</v>
      </c>
      <c r="G424" s="70" t="str">
        <f>VLOOKUP(D424,Master!C:G,4,)</f>
        <v>NGL</v>
      </c>
      <c r="H424" s="69" t="str">
        <f>VLOOKUP(D424,Master!C:G,5,)</f>
        <v>UF-Dry</v>
      </c>
      <c r="I424" s="549">
        <v>306</v>
      </c>
      <c r="J424" s="549">
        <v>72</v>
      </c>
      <c r="K424" s="71">
        <f t="shared" si="35"/>
        <v>0.23529411764705882</v>
      </c>
      <c r="L424" s="549">
        <v>0</v>
      </c>
      <c r="M424" s="511"/>
      <c r="N424" s="549">
        <v>468</v>
      </c>
      <c r="O424" s="549">
        <v>468</v>
      </c>
      <c r="P424" s="72">
        <f t="shared" si="36"/>
        <v>-234</v>
      </c>
      <c r="Q424" s="72">
        <f>IFERROR(IF(D424=20250,O424/(#REF!/30),O424/(I424/30)),0)</f>
        <v>45.882352941176471</v>
      </c>
      <c r="R424" s="72">
        <f t="shared" si="37"/>
        <v>45.882352941176471</v>
      </c>
      <c r="AC424"/>
      <c r="AD424"/>
      <c r="AE424"/>
      <c r="AF424"/>
      <c r="AG424"/>
      <c r="AH424"/>
      <c r="AI424"/>
      <c r="AJ424"/>
    </row>
    <row r="425" spans="1:36" ht="15">
      <c r="A425" s="352" t="str">
        <f t="shared" si="33"/>
        <v>430419690</v>
      </c>
      <c r="B425" s="509" t="s">
        <v>960</v>
      </c>
      <c r="C425" s="69" t="str">
        <f>_xlfn.XLOOKUP(B:B,Master!A:A,Master!B:B)</f>
        <v>RPSPL-Sonipat</v>
      </c>
      <c r="D425" s="509" t="s">
        <v>88</v>
      </c>
      <c r="E425" s="69" t="str">
        <f t="shared" si="34"/>
        <v>430419690</v>
      </c>
      <c r="F425" s="509" t="s">
        <v>89</v>
      </c>
      <c r="G425" s="70" t="str">
        <f>VLOOKUP(D425,Master!C:G,4,)</f>
        <v>NFL</v>
      </c>
      <c r="H425" s="69" t="str">
        <f>VLOOKUP(D425,Master!C:G,5,)</f>
        <v>OS - Dry</v>
      </c>
      <c r="I425" s="549">
        <v>312</v>
      </c>
      <c r="J425" s="549">
        <v>1716</v>
      </c>
      <c r="K425" s="71">
        <f t="shared" si="35"/>
        <v>5.5</v>
      </c>
      <c r="L425" s="549">
        <v>0</v>
      </c>
      <c r="M425" s="511"/>
      <c r="N425" s="549">
        <v>576</v>
      </c>
      <c r="O425" s="549">
        <v>576</v>
      </c>
      <c r="P425" s="72">
        <f t="shared" si="36"/>
        <v>-1980</v>
      </c>
      <c r="Q425" s="72">
        <f>IFERROR(IF(D425=20250,O425/(#REF!/30),O425/(I425/30)),0)</f>
        <v>55.38461538461538</v>
      </c>
      <c r="R425" s="72">
        <f t="shared" si="37"/>
        <v>55.38461538461538</v>
      </c>
      <c r="AC425"/>
      <c r="AD425"/>
      <c r="AE425"/>
      <c r="AF425"/>
      <c r="AG425"/>
      <c r="AH425"/>
      <c r="AI425"/>
      <c r="AJ425"/>
    </row>
    <row r="426" spans="1:36" ht="15">
      <c r="A426" s="352" t="str">
        <f t="shared" si="33"/>
        <v>430420661</v>
      </c>
      <c r="B426" s="509" t="s">
        <v>960</v>
      </c>
      <c r="C426" s="69" t="str">
        <f>_xlfn.XLOOKUP(B:B,Master!A:A,Master!B:B)</f>
        <v>RPSPL-Sonipat</v>
      </c>
      <c r="D426" s="509" t="s">
        <v>167</v>
      </c>
      <c r="E426" s="69" t="str">
        <f t="shared" si="34"/>
        <v>430420661</v>
      </c>
      <c r="F426" s="509" t="s">
        <v>168</v>
      </c>
      <c r="G426" s="70" t="str">
        <f>VLOOKUP(D426,Master!C:G,4,)</f>
        <v>UHT-Chill</v>
      </c>
      <c r="H426" s="69" t="str">
        <f>VLOOKUP(D426,Master!C:G,5,)</f>
        <v>OS-Chill</v>
      </c>
      <c r="I426" s="549">
        <v>3499.92</v>
      </c>
      <c r="J426" s="549">
        <v>2556</v>
      </c>
      <c r="K426" s="71">
        <f t="shared" si="35"/>
        <v>0.73030240691215798</v>
      </c>
      <c r="L426" s="549">
        <v>400</v>
      </c>
      <c r="M426" s="511"/>
      <c r="N426" s="549">
        <v>300</v>
      </c>
      <c r="O426" s="549">
        <v>700</v>
      </c>
      <c r="P426" s="72">
        <f t="shared" si="36"/>
        <v>243.92000000000007</v>
      </c>
      <c r="Q426" s="72">
        <f>IFERROR(IF(D426=20250,O426/(#REF!/30),O426/(I426/30)),0)</f>
        <v>6.0001371459919079</v>
      </c>
      <c r="R426" s="72">
        <f t="shared" si="37"/>
        <v>2.5714873482822465</v>
      </c>
      <c r="AC426"/>
      <c r="AD426"/>
      <c r="AE426"/>
      <c r="AF426"/>
      <c r="AG426"/>
      <c r="AH426"/>
      <c r="AI426"/>
      <c r="AJ426"/>
    </row>
    <row r="427" spans="1:36" ht="15">
      <c r="A427" s="352" t="str">
        <f t="shared" si="33"/>
        <v>430423638</v>
      </c>
      <c r="B427" s="509" t="s">
        <v>960</v>
      </c>
      <c r="C427" s="69" t="str">
        <f>_xlfn.XLOOKUP(B:B,Master!A:A,Master!B:B)</f>
        <v>RPSPL-Sonipat</v>
      </c>
      <c r="D427" s="509" t="s">
        <v>198</v>
      </c>
      <c r="E427" s="69" t="str">
        <f t="shared" si="34"/>
        <v>430423638</v>
      </c>
      <c r="F427" s="509" t="s">
        <v>199</v>
      </c>
      <c r="G427" s="70" t="str">
        <f>VLOOKUP(D427,Master!C:G,4,)</f>
        <v>DD</v>
      </c>
      <c r="H427" s="69" t="str">
        <f>VLOOKUP(D427,Master!C:G,5,)</f>
        <v>OS - Dry</v>
      </c>
      <c r="I427" s="549">
        <v>11499.84</v>
      </c>
      <c r="J427" s="549">
        <v>5952</v>
      </c>
      <c r="K427" s="71">
        <f t="shared" si="35"/>
        <v>0.5175724183988647</v>
      </c>
      <c r="L427" s="549">
        <v>0</v>
      </c>
      <c r="M427" s="511"/>
      <c r="N427" s="549">
        <v>6048</v>
      </c>
      <c r="O427" s="549">
        <v>6048</v>
      </c>
      <c r="P427" s="72">
        <f t="shared" si="36"/>
        <v>-500.15999999999985</v>
      </c>
      <c r="Q427" s="72">
        <f>IFERROR(IF(D427=20250,O427/(#REF!/30),O427/(I427/30)),0)</f>
        <v>15.777610818933132</v>
      </c>
      <c r="R427" s="72">
        <f t="shared" si="37"/>
        <v>15.777610818933132</v>
      </c>
      <c r="AC427"/>
      <c r="AD427"/>
      <c r="AE427"/>
      <c r="AF427"/>
      <c r="AG427"/>
      <c r="AH427"/>
      <c r="AI427"/>
      <c r="AJ427"/>
    </row>
    <row r="428" spans="1:36" ht="15">
      <c r="A428" s="352" t="str">
        <f t="shared" si="33"/>
        <v>430425885</v>
      </c>
      <c r="B428" s="509" t="s">
        <v>960</v>
      </c>
      <c r="C428" s="69" t="str">
        <f>_xlfn.XLOOKUP(B:B,Master!A:A,Master!B:B)</f>
        <v>RPSPL-Sonipat</v>
      </c>
      <c r="D428" s="509" t="s">
        <v>1037</v>
      </c>
      <c r="E428" s="69" t="str">
        <f t="shared" si="34"/>
        <v>430425885</v>
      </c>
      <c r="F428" s="509" t="s">
        <v>1038</v>
      </c>
      <c r="G428" s="70" t="str">
        <f>VLOOKUP(D428,Master!C:G,4,)</f>
        <v>T&amp;I</v>
      </c>
      <c r="H428" s="69" t="str">
        <f>VLOOKUP(D428,Master!C:G,5,)</f>
        <v>T&amp;I EX UF</v>
      </c>
      <c r="I428" s="549">
        <v>3096</v>
      </c>
      <c r="J428" s="549">
        <v>1740</v>
      </c>
      <c r="K428" s="71">
        <f t="shared" si="35"/>
        <v>0.56201550387596899</v>
      </c>
      <c r="L428" s="549">
        <v>0</v>
      </c>
      <c r="M428" s="511"/>
      <c r="N428" s="549">
        <v>2820</v>
      </c>
      <c r="O428" s="549">
        <v>2820</v>
      </c>
      <c r="P428" s="72">
        <f t="shared" si="36"/>
        <v>-1464</v>
      </c>
      <c r="Q428" s="72">
        <f>IFERROR(IF(D428=20250,O428/(#REF!/30),O428/(I428/30)),0)</f>
        <v>27.325581395348838</v>
      </c>
      <c r="R428" s="72">
        <f t="shared" si="37"/>
        <v>27.325581395348838</v>
      </c>
      <c r="AC428"/>
      <c r="AD428"/>
      <c r="AE428"/>
      <c r="AF428"/>
      <c r="AG428"/>
      <c r="AH428"/>
      <c r="AI428"/>
      <c r="AJ428"/>
    </row>
    <row r="429" spans="1:36" ht="15">
      <c r="A429" s="352" t="str">
        <f t="shared" si="33"/>
        <v>430426026</v>
      </c>
      <c r="B429" s="509" t="s">
        <v>960</v>
      </c>
      <c r="C429" s="69" t="str">
        <f>_xlfn.XLOOKUP(B:B,Master!A:A,Master!B:B)</f>
        <v>RPSPL-Sonipat</v>
      </c>
      <c r="D429" s="509" t="s">
        <v>1184</v>
      </c>
      <c r="E429" s="69" t="str">
        <f t="shared" si="34"/>
        <v>430426026</v>
      </c>
      <c r="F429" s="509" t="s">
        <v>1224</v>
      </c>
      <c r="G429" s="70" t="str">
        <f>VLOOKUP(D429,Master!C:G,4,)</f>
        <v>UHT-Chill</v>
      </c>
      <c r="H429" s="69" t="str">
        <f>VLOOKUP(D429,Master!C:G,5,)</f>
        <v>OS-Chill</v>
      </c>
      <c r="I429" s="549">
        <v>0</v>
      </c>
      <c r="J429" s="549">
        <v>0</v>
      </c>
      <c r="K429" s="71">
        <f t="shared" si="35"/>
        <v>0</v>
      </c>
      <c r="L429" s="549">
        <v>0</v>
      </c>
      <c r="M429" s="511"/>
      <c r="N429" s="549">
        <v>348</v>
      </c>
      <c r="O429" s="549">
        <v>348</v>
      </c>
      <c r="P429" s="72">
        <f t="shared" si="36"/>
        <v>-348</v>
      </c>
      <c r="Q429" s="72">
        <f>IFERROR(IF(D429=20250,O429/(#REF!/30),O429/(I429/30)),0)</f>
        <v>0</v>
      </c>
      <c r="R429" s="72">
        <f t="shared" si="37"/>
        <v>0</v>
      </c>
      <c r="AC429"/>
      <c r="AD429"/>
      <c r="AE429"/>
      <c r="AF429"/>
      <c r="AG429"/>
      <c r="AH429"/>
      <c r="AI429"/>
      <c r="AJ429"/>
    </row>
    <row r="430" spans="1:36" ht="15">
      <c r="A430" s="352" t="str">
        <f t="shared" si="33"/>
        <v>430426193</v>
      </c>
      <c r="B430" s="509" t="s">
        <v>960</v>
      </c>
      <c r="C430" s="69" t="str">
        <f>_xlfn.XLOOKUP(B:B,Master!A:A,Master!B:B)</f>
        <v>RPSPL-Sonipat</v>
      </c>
      <c r="D430" s="509" t="s">
        <v>1194</v>
      </c>
      <c r="E430" s="69" t="str">
        <f t="shared" si="34"/>
        <v>430426193</v>
      </c>
      <c r="F430" s="509" t="s">
        <v>1225</v>
      </c>
      <c r="G430" s="70" t="str">
        <f>VLOOKUP(D430,Master!C:G,4,)</f>
        <v>DD</v>
      </c>
      <c r="H430" s="69" t="str">
        <f>VLOOKUP(D430,Master!C:G,5,)</f>
        <v>OS - Dry</v>
      </c>
      <c r="I430" s="549">
        <v>2772</v>
      </c>
      <c r="J430" s="549">
        <v>6888</v>
      </c>
      <c r="K430" s="71">
        <f t="shared" si="35"/>
        <v>2.4848484848484849</v>
      </c>
      <c r="L430" s="549">
        <v>0</v>
      </c>
      <c r="M430" s="511"/>
      <c r="N430" s="549">
        <v>0</v>
      </c>
      <c r="O430" s="549">
        <v>0</v>
      </c>
      <c r="P430" s="72">
        <f t="shared" si="36"/>
        <v>-4116</v>
      </c>
      <c r="Q430" s="72">
        <f>IFERROR(IF(D430=20250,O430/(#REF!/30),O430/(I430/30)),0)</f>
        <v>0</v>
      </c>
      <c r="R430" s="72">
        <f t="shared" si="37"/>
        <v>0</v>
      </c>
      <c r="AC430"/>
      <c r="AD430"/>
      <c r="AE430"/>
      <c r="AF430"/>
      <c r="AG430"/>
      <c r="AH430"/>
      <c r="AI430"/>
      <c r="AJ430"/>
    </row>
    <row r="431" spans="1:36" ht="15">
      <c r="A431" s="352" t="str">
        <f t="shared" si="33"/>
        <v>430426234</v>
      </c>
      <c r="B431" s="509" t="s">
        <v>960</v>
      </c>
      <c r="C431" s="69" t="str">
        <f>_xlfn.XLOOKUP(B:B,Master!A:A,Master!B:B)</f>
        <v>RPSPL-Sonipat</v>
      </c>
      <c r="D431" s="509" t="s">
        <v>1176</v>
      </c>
      <c r="E431" s="69" t="str">
        <f t="shared" si="34"/>
        <v>430426234</v>
      </c>
      <c r="F431" s="509" t="s">
        <v>1182</v>
      </c>
      <c r="G431" s="70" t="str">
        <f>VLOOKUP(D431,Master!C:G,4,)</f>
        <v>T&amp;I</v>
      </c>
      <c r="H431" s="69" t="str">
        <f>VLOOKUP(D431,Master!C:G,5,)</f>
        <v>T&amp;I EX UF</v>
      </c>
      <c r="I431" s="549">
        <v>24</v>
      </c>
      <c r="J431" s="549">
        <v>0</v>
      </c>
      <c r="K431" s="71">
        <f t="shared" si="35"/>
        <v>0</v>
      </c>
      <c r="L431" s="549">
        <v>0</v>
      </c>
      <c r="M431" s="511"/>
      <c r="N431" s="549">
        <v>1056</v>
      </c>
      <c r="O431" s="549">
        <v>1056</v>
      </c>
      <c r="P431" s="72">
        <f t="shared" si="36"/>
        <v>-1032</v>
      </c>
      <c r="Q431" s="72">
        <f>IFERROR(IF(D431=20250,O431/(#REF!/30),O431/(I431/30)),0)</f>
        <v>1320</v>
      </c>
      <c r="R431" s="72">
        <f t="shared" si="37"/>
        <v>1320</v>
      </c>
      <c r="AC431"/>
      <c r="AD431"/>
      <c r="AE431"/>
      <c r="AF431"/>
      <c r="AG431"/>
      <c r="AH431"/>
      <c r="AI431"/>
      <c r="AJ431"/>
    </row>
    <row r="432" spans="1:36" ht="15">
      <c r="A432" s="352" t="str">
        <f t="shared" si="33"/>
        <v>430427021</v>
      </c>
      <c r="B432" s="509" t="s">
        <v>960</v>
      </c>
      <c r="C432" s="69" t="str">
        <f>_xlfn.XLOOKUP(B:B,Master!A:A,Master!B:B)</f>
        <v>RPSPL-Sonipat</v>
      </c>
      <c r="D432" s="509" t="s">
        <v>1243</v>
      </c>
      <c r="E432" s="69" t="str">
        <f t="shared" si="34"/>
        <v>430427021</v>
      </c>
      <c r="F432" s="509" t="s">
        <v>1244</v>
      </c>
      <c r="G432" s="70" t="e">
        <f>VLOOKUP(D432,Master!C:G,4,)</f>
        <v>#N/A</v>
      </c>
      <c r="H432" s="69" t="e">
        <f>VLOOKUP(D432,Master!C:G,5,)</f>
        <v>#N/A</v>
      </c>
      <c r="I432" s="549">
        <v>0</v>
      </c>
      <c r="J432" s="549">
        <v>0</v>
      </c>
      <c r="K432" s="71">
        <f t="shared" si="35"/>
        <v>0</v>
      </c>
      <c r="L432" s="549">
        <v>0</v>
      </c>
      <c r="M432" s="511"/>
      <c r="N432" s="549">
        <v>60</v>
      </c>
      <c r="O432" s="549">
        <v>60</v>
      </c>
      <c r="P432" s="72">
        <f t="shared" si="36"/>
        <v>-60</v>
      </c>
      <c r="Q432" s="72">
        <f>IFERROR(IF(D432=20250,O432/(#REF!/30),O432/(I432/30)),0)</f>
        <v>0</v>
      </c>
      <c r="R432" s="72">
        <f t="shared" si="37"/>
        <v>0</v>
      </c>
      <c r="AC432"/>
      <c r="AD432"/>
      <c r="AE432"/>
      <c r="AF432"/>
      <c r="AG432"/>
      <c r="AH432"/>
      <c r="AI432"/>
      <c r="AJ432"/>
    </row>
    <row r="433" spans="1:36" ht="15">
      <c r="A433" s="352" t="str">
        <f t="shared" si="33"/>
        <v>430404145</v>
      </c>
      <c r="B433" s="509" t="s">
        <v>960</v>
      </c>
      <c r="C433" s="69" t="str">
        <f>_xlfn.XLOOKUP(B:B,Master!A:A,Master!B:B)</f>
        <v>RPSPL-Sonipat</v>
      </c>
      <c r="D433" s="509" t="s">
        <v>34</v>
      </c>
      <c r="E433" s="69" t="str">
        <f t="shared" si="34"/>
        <v>430404145</v>
      </c>
      <c r="F433" s="509" t="s">
        <v>35</v>
      </c>
      <c r="G433" s="70" t="str">
        <f>VLOOKUP(D433,Master!C:G,4,)</f>
        <v>NGL</v>
      </c>
      <c r="H433" s="69" t="str">
        <f>VLOOKUP(D433,Master!C:G,5,)</f>
        <v>UF-Dry</v>
      </c>
      <c r="I433" s="549">
        <v>252</v>
      </c>
      <c r="J433" s="549">
        <v>261</v>
      </c>
      <c r="K433" s="71">
        <f t="shared" si="35"/>
        <v>1.0357142857142858</v>
      </c>
      <c r="L433" s="549">
        <v>0</v>
      </c>
      <c r="M433" s="511"/>
      <c r="N433" s="549">
        <v>378</v>
      </c>
      <c r="O433" s="549">
        <v>378</v>
      </c>
      <c r="P433" s="72">
        <f t="shared" si="36"/>
        <v>-387</v>
      </c>
      <c r="Q433" s="72">
        <f>IFERROR(IF(D433=20250,O433/(#REF!/30),O433/(I433/30)),0)</f>
        <v>45</v>
      </c>
      <c r="R433" s="72">
        <f t="shared" si="37"/>
        <v>45</v>
      </c>
      <c r="AC433"/>
      <c r="AD433"/>
      <c r="AE433"/>
      <c r="AF433"/>
      <c r="AG433"/>
      <c r="AH433"/>
      <c r="AI433"/>
      <c r="AJ433"/>
    </row>
    <row r="434" spans="1:36" ht="15">
      <c r="A434" s="352" t="str">
        <f t="shared" si="33"/>
        <v>430414248</v>
      </c>
      <c r="B434" s="509" t="s">
        <v>960</v>
      </c>
      <c r="C434" s="69" t="str">
        <f>_xlfn.XLOOKUP(B:B,Master!A:A,Master!B:B)</f>
        <v>RPSPL-Sonipat</v>
      </c>
      <c r="D434" s="509" t="s">
        <v>41</v>
      </c>
      <c r="E434" s="69" t="str">
        <f t="shared" si="34"/>
        <v>430414248</v>
      </c>
      <c r="F434" s="509" t="s">
        <v>42</v>
      </c>
      <c r="G434" s="70" t="str">
        <f>VLOOKUP(D434,Master!C:G,4,)</f>
        <v>NGL</v>
      </c>
      <c r="H434" s="69" t="str">
        <f>VLOOKUP(D434,Master!C:G,5,)</f>
        <v>UF-Dry</v>
      </c>
      <c r="I434" s="549">
        <v>1470</v>
      </c>
      <c r="J434" s="549">
        <v>1180</v>
      </c>
      <c r="K434" s="71">
        <f t="shared" si="35"/>
        <v>0.80272108843537415</v>
      </c>
      <c r="L434" s="549">
        <v>0</v>
      </c>
      <c r="M434" s="511"/>
      <c r="N434" s="549">
        <v>1800</v>
      </c>
      <c r="O434" s="549">
        <v>1800</v>
      </c>
      <c r="P434" s="72">
        <f t="shared" si="36"/>
        <v>-1510</v>
      </c>
      <c r="Q434" s="72">
        <f>IFERROR(IF(D434=20250,O434/(#REF!/30),O434/(I434/30)),0)</f>
        <v>36.734693877551024</v>
      </c>
      <c r="R434" s="72">
        <f t="shared" si="37"/>
        <v>36.734693877551024</v>
      </c>
      <c r="AC434"/>
      <c r="AD434"/>
      <c r="AE434"/>
      <c r="AF434"/>
      <c r="AG434"/>
      <c r="AH434"/>
      <c r="AI434"/>
      <c r="AJ434"/>
    </row>
    <row r="435" spans="1:36" ht="15">
      <c r="A435" s="352" t="str">
        <f t="shared" si="33"/>
        <v>430415305</v>
      </c>
      <c r="B435" s="509" t="s">
        <v>960</v>
      </c>
      <c r="C435" s="69" t="str">
        <f>_xlfn.XLOOKUP(B:B,Master!A:A,Master!B:B)</f>
        <v>RPSPL-Sonipat</v>
      </c>
      <c r="D435" s="509" t="s">
        <v>45</v>
      </c>
      <c r="E435" s="69" t="str">
        <f t="shared" si="34"/>
        <v>430415305</v>
      </c>
      <c r="F435" s="509" t="s">
        <v>46</v>
      </c>
      <c r="G435" s="70" t="str">
        <f>VLOOKUP(D435,Master!C:G,4,)</f>
        <v>NGL</v>
      </c>
      <c r="H435" s="69" t="str">
        <f>VLOOKUP(D435,Master!C:G,5,)</f>
        <v>UF-Dry</v>
      </c>
      <c r="I435" s="549">
        <v>315</v>
      </c>
      <c r="J435" s="549">
        <v>144</v>
      </c>
      <c r="K435" s="71">
        <f t="shared" si="35"/>
        <v>0.45714285714285713</v>
      </c>
      <c r="L435" s="549">
        <v>0</v>
      </c>
      <c r="M435" s="511"/>
      <c r="N435" s="549">
        <v>450</v>
      </c>
      <c r="O435" s="549">
        <v>450</v>
      </c>
      <c r="P435" s="72">
        <f t="shared" si="36"/>
        <v>-279</v>
      </c>
      <c r="Q435" s="72">
        <f>IFERROR(IF(D435=20250,O435/(#REF!/30),O435/(I435/30)),0)</f>
        <v>42.857142857142854</v>
      </c>
      <c r="R435" s="72">
        <f t="shared" si="37"/>
        <v>42.857142857142854</v>
      </c>
      <c r="AC435"/>
      <c r="AD435"/>
      <c r="AE435"/>
      <c r="AF435"/>
      <c r="AG435"/>
      <c r="AH435"/>
      <c r="AI435"/>
      <c r="AJ435"/>
    </row>
    <row r="436" spans="1:36" ht="15">
      <c r="A436" s="352" t="str">
        <f t="shared" si="33"/>
        <v>430416407</v>
      </c>
      <c r="B436" s="509" t="s">
        <v>960</v>
      </c>
      <c r="C436" s="69" t="str">
        <f>_xlfn.XLOOKUP(B:B,Master!A:A,Master!B:B)</f>
        <v>RPSPL-Sonipat</v>
      </c>
      <c r="D436" s="509" t="s">
        <v>49</v>
      </c>
      <c r="E436" s="69" t="str">
        <f t="shared" si="34"/>
        <v>430416407</v>
      </c>
      <c r="F436" s="509" t="s">
        <v>50</v>
      </c>
      <c r="G436" s="70" t="str">
        <f>VLOOKUP(D436,Master!C:G,4,)</f>
        <v>NGL</v>
      </c>
      <c r="H436" s="69" t="str">
        <f>VLOOKUP(D436,Master!C:G,5,)</f>
        <v>UF-Dry</v>
      </c>
      <c r="I436" s="549">
        <v>387</v>
      </c>
      <c r="J436" s="549">
        <v>387</v>
      </c>
      <c r="K436" s="71">
        <f t="shared" si="35"/>
        <v>1</v>
      </c>
      <c r="L436" s="549">
        <v>0</v>
      </c>
      <c r="M436" s="511"/>
      <c r="N436" s="549">
        <v>423</v>
      </c>
      <c r="O436" s="549">
        <v>423</v>
      </c>
      <c r="P436" s="72">
        <f t="shared" si="36"/>
        <v>-423</v>
      </c>
      <c r="Q436" s="72">
        <f>IFERROR(IF(D436=20250,O436/(#REF!/30),O436/(I436/30)),0)</f>
        <v>32.790697674418603</v>
      </c>
      <c r="R436" s="72">
        <f t="shared" si="37"/>
        <v>32.790697674418603</v>
      </c>
      <c r="AC436"/>
      <c r="AD436"/>
      <c r="AE436"/>
      <c r="AF436"/>
      <c r="AG436"/>
      <c r="AH436"/>
      <c r="AI436"/>
      <c r="AJ436"/>
    </row>
    <row r="437" spans="1:36" ht="15">
      <c r="A437" s="352" t="str">
        <f t="shared" si="33"/>
        <v>430400189</v>
      </c>
      <c r="B437" s="509" t="s">
        <v>960</v>
      </c>
      <c r="C437" s="69" t="str">
        <f>_xlfn.XLOOKUP(B:B,Master!A:A,Master!B:B)</f>
        <v>RPSPL-Sonipat</v>
      </c>
      <c r="D437" s="509" t="s">
        <v>51</v>
      </c>
      <c r="E437" s="69" t="str">
        <f t="shared" si="34"/>
        <v>430400189</v>
      </c>
      <c r="F437" s="509" t="s">
        <v>903</v>
      </c>
      <c r="G437" s="70" t="str">
        <f>VLOOKUP(D437,Master!C:G,4,)</f>
        <v>T&amp;I</v>
      </c>
      <c r="H437" s="69" t="str">
        <f>VLOOKUP(D437,Master!C:G,5,)</f>
        <v>T&amp;I Comm-UF</v>
      </c>
      <c r="I437" s="549">
        <v>33999.96</v>
      </c>
      <c r="J437" s="549">
        <v>23628</v>
      </c>
      <c r="K437" s="71">
        <f t="shared" si="35"/>
        <v>0.69494199404940482</v>
      </c>
      <c r="L437" s="549">
        <v>0</v>
      </c>
      <c r="M437" s="511"/>
      <c r="N437" s="549">
        <v>11628</v>
      </c>
      <c r="O437" s="549">
        <v>11628</v>
      </c>
      <c r="P437" s="72">
        <f t="shared" si="36"/>
        <v>-1256.0400000000009</v>
      </c>
      <c r="Q437" s="72">
        <f>IFERROR(IF(D437=20250,O437/(#REF!/30),O437/(I437/30)),0)</f>
        <v>10.260012070602437</v>
      </c>
      <c r="R437" s="72">
        <f t="shared" si="37"/>
        <v>10.260012070602437</v>
      </c>
      <c r="AC437"/>
      <c r="AD437"/>
      <c r="AE437"/>
      <c r="AF437"/>
      <c r="AG437"/>
      <c r="AH437"/>
      <c r="AI437"/>
      <c r="AJ437"/>
    </row>
    <row r="438" spans="1:36" ht="15">
      <c r="A438" s="352" t="str">
        <f t="shared" si="33"/>
        <v>430401167</v>
      </c>
      <c r="B438" s="509" t="s">
        <v>960</v>
      </c>
      <c r="C438" s="69" t="str">
        <f>_xlfn.XLOOKUP(B:B,Master!A:A,Master!B:B)</f>
        <v>RPSPL-Sonipat</v>
      </c>
      <c r="D438" s="509" t="s">
        <v>53</v>
      </c>
      <c r="E438" s="69" t="str">
        <f t="shared" si="34"/>
        <v>430401167</v>
      </c>
      <c r="F438" s="509" t="s">
        <v>54</v>
      </c>
      <c r="G438" s="70" t="str">
        <f>VLOOKUP(D438,Master!C:G,4,)</f>
        <v>T&amp;I</v>
      </c>
      <c r="H438" s="69" t="str">
        <f>VLOOKUP(D438,Master!C:G,5,)</f>
        <v>T&amp;I EX UF</v>
      </c>
      <c r="I438" s="549">
        <v>5151.96</v>
      </c>
      <c r="J438" s="549">
        <v>2916</v>
      </c>
      <c r="K438" s="71">
        <f t="shared" si="35"/>
        <v>0.56599818321570816</v>
      </c>
      <c r="L438" s="549">
        <v>0</v>
      </c>
      <c r="M438" s="511"/>
      <c r="N438" s="549">
        <v>3852</v>
      </c>
      <c r="O438" s="549">
        <v>3852</v>
      </c>
      <c r="P438" s="72">
        <f t="shared" si="36"/>
        <v>-1616.04</v>
      </c>
      <c r="Q438" s="72">
        <f>IFERROR(IF(D438=20250,O438/(#REF!/30),O438/(I438/30)),0)</f>
        <v>22.430298371881769</v>
      </c>
      <c r="R438" s="72">
        <f t="shared" si="37"/>
        <v>22.430298371881769</v>
      </c>
      <c r="AC438"/>
      <c r="AD438"/>
      <c r="AE438"/>
      <c r="AF438"/>
      <c r="AG438"/>
      <c r="AH438"/>
      <c r="AI438"/>
      <c r="AJ438"/>
    </row>
    <row r="439" spans="1:36" ht="15">
      <c r="A439" s="352" t="str">
        <f t="shared" si="33"/>
        <v>430401296</v>
      </c>
      <c r="B439" s="509" t="s">
        <v>960</v>
      </c>
      <c r="C439" s="69" t="str">
        <f>_xlfn.XLOOKUP(B:B,Master!A:A,Master!B:B)</f>
        <v>RPSPL-Sonipat</v>
      </c>
      <c r="D439" s="509" t="s">
        <v>15</v>
      </c>
      <c r="E439" s="69" t="str">
        <f t="shared" si="34"/>
        <v>430401296</v>
      </c>
      <c r="F439" s="509" t="s">
        <v>16</v>
      </c>
      <c r="G439" s="70" t="str">
        <f>VLOOKUP(D439,Master!C:G,4,)</f>
        <v>T&amp;I</v>
      </c>
      <c r="H439" s="69" t="str">
        <f>VLOOKUP(D439,Master!C:G,5,)</f>
        <v>T&amp;I EX HP 2 KG</v>
      </c>
      <c r="I439" s="549">
        <v>4872</v>
      </c>
      <c r="J439" s="549">
        <v>2076</v>
      </c>
      <c r="K439" s="71">
        <f t="shared" si="35"/>
        <v>0.42610837438423643</v>
      </c>
      <c r="L439" s="549">
        <v>0</v>
      </c>
      <c r="M439" s="511"/>
      <c r="N439" s="549">
        <v>3612</v>
      </c>
      <c r="O439" s="549">
        <v>3612</v>
      </c>
      <c r="P439" s="72">
        <f t="shared" si="36"/>
        <v>-816</v>
      </c>
      <c r="Q439" s="72">
        <f>IFERROR(IF(D439=20250,O439/(#REF!/30),O439/(I439/30)),0)</f>
        <v>22.241379310344826</v>
      </c>
      <c r="R439" s="72">
        <f t="shared" si="37"/>
        <v>22.241379310344826</v>
      </c>
      <c r="AC439"/>
      <c r="AD439"/>
      <c r="AE439"/>
      <c r="AF439"/>
      <c r="AG439"/>
      <c r="AH439"/>
      <c r="AI439"/>
      <c r="AJ439"/>
    </row>
    <row r="440" spans="1:36" ht="15">
      <c r="A440" s="352" t="str">
        <f t="shared" si="33"/>
        <v>430402122</v>
      </c>
      <c r="B440" s="509" t="s">
        <v>960</v>
      </c>
      <c r="C440" s="69" t="str">
        <f>_xlfn.XLOOKUP(B:B,Master!A:A,Master!B:B)</f>
        <v>RPSPL-Sonipat</v>
      </c>
      <c r="D440" s="509" t="s">
        <v>55</v>
      </c>
      <c r="E440" s="69" t="str">
        <f t="shared" si="34"/>
        <v>430402122</v>
      </c>
      <c r="F440" s="509" t="s">
        <v>56</v>
      </c>
      <c r="G440" s="70" t="str">
        <f>VLOOKUP(D440,Master!C:G,4,)</f>
        <v>T&amp;I</v>
      </c>
      <c r="H440" s="69" t="str">
        <f>VLOOKUP(D440,Master!C:G,5,)</f>
        <v>T&amp;I EX HP 2 KG</v>
      </c>
      <c r="I440" s="549">
        <v>87999.96</v>
      </c>
      <c r="J440" s="549">
        <v>48504</v>
      </c>
      <c r="K440" s="71">
        <f t="shared" si="35"/>
        <v>0.55118206871912212</v>
      </c>
      <c r="L440" s="549">
        <v>9996</v>
      </c>
      <c r="M440" s="511">
        <v>46164</v>
      </c>
      <c r="N440" s="549">
        <v>40596</v>
      </c>
      <c r="O440" s="549">
        <v>50592</v>
      </c>
      <c r="P440" s="72">
        <f t="shared" si="36"/>
        <v>-11096.039999999994</v>
      </c>
      <c r="Q440" s="72">
        <f>IFERROR(IF(D440=20250,O440/(#REF!/30),O440/(I440/30)),0)</f>
        <v>17.247280566945712</v>
      </c>
      <c r="R440" s="72">
        <f t="shared" si="37"/>
        <v>13.839551745250791</v>
      </c>
      <c r="AC440"/>
      <c r="AD440"/>
      <c r="AE440"/>
      <c r="AF440"/>
      <c r="AG440"/>
      <c r="AH440"/>
      <c r="AI440"/>
      <c r="AJ440"/>
    </row>
    <row r="441" spans="1:36" ht="15">
      <c r="A441" s="352" t="str">
        <f t="shared" si="33"/>
        <v>430406982</v>
      </c>
      <c r="B441" s="509" t="s">
        <v>960</v>
      </c>
      <c r="C441" s="69" t="str">
        <f>_xlfn.XLOOKUP(B:B,Master!A:A,Master!B:B)</f>
        <v>RPSPL-Sonipat</v>
      </c>
      <c r="D441" s="509" t="s">
        <v>59</v>
      </c>
      <c r="E441" s="69" t="str">
        <f t="shared" si="34"/>
        <v>430406982</v>
      </c>
      <c r="F441" s="509" t="s">
        <v>60</v>
      </c>
      <c r="G441" s="70" t="str">
        <f>VLOOKUP(D441,Master!C:G,4,)</f>
        <v>T&amp;I</v>
      </c>
      <c r="H441" s="69" t="str">
        <f>VLOOKUP(D441,Master!C:G,5,)</f>
        <v>T&amp;I Comm-UF</v>
      </c>
      <c r="I441" s="549">
        <v>2799.96</v>
      </c>
      <c r="J441" s="549">
        <v>1968</v>
      </c>
      <c r="K441" s="71">
        <f t="shared" si="35"/>
        <v>0.70286718381691171</v>
      </c>
      <c r="L441" s="549">
        <v>0</v>
      </c>
      <c r="M441" s="511"/>
      <c r="N441" s="549">
        <v>2280</v>
      </c>
      <c r="O441" s="549">
        <v>2280</v>
      </c>
      <c r="P441" s="72">
        <f t="shared" si="36"/>
        <v>-1448.04</v>
      </c>
      <c r="Q441" s="72">
        <f>IFERROR(IF(D441=20250,O441/(#REF!/30),O441/(I441/30)),0)</f>
        <v>24.428920413148756</v>
      </c>
      <c r="R441" s="72">
        <f t="shared" si="37"/>
        <v>24.428920413148756</v>
      </c>
      <c r="AC441"/>
      <c r="AD441"/>
      <c r="AE441"/>
      <c r="AF441"/>
      <c r="AG441"/>
      <c r="AH441"/>
      <c r="AI441"/>
      <c r="AJ441"/>
    </row>
    <row r="442" spans="1:36" ht="15">
      <c r="A442" s="352" t="str">
        <f t="shared" si="33"/>
        <v>430407310</v>
      </c>
      <c r="B442" s="509" t="s">
        <v>960</v>
      </c>
      <c r="C442" s="69" t="str">
        <f>_xlfn.XLOOKUP(B:B,Master!A:A,Master!B:B)</f>
        <v>RPSPL-Sonipat</v>
      </c>
      <c r="D442" s="509" t="s">
        <v>19</v>
      </c>
      <c r="E442" s="69" t="str">
        <f t="shared" si="34"/>
        <v>430407310</v>
      </c>
      <c r="F442" s="509" t="s">
        <v>20</v>
      </c>
      <c r="G442" s="70" t="str">
        <f>VLOOKUP(D442,Master!C:G,4,)</f>
        <v>T&amp;I</v>
      </c>
      <c r="H442" s="69" t="str">
        <f>VLOOKUP(D442,Master!C:G,5,)</f>
        <v>T&amp;I Comm -HP</v>
      </c>
      <c r="I442" s="549">
        <v>78000</v>
      </c>
      <c r="J442" s="549">
        <v>64068</v>
      </c>
      <c r="K442" s="71">
        <f t="shared" si="35"/>
        <v>0.82138461538461538</v>
      </c>
      <c r="L442" s="549">
        <v>9996</v>
      </c>
      <c r="M442" s="511">
        <v>46164</v>
      </c>
      <c r="N442" s="549">
        <v>37872</v>
      </c>
      <c r="O442" s="549">
        <v>47868</v>
      </c>
      <c r="P442" s="72">
        <f t="shared" si="36"/>
        <v>-33936</v>
      </c>
      <c r="Q442" s="72">
        <f>IFERROR(IF(D442=20250,O442/(#REF!/30),O442/(I442/30)),0)</f>
        <v>18.41076923076923</v>
      </c>
      <c r="R442" s="72">
        <f t="shared" si="37"/>
        <v>14.566153846153846</v>
      </c>
      <c r="AC442"/>
      <c r="AD442"/>
      <c r="AE442"/>
      <c r="AF442"/>
      <c r="AG442"/>
      <c r="AH442"/>
      <c r="AI442"/>
      <c r="AJ442"/>
    </row>
    <row r="443" spans="1:36" ht="15">
      <c r="A443" s="352" t="str">
        <f t="shared" si="33"/>
        <v>430408529</v>
      </c>
      <c r="B443" s="509" t="s">
        <v>960</v>
      </c>
      <c r="C443" s="69" t="str">
        <f>_xlfn.XLOOKUP(B:B,Master!A:A,Master!B:B)</f>
        <v>RPSPL-Sonipat</v>
      </c>
      <c r="D443" s="509" t="s">
        <v>61</v>
      </c>
      <c r="E443" s="69" t="str">
        <f t="shared" si="34"/>
        <v>430408529</v>
      </c>
      <c r="F443" s="509" t="s">
        <v>62</v>
      </c>
      <c r="G443" s="70" t="str">
        <f>VLOOKUP(D443,Master!C:G,4,)</f>
        <v>T&amp;I</v>
      </c>
      <c r="H443" s="69" t="str">
        <f>VLOOKUP(D443,Master!C:G,5,)</f>
        <v>T&amp;I EX HP 2 KG</v>
      </c>
      <c r="I443" s="549">
        <v>21799.919999999998</v>
      </c>
      <c r="J443" s="549">
        <v>11268</v>
      </c>
      <c r="K443" s="71">
        <f t="shared" si="35"/>
        <v>0.51688263076194774</v>
      </c>
      <c r="L443" s="549">
        <v>2208</v>
      </c>
      <c r="M443" s="511">
        <v>46164</v>
      </c>
      <c r="N443" s="549">
        <v>12540</v>
      </c>
      <c r="O443" s="549">
        <v>14748</v>
      </c>
      <c r="P443" s="72">
        <f t="shared" si="36"/>
        <v>-4216.0800000000017</v>
      </c>
      <c r="Q443" s="72">
        <f>IFERROR(IF(D443=20250,O443/(#REF!/30),O443/(I443/30)),0)</f>
        <v>20.295487322889258</v>
      </c>
      <c r="R443" s="72">
        <f t="shared" si="37"/>
        <v>17.256944062180047</v>
      </c>
      <c r="AC443"/>
      <c r="AD443"/>
      <c r="AE443"/>
      <c r="AF443"/>
      <c r="AG443"/>
      <c r="AH443"/>
      <c r="AI443"/>
      <c r="AJ443"/>
    </row>
    <row r="444" spans="1:36" ht="15">
      <c r="A444" s="352" t="str">
        <f t="shared" si="33"/>
        <v>430413179</v>
      </c>
      <c r="B444" s="509" t="s">
        <v>960</v>
      </c>
      <c r="C444" s="69" t="str">
        <f>_xlfn.XLOOKUP(B:B,Master!A:A,Master!B:B)</f>
        <v>RPSPL-Sonipat</v>
      </c>
      <c r="D444" s="509" t="s">
        <v>22</v>
      </c>
      <c r="E444" s="69" t="str">
        <f t="shared" si="34"/>
        <v>430413179</v>
      </c>
      <c r="F444" s="509" t="s">
        <v>23</v>
      </c>
      <c r="G444" s="70" t="str">
        <f>VLOOKUP(D444,Master!C:G,4,)</f>
        <v>T&amp;I</v>
      </c>
      <c r="H444" s="69" t="str">
        <f>VLOOKUP(D444,Master!C:G,5,)</f>
        <v>T&amp;I EX HP 2 KG</v>
      </c>
      <c r="I444" s="549">
        <v>99999.96</v>
      </c>
      <c r="J444" s="549">
        <v>65148</v>
      </c>
      <c r="K444" s="71">
        <f t="shared" si="35"/>
        <v>0.65148026059210418</v>
      </c>
      <c r="L444" s="549">
        <v>0</v>
      </c>
      <c r="M444" s="511"/>
      <c r="N444" s="549">
        <v>40008</v>
      </c>
      <c r="O444" s="549">
        <v>40008</v>
      </c>
      <c r="P444" s="72">
        <f t="shared" si="36"/>
        <v>-5156.0399999999936</v>
      </c>
      <c r="Q444" s="72">
        <f>IFERROR(IF(D444=20250,O444/(#REF!/30),O444/(I444/30)),0)</f>
        <v>12.002404800961919</v>
      </c>
      <c r="R444" s="72">
        <f t="shared" si="37"/>
        <v>12.002404800961919</v>
      </c>
      <c r="AC444"/>
      <c r="AD444"/>
      <c r="AE444"/>
      <c r="AF444"/>
      <c r="AG444"/>
      <c r="AH444"/>
      <c r="AI444"/>
      <c r="AJ444"/>
    </row>
    <row r="445" spans="1:36" ht="15">
      <c r="A445" s="352" t="str">
        <f t="shared" si="33"/>
        <v>430413678</v>
      </c>
      <c r="B445" s="509" t="s">
        <v>960</v>
      </c>
      <c r="C445" s="69" t="str">
        <f>_xlfn.XLOOKUP(B:B,Master!A:A,Master!B:B)</f>
        <v>RPSPL-Sonipat</v>
      </c>
      <c r="D445" s="509" t="s">
        <v>65</v>
      </c>
      <c r="E445" s="69" t="str">
        <f t="shared" si="34"/>
        <v>430413678</v>
      </c>
      <c r="F445" s="509" t="s">
        <v>66</v>
      </c>
      <c r="G445" s="70" t="str">
        <f>VLOOKUP(D445,Master!C:G,4,)</f>
        <v>T&amp;I</v>
      </c>
      <c r="H445" s="69" t="str">
        <f>VLOOKUP(D445,Master!C:G,5,)</f>
        <v>T&amp;I EX HP</v>
      </c>
      <c r="I445" s="549">
        <v>7587.96</v>
      </c>
      <c r="J445" s="549">
        <v>3120</v>
      </c>
      <c r="K445" s="71">
        <f t="shared" si="35"/>
        <v>0.41117770784242402</v>
      </c>
      <c r="L445" s="549">
        <v>0</v>
      </c>
      <c r="M445" s="511"/>
      <c r="N445" s="549">
        <v>5700</v>
      </c>
      <c r="O445" s="549">
        <v>5700</v>
      </c>
      <c r="P445" s="72">
        <f t="shared" si="36"/>
        <v>-1232.04</v>
      </c>
      <c r="Q445" s="72">
        <f>IFERROR(IF(D445=20250,O445/(#REF!/30),O445/(I445/30)),0)</f>
        <v>22.53570129520978</v>
      </c>
      <c r="R445" s="72">
        <f t="shared" si="37"/>
        <v>22.53570129520978</v>
      </c>
      <c r="AC445"/>
      <c r="AD445"/>
      <c r="AE445"/>
      <c r="AF445"/>
      <c r="AG445"/>
      <c r="AH445"/>
      <c r="AI445"/>
      <c r="AJ445"/>
    </row>
    <row r="446" spans="1:36" ht="15">
      <c r="A446" s="352" t="str">
        <f t="shared" si="33"/>
        <v>430414654</v>
      </c>
      <c r="B446" s="509" t="s">
        <v>960</v>
      </c>
      <c r="C446" s="69" t="str">
        <f>_xlfn.XLOOKUP(B:B,Master!A:A,Master!B:B)</f>
        <v>RPSPL-Sonipat</v>
      </c>
      <c r="D446" s="509" t="s">
        <v>67</v>
      </c>
      <c r="E446" s="69" t="str">
        <f t="shared" si="34"/>
        <v>430414654</v>
      </c>
      <c r="F446" s="509" t="s">
        <v>68</v>
      </c>
      <c r="G446" s="70" t="str">
        <f>VLOOKUP(D446,Master!C:G,4,)</f>
        <v>T&amp;I</v>
      </c>
      <c r="H446" s="69" t="str">
        <f>VLOOKUP(D446,Master!C:G,5,)</f>
        <v>T&amp;I Comm-UF</v>
      </c>
      <c r="I446" s="549">
        <v>12199.92</v>
      </c>
      <c r="J446" s="549">
        <v>6912</v>
      </c>
      <c r="K446" s="71">
        <f t="shared" si="35"/>
        <v>0.56656109220388329</v>
      </c>
      <c r="L446" s="549">
        <v>0</v>
      </c>
      <c r="M446" s="511"/>
      <c r="N446" s="549">
        <v>4704</v>
      </c>
      <c r="O446" s="549">
        <v>4704</v>
      </c>
      <c r="P446" s="72">
        <f t="shared" si="36"/>
        <v>583.92000000000007</v>
      </c>
      <c r="Q446" s="72">
        <f>IFERROR(IF(D446=20250,O446/(#REF!/30),O446/(I446/30)),0)</f>
        <v>11.567288965829285</v>
      </c>
      <c r="R446" s="72">
        <f t="shared" si="37"/>
        <v>11.567288965829285</v>
      </c>
      <c r="AC446"/>
      <c r="AD446"/>
      <c r="AE446"/>
      <c r="AF446"/>
      <c r="AG446"/>
      <c r="AH446"/>
      <c r="AI446"/>
      <c r="AJ446"/>
    </row>
    <row r="447" spans="1:36" ht="15">
      <c r="A447" s="352" t="str">
        <f t="shared" si="33"/>
        <v>430414788</v>
      </c>
      <c r="B447" s="509" t="s">
        <v>960</v>
      </c>
      <c r="C447" s="69" t="str">
        <f>_xlfn.XLOOKUP(B:B,Master!A:A,Master!B:B)</f>
        <v>RPSPL-Sonipat</v>
      </c>
      <c r="D447" s="509" t="s">
        <v>69</v>
      </c>
      <c r="E447" s="69" t="str">
        <f t="shared" si="34"/>
        <v>430414788</v>
      </c>
      <c r="F447" s="509" t="s">
        <v>70</v>
      </c>
      <c r="G447" s="70" t="str">
        <f>VLOOKUP(D447,Master!C:G,4,)</f>
        <v>T&amp;I</v>
      </c>
      <c r="H447" s="69" t="str">
        <f>VLOOKUP(D447,Master!C:G,5,)</f>
        <v>T&amp;I EX HP</v>
      </c>
      <c r="I447" s="549">
        <v>480</v>
      </c>
      <c r="J447" s="549">
        <v>0</v>
      </c>
      <c r="K447" s="71">
        <f t="shared" si="35"/>
        <v>0</v>
      </c>
      <c r="L447" s="549">
        <v>0</v>
      </c>
      <c r="M447" s="511"/>
      <c r="N447" s="549">
        <v>804</v>
      </c>
      <c r="O447" s="549">
        <v>804</v>
      </c>
      <c r="P447" s="72">
        <f t="shared" si="36"/>
        <v>-324</v>
      </c>
      <c r="Q447" s="72">
        <f>IFERROR(IF(D447=20250,O447/(#REF!/30),O447/(I447/30)),0)</f>
        <v>50.25</v>
      </c>
      <c r="R447" s="72">
        <f t="shared" si="37"/>
        <v>50.25</v>
      </c>
      <c r="AC447"/>
      <c r="AD447"/>
      <c r="AE447"/>
      <c r="AF447"/>
      <c r="AG447"/>
      <c r="AH447"/>
      <c r="AI447"/>
      <c r="AJ447"/>
    </row>
    <row r="448" spans="1:36" ht="15">
      <c r="A448" s="352" t="str">
        <f t="shared" si="33"/>
        <v>430415536</v>
      </c>
      <c r="B448" s="509" t="s">
        <v>960</v>
      </c>
      <c r="C448" s="69" t="str">
        <f>_xlfn.XLOOKUP(B:B,Master!A:A,Master!B:B)</f>
        <v>RPSPL-Sonipat</v>
      </c>
      <c r="D448" s="509" t="s">
        <v>71</v>
      </c>
      <c r="E448" s="69" t="str">
        <f t="shared" si="34"/>
        <v>430415536</v>
      </c>
      <c r="F448" s="509" t="s">
        <v>72</v>
      </c>
      <c r="G448" s="70" t="str">
        <f>VLOOKUP(D448,Master!C:G,4,)</f>
        <v>Ganache</v>
      </c>
      <c r="H448" s="69" t="str">
        <f>VLOOKUP(D448,Master!C:G,5,)</f>
        <v>Ganache- UF</v>
      </c>
      <c r="I448" s="549">
        <v>25500</v>
      </c>
      <c r="J448" s="549">
        <v>13212</v>
      </c>
      <c r="K448" s="71">
        <f t="shared" si="35"/>
        <v>0.51811764705882357</v>
      </c>
      <c r="L448" s="549">
        <v>0</v>
      </c>
      <c r="M448" s="511"/>
      <c r="N448" s="549">
        <v>25080</v>
      </c>
      <c r="O448" s="549">
        <v>25080</v>
      </c>
      <c r="P448" s="72">
        <f t="shared" si="36"/>
        <v>-12792</v>
      </c>
      <c r="Q448" s="72">
        <f>IFERROR(IF(D448=20250,O448/(#REF!/30),O448/(I448/30)),0)</f>
        <v>29.505882352941178</v>
      </c>
      <c r="R448" s="72">
        <f t="shared" si="37"/>
        <v>29.505882352941178</v>
      </c>
      <c r="AC448"/>
      <c r="AD448"/>
      <c r="AE448"/>
      <c r="AF448"/>
      <c r="AG448"/>
      <c r="AH448"/>
      <c r="AI448"/>
      <c r="AJ448"/>
    </row>
    <row r="449" spans="1:36" ht="15">
      <c r="A449" s="352" t="str">
        <f t="shared" si="33"/>
        <v>430415906</v>
      </c>
      <c r="B449" s="509" t="s">
        <v>960</v>
      </c>
      <c r="C449" s="69" t="str">
        <f>_xlfn.XLOOKUP(B:B,Master!A:A,Master!B:B)</f>
        <v>RPSPL-Sonipat</v>
      </c>
      <c r="D449" s="509" t="s">
        <v>74</v>
      </c>
      <c r="E449" s="69" t="str">
        <f t="shared" si="34"/>
        <v>430415906</v>
      </c>
      <c r="F449" s="509" t="s">
        <v>75</v>
      </c>
      <c r="G449" s="70" t="str">
        <f>VLOOKUP(D449,Master!C:G,4,)</f>
        <v>T&amp;I</v>
      </c>
      <c r="H449" s="69" t="str">
        <f>VLOOKUP(D449,Master!C:G,5,)</f>
        <v>T&amp;I EX HP</v>
      </c>
      <c r="I449" s="549">
        <v>4500</v>
      </c>
      <c r="J449" s="549">
        <v>2100</v>
      </c>
      <c r="K449" s="71">
        <f t="shared" si="35"/>
        <v>0.46666666666666667</v>
      </c>
      <c r="L449" s="549">
        <v>0</v>
      </c>
      <c r="M449" s="511"/>
      <c r="N449" s="549">
        <v>3696</v>
      </c>
      <c r="O449" s="549">
        <v>3696</v>
      </c>
      <c r="P449" s="72">
        <f t="shared" si="36"/>
        <v>-1296</v>
      </c>
      <c r="Q449" s="72">
        <f>IFERROR(IF(D449=20250,O449/(#REF!/30),O449/(I449/30)),0)</f>
        <v>24.64</v>
      </c>
      <c r="R449" s="72">
        <f t="shared" si="37"/>
        <v>24.64</v>
      </c>
      <c r="AC449"/>
      <c r="AD449"/>
      <c r="AE449"/>
      <c r="AF449"/>
      <c r="AG449"/>
      <c r="AH449"/>
      <c r="AI449"/>
      <c r="AJ449"/>
    </row>
    <row r="450" spans="1:36" ht="15">
      <c r="A450" s="352" t="str">
        <f t="shared" si="33"/>
        <v>430416336</v>
      </c>
      <c r="B450" s="509" t="s">
        <v>960</v>
      </c>
      <c r="C450" s="69" t="str">
        <f>_xlfn.XLOOKUP(B:B,Master!A:A,Master!B:B)</f>
        <v>RPSPL-Sonipat</v>
      </c>
      <c r="D450" s="509" t="s">
        <v>24</v>
      </c>
      <c r="E450" s="69" t="str">
        <f t="shared" si="34"/>
        <v>430416336</v>
      </c>
      <c r="F450" s="509" t="s">
        <v>25</v>
      </c>
      <c r="G450" s="70" t="str">
        <f>VLOOKUP(D450,Master!C:G,4,)</f>
        <v>T&amp;I</v>
      </c>
      <c r="H450" s="69" t="str">
        <f>VLOOKUP(D450,Master!C:G,5,)</f>
        <v>T&amp;I Comm-UF</v>
      </c>
      <c r="I450" s="549">
        <v>87000</v>
      </c>
      <c r="J450" s="549">
        <v>54420</v>
      </c>
      <c r="K450" s="71">
        <f t="shared" si="35"/>
        <v>0.62551724137931031</v>
      </c>
      <c r="L450" s="549">
        <v>0</v>
      </c>
      <c r="M450" s="511"/>
      <c r="N450" s="549">
        <v>35700</v>
      </c>
      <c r="O450" s="549">
        <v>35700</v>
      </c>
      <c r="P450" s="72">
        <f t="shared" si="36"/>
        <v>-3120</v>
      </c>
      <c r="Q450" s="72">
        <f>IFERROR(IF(D450=20250,O450/(#REF!/30),O450/(I450/30)),0)</f>
        <v>12.310344827586206</v>
      </c>
      <c r="R450" s="72">
        <f t="shared" si="37"/>
        <v>12.310344827586206</v>
      </c>
      <c r="AC450"/>
      <c r="AD450"/>
      <c r="AE450"/>
      <c r="AF450"/>
      <c r="AG450"/>
      <c r="AH450"/>
      <c r="AI450"/>
      <c r="AJ450"/>
    </row>
    <row r="451" spans="1:36" ht="15">
      <c r="A451" s="352" t="str">
        <f t="shared" si="33"/>
        <v>430416984</v>
      </c>
      <c r="B451" s="509" t="s">
        <v>960</v>
      </c>
      <c r="C451" s="69" t="str">
        <f>_xlfn.XLOOKUP(B:B,Master!A:A,Master!B:B)</f>
        <v>RPSPL-Sonipat</v>
      </c>
      <c r="D451" s="509" t="s">
        <v>78</v>
      </c>
      <c r="E451" s="69" t="str">
        <f t="shared" si="34"/>
        <v>430416984</v>
      </c>
      <c r="F451" s="509" t="s">
        <v>79</v>
      </c>
      <c r="G451" s="70" t="str">
        <f>VLOOKUP(D451,Master!C:G,4,)</f>
        <v>T&amp;I</v>
      </c>
      <c r="H451" s="69" t="str">
        <f>VLOOKUP(D451,Master!C:G,5,)</f>
        <v>T&amp;I EX HP</v>
      </c>
      <c r="I451" s="549">
        <v>1483.92</v>
      </c>
      <c r="J451" s="549">
        <v>672</v>
      </c>
      <c r="K451" s="71">
        <f t="shared" si="35"/>
        <v>0.45285460132621702</v>
      </c>
      <c r="L451" s="549">
        <v>0</v>
      </c>
      <c r="M451" s="511"/>
      <c r="N451" s="549">
        <v>1920</v>
      </c>
      <c r="O451" s="549">
        <v>1920</v>
      </c>
      <c r="P451" s="72">
        <f t="shared" si="36"/>
        <v>-1108.08</v>
      </c>
      <c r="Q451" s="72">
        <f>IFERROR(IF(D451=20250,O451/(#REF!/30),O451/(I451/30)),0)</f>
        <v>38.816108685104311</v>
      </c>
      <c r="R451" s="72">
        <f t="shared" si="37"/>
        <v>38.816108685104311</v>
      </c>
      <c r="AC451"/>
      <c r="AD451"/>
      <c r="AE451"/>
      <c r="AF451"/>
      <c r="AG451"/>
      <c r="AH451"/>
      <c r="AI451"/>
      <c r="AJ451"/>
    </row>
    <row r="452" spans="1:36" ht="15">
      <c r="A452" s="352" t="str">
        <f t="shared" si="33"/>
        <v>430416998</v>
      </c>
      <c r="B452" s="509" t="s">
        <v>960</v>
      </c>
      <c r="C452" s="69" t="str">
        <f>_xlfn.XLOOKUP(B:B,Master!A:A,Master!B:B)</f>
        <v>RPSPL-Sonipat</v>
      </c>
      <c r="D452" s="509" t="s">
        <v>80</v>
      </c>
      <c r="E452" s="69" t="str">
        <f t="shared" si="34"/>
        <v>430416998</v>
      </c>
      <c r="F452" s="509" t="s">
        <v>81</v>
      </c>
      <c r="G452" s="70" t="str">
        <f>VLOOKUP(D452,Master!C:G,4,)</f>
        <v>T&amp;I</v>
      </c>
      <c r="H452" s="69" t="str">
        <f>VLOOKUP(D452,Master!C:G,5,)</f>
        <v>T&amp;I EX UF</v>
      </c>
      <c r="I452" s="549">
        <v>3999.96</v>
      </c>
      <c r="J452" s="549">
        <v>3180</v>
      </c>
      <c r="K452" s="71">
        <f t="shared" si="35"/>
        <v>0.79500795007950076</v>
      </c>
      <c r="L452" s="549">
        <v>0</v>
      </c>
      <c r="M452" s="511"/>
      <c r="N452" s="549">
        <v>4752</v>
      </c>
      <c r="O452" s="549">
        <v>4752</v>
      </c>
      <c r="P452" s="72">
        <f t="shared" si="36"/>
        <v>-3932.04</v>
      </c>
      <c r="Q452" s="72">
        <f>IFERROR(IF(D452=20250,O452/(#REF!/30),O452/(I452/30)),0)</f>
        <v>35.640356403564034</v>
      </c>
      <c r="R452" s="72">
        <f t="shared" si="37"/>
        <v>35.640356403564034</v>
      </c>
      <c r="AC452"/>
      <c r="AD452"/>
      <c r="AE452"/>
      <c r="AF452"/>
      <c r="AG452"/>
      <c r="AH452"/>
      <c r="AI452"/>
      <c r="AJ452"/>
    </row>
    <row r="453" spans="1:36" ht="15">
      <c r="A453" s="352" t="str">
        <f t="shared" ref="A453:A516" si="38">B453&amp;D453</f>
        <v>430418098</v>
      </c>
      <c r="B453" s="509" t="s">
        <v>960</v>
      </c>
      <c r="C453" s="69" t="str">
        <f>_xlfn.XLOOKUP(B:B,Master!A:A,Master!B:B)</f>
        <v>RPSPL-Sonipat</v>
      </c>
      <c r="D453" s="509" t="s">
        <v>84</v>
      </c>
      <c r="E453" s="69" t="str">
        <f t="shared" ref="E453:E516" si="39">B453&amp;D453</f>
        <v>430418098</v>
      </c>
      <c r="F453" s="509" t="s">
        <v>1222</v>
      </c>
      <c r="G453" s="70" t="str">
        <f>VLOOKUP(D453,Master!C:G,4,)</f>
        <v>T&amp;I</v>
      </c>
      <c r="H453" s="69" t="str">
        <f>VLOOKUP(D453,Master!C:G,5,)</f>
        <v>T&amp;I EX HP</v>
      </c>
      <c r="I453" s="549">
        <v>4999.92</v>
      </c>
      <c r="J453" s="549">
        <v>156</v>
      </c>
      <c r="K453" s="71">
        <f t="shared" ref="K453:K516" si="40">IFERROR(J453/I453,0)</f>
        <v>3.1200499207987328E-2</v>
      </c>
      <c r="L453" s="549">
        <v>1800</v>
      </c>
      <c r="M453" s="511">
        <v>46164</v>
      </c>
      <c r="N453" s="549">
        <v>3084</v>
      </c>
      <c r="O453" s="549">
        <v>4884</v>
      </c>
      <c r="P453" s="72">
        <f t="shared" ref="P453:P516" si="41">I453-J453-O453</f>
        <v>-40.079999999999927</v>
      </c>
      <c r="Q453" s="72">
        <f>IFERROR(IF(D453=20250,O453/(#REF!/30),O453/(I453/30)),0)</f>
        <v>29.304468871501943</v>
      </c>
      <c r="R453" s="72">
        <f t="shared" ref="R453:R516" si="42">IFERROR(N453/(I453/30),0)</f>
        <v>18.504296068737098</v>
      </c>
      <c r="AC453"/>
      <c r="AD453"/>
      <c r="AE453"/>
      <c r="AF453"/>
      <c r="AG453"/>
      <c r="AH453"/>
      <c r="AI453"/>
      <c r="AJ453"/>
    </row>
    <row r="454" spans="1:36" ht="15">
      <c r="A454" s="352" t="str">
        <f t="shared" si="38"/>
        <v>430420308</v>
      </c>
      <c r="B454" s="509" t="s">
        <v>960</v>
      </c>
      <c r="C454" s="69" t="str">
        <f>_xlfn.XLOOKUP(B:B,Master!A:A,Master!B:B)</f>
        <v>RPSPL-Sonipat</v>
      </c>
      <c r="D454" s="509" t="s">
        <v>146</v>
      </c>
      <c r="E454" s="69" t="str">
        <f t="shared" si="39"/>
        <v>430420308</v>
      </c>
      <c r="F454" s="509" t="s">
        <v>902</v>
      </c>
      <c r="G454" s="70" t="str">
        <f>VLOOKUP(D454,Master!C:G,4,)</f>
        <v>T&amp;I</v>
      </c>
      <c r="H454" s="69" t="str">
        <f>VLOOKUP(D454,Master!C:G,5,)</f>
        <v>T&amp;I EX HP 2 KG</v>
      </c>
      <c r="I454" s="549">
        <v>1599.96</v>
      </c>
      <c r="J454" s="549">
        <v>1320</v>
      </c>
      <c r="K454" s="71">
        <f t="shared" si="40"/>
        <v>0.82502062551563782</v>
      </c>
      <c r="L454" s="549">
        <v>0</v>
      </c>
      <c r="M454" s="511"/>
      <c r="N454" s="549">
        <v>1320</v>
      </c>
      <c r="O454" s="549">
        <v>1320</v>
      </c>
      <c r="P454" s="72">
        <f t="shared" si="41"/>
        <v>-1040.04</v>
      </c>
      <c r="Q454" s="72">
        <f>IFERROR(IF(D454=20250,O454/(#REF!/30),O454/(I454/30)),0)</f>
        <v>24.750618765469138</v>
      </c>
      <c r="R454" s="72">
        <f t="shared" si="42"/>
        <v>24.750618765469138</v>
      </c>
      <c r="AC454"/>
      <c r="AD454"/>
      <c r="AE454"/>
      <c r="AF454"/>
      <c r="AG454"/>
      <c r="AH454"/>
      <c r="AI454"/>
      <c r="AJ454"/>
    </row>
    <row r="455" spans="1:36" ht="15">
      <c r="A455" s="352" t="str">
        <f t="shared" si="38"/>
        <v>430420827</v>
      </c>
      <c r="B455" s="509" t="s">
        <v>960</v>
      </c>
      <c r="C455" s="69" t="str">
        <f>_xlfn.XLOOKUP(B:B,Master!A:A,Master!B:B)</f>
        <v>RPSPL-Sonipat</v>
      </c>
      <c r="D455" s="509" t="s">
        <v>149</v>
      </c>
      <c r="E455" s="69" t="str">
        <f t="shared" si="39"/>
        <v>430420827</v>
      </c>
      <c r="F455" s="509" t="s">
        <v>150</v>
      </c>
      <c r="G455" s="70" t="str">
        <f>VLOOKUP(D455,Master!C:G,4,)</f>
        <v>Ganache</v>
      </c>
      <c r="H455" s="69" t="str">
        <f>VLOOKUP(D455,Master!C:G,5,)</f>
        <v>Ganache- UF</v>
      </c>
      <c r="I455" s="549">
        <v>11199.96</v>
      </c>
      <c r="J455" s="549">
        <v>8676</v>
      </c>
      <c r="K455" s="71">
        <f t="shared" si="40"/>
        <v>0.77464562373437051</v>
      </c>
      <c r="L455" s="549">
        <v>0</v>
      </c>
      <c r="M455" s="511"/>
      <c r="N455" s="549">
        <v>11088</v>
      </c>
      <c r="O455" s="549">
        <v>11088</v>
      </c>
      <c r="P455" s="72">
        <f t="shared" si="41"/>
        <v>-8564.0400000000009</v>
      </c>
      <c r="Q455" s="72">
        <f>IFERROR(IF(D455=20250,O455/(#REF!/30),O455/(I455/30)),0)</f>
        <v>29.700106071807401</v>
      </c>
      <c r="R455" s="72">
        <f t="shared" si="42"/>
        <v>29.700106071807401</v>
      </c>
      <c r="AC455"/>
      <c r="AD455"/>
      <c r="AE455"/>
      <c r="AF455"/>
      <c r="AG455"/>
      <c r="AH455"/>
      <c r="AI455"/>
      <c r="AJ455"/>
    </row>
    <row r="456" spans="1:36" ht="15">
      <c r="A456" s="352" t="str">
        <f t="shared" si="38"/>
        <v>430421910</v>
      </c>
      <c r="B456" s="509" t="s">
        <v>960</v>
      </c>
      <c r="C456" s="69" t="str">
        <f>_xlfn.XLOOKUP(B:B,Master!A:A,Master!B:B)</f>
        <v>RPSPL-Sonipat</v>
      </c>
      <c r="D456" s="509" t="s">
        <v>180</v>
      </c>
      <c r="E456" s="69" t="str">
        <f t="shared" si="39"/>
        <v>430421910</v>
      </c>
      <c r="F456" s="509" t="s">
        <v>181</v>
      </c>
      <c r="G456" s="70" t="str">
        <f>VLOOKUP(D456,Master!C:G,4,)</f>
        <v>T&amp;I</v>
      </c>
      <c r="H456" s="69" t="str">
        <f>VLOOKUP(D456,Master!C:G,5,)</f>
        <v>T&amp;I EX HP 2 KG</v>
      </c>
      <c r="I456" s="549">
        <v>9999.9599999999991</v>
      </c>
      <c r="J456" s="549">
        <v>4920</v>
      </c>
      <c r="K456" s="71">
        <f t="shared" si="40"/>
        <v>0.49200196800787205</v>
      </c>
      <c r="L456" s="549">
        <v>0</v>
      </c>
      <c r="M456" s="511"/>
      <c r="N456" s="549">
        <v>8592</v>
      </c>
      <c r="O456" s="549">
        <v>8592</v>
      </c>
      <c r="P456" s="72">
        <f t="shared" si="41"/>
        <v>-3512.0400000000009</v>
      </c>
      <c r="Q456" s="72">
        <f>IFERROR(IF(D456=20250,O456/(#REF!/30),O456/(I456/30)),0)</f>
        <v>25.776103104412417</v>
      </c>
      <c r="R456" s="72">
        <f t="shared" si="42"/>
        <v>25.776103104412417</v>
      </c>
      <c r="AC456"/>
      <c r="AD456"/>
      <c r="AE456"/>
      <c r="AF456"/>
      <c r="AG456"/>
      <c r="AH456"/>
      <c r="AI456"/>
      <c r="AJ456"/>
    </row>
    <row r="457" spans="1:36" ht="15">
      <c r="A457" s="352" t="str">
        <f t="shared" si="38"/>
        <v>430423081</v>
      </c>
      <c r="B457" s="509" t="s">
        <v>960</v>
      </c>
      <c r="C457" s="69" t="str">
        <f>_xlfn.XLOOKUP(B:B,Master!A:A,Master!B:B)</f>
        <v>RPSPL-Sonipat</v>
      </c>
      <c r="D457" s="509" t="s">
        <v>189</v>
      </c>
      <c r="E457" s="69" t="str">
        <f t="shared" si="39"/>
        <v>430423081</v>
      </c>
      <c r="F457" s="509" t="s">
        <v>190</v>
      </c>
      <c r="G457" s="70" t="str">
        <f>VLOOKUP(D457,Master!C:G,4,)</f>
        <v>T&amp;I</v>
      </c>
      <c r="H457" s="69" t="str">
        <f>VLOOKUP(D457,Master!C:G,5,)</f>
        <v>T&amp;I EX HP</v>
      </c>
      <c r="I457" s="549">
        <v>2899.92</v>
      </c>
      <c r="J457" s="549">
        <v>1032</v>
      </c>
      <c r="K457" s="71">
        <f t="shared" si="40"/>
        <v>0.35587188612099641</v>
      </c>
      <c r="L457" s="549">
        <v>0</v>
      </c>
      <c r="M457" s="511"/>
      <c r="N457" s="549">
        <v>1644</v>
      </c>
      <c r="O457" s="549">
        <v>1644</v>
      </c>
      <c r="P457" s="72">
        <f t="shared" si="41"/>
        <v>223.92000000000007</v>
      </c>
      <c r="Q457" s="72">
        <f>IFERROR(IF(D457=20250,O457/(#REF!/30),O457/(I457/30)),0)</f>
        <v>17.007365720433668</v>
      </c>
      <c r="R457" s="72">
        <f t="shared" si="42"/>
        <v>17.007365720433668</v>
      </c>
      <c r="AC457"/>
      <c r="AD457"/>
      <c r="AE457"/>
      <c r="AF457"/>
      <c r="AG457"/>
      <c r="AH457"/>
      <c r="AI457"/>
      <c r="AJ457"/>
    </row>
    <row r="458" spans="1:36" ht="15">
      <c r="A458" s="352" t="str">
        <f t="shared" si="38"/>
        <v>430423401</v>
      </c>
      <c r="B458" s="509" t="s">
        <v>960</v>
      </c>
      <c r="C458" s="69" t="str">
        <f>_xlfn.XLOOKUP(B:B,Master!A:A,Master!B:B)</f>
        <v>RPSPL-Sonipat</v>
      </c>
      <c r="D458" s="509" t="s">
        <v>194</v>
      </c>
      <c r="E458" s="69" t="str">
        <f t="shared" si="39"/>
        <v>430423401</v>
      </c>
      <c r="F458" s="509" t="s">
        <v>195</v>
      </c>
      <c r="G458" s="70" t="str">
        <f>VLOOKUP(D458,Master!C:G,4,)</f>
        <v>T&amp;I</v>
      </c>
      <c r="H458" s="69" t="str">
        <f>VLOOKUP(D458,Master!C:G,5,)</f>
        <v>T&amp;I EX UF</v>
      </c>
      <c r="I458" s="549">
        <v>204</v>
      </c>
      <c r="J458" s="549">
        <v>240</v>
      </c>
      <c r="K458" s="71">
        <f t="shared" si="40"/>
        <v>1.1764705882352942</v>
      </c>
      <c r="L458" s="549">
        <v>0</v>
      </c>
      <c r="M458" s="511"/>
      <c r="N458" s="549">
        <v>156</v>
      </c>
      <c r="O458" s="549">
        <v>156</v>
      </c>
      <c r="P458" s="72">
        <f t="shared" si="41"/>
        <v>-192</v>
      </c>
      <c r="Q458" s="72">
        <f>IFERROR(IF(D458=20250,O458/(#REF!/30),O458/(I458/30)),0)</f>
        <v>22.941176470588236</v>
      </c>
      <c r="R458" s="72">
        <f t="shared" si="42"/>
        <v>22.941176470588236</v>
      </c>
      <c r="AC458"/>
      <c r="AD458"/>
      <c r="AE458"/>
      <c r="AF458"/>
      <c r="AG458"/>
      <c r="AH458"/>
      <c r="AI458"/>
      <c r="AJ458"/>
    </row>
    <row r="459" spans="1:36" ht="15">
      <c r="A459" s="352" t="str">
        <f t="shared" si="38"/>
        <v>430423890</v>
      </c>
      <c r="B459" s="509" t="s">
        <v>960</v>
      </c>
      <c r="C459" s="69" t="str">
        <f>_xlfn.XLOOKUP(B:B,Master!A:A,Master!B:B)</f>
        <v>RPSPL-Sonipat</v>
      </c>
      <c r="D459" s="509" t="s">
        <v>778</v>
      </c>
      <c r="E459" s="69" t="str">
        <f t="shared" si="39"/>
        <v>430423890</v>
      </c>
      <c r="F459" s="509" t="s">
        <v>780</v>
      </c>
      <c r="G459" s="70" t="str">
        <f>VLOOKUP(D459,Master!C:G,4,)</f>
        <v>T&amp;I</v>
      </c>
      <c r="H459" s="69" t="str">
        <f>VLOOKUP(D459,Master!C:G,5,)</f>
        <v>T&amp;I EX HP</v>
      </c>
      <c r="I459" s="549">
        <v>0</v>
      </c>
      <c r="J459" s="549">
        <v>0</v>
      </c>
      <c r="K459" s="71">
        <f t="shared" si="40"/>
        <v>0</v>
      </c>
      <c r="L459" s="549">
        <v>0</v>
      </c>
      <c r="M459" s="511"/>
      <c r="N459" s="549">
        <v>120</v>
      </c>
      <c r="O459" s="549">
        <v>120</v>
      </c>
      <c r="P459" s="72">
        <f t="shared" si="41"/>
        <v>-120</v>
      </c>
      <c r="Q459" s="72">
        <f>IFERROR(IF(D459=20250,O459/(#REF!/30),O459/(I459/30)),0)</f>
        <v>0</v>
      </c>
      <c r="R459" s="72">
        <f t="shared" si="42"/>
        <v>0</v>
      </c>
      <c r="AC459"/>
      <c r="AD459"/>
      <c r="AE459"/>
      <c r="AF459"/>
      <c r="AG459"/>
      <c r="AH459"/>
      <c r="AI459"/>
      <c r="AJ459"/>
    </row>
    <row r="460" spans="1:36" ht="15">
      <c r="A460" s="352" t="str">
        <f t="shared" si="38"/>
        <v>430424768</v>
      </c>
      <c r="B460" s="509" t="s">
        <v>960</v>
      </c>
      <c r="C460" s="69" t="str">
        <f>_xlfn.XLOOKUP(B:B,Master!A:A,Master!B:B)</f>
        <v>RPSPL-Sonipat</v>
      </c>
      <c r="D460" s="509" t="s">
        <v>906</v>
      </c>
      <c r="E460" s="69" t="str">
        <f t="shared" si="39"/>
        <v>430424768</v>
      </c>
      <c r="F460" s="509" t="s">
        <v>912</v>
      </c>
      <c r="G460" s="70" t="str">
        <f>VLOOKUP(D460,Master!C:G,4,)</f>
        <v>T&amp;I</v>
      </c>
      <c r="H460" s="69" t="str">
        <f>VLOOKUP(D460,Master!C:G,5,)</f>
        <v>T&amp;I EX UF</v>
      </c>
      <c r="I460" s="549">
        <v>19499.88</v>
      </c>
      <c r="J460" s="549">
        <v>11400</v>
      </c>
      <c r="K460" s="71">
        <f t="shared" si="40"/>
        <v>0.58461898227066011</v>
      </c>
      <c r="L460" s="549">
        <v>0</v>
      </c>
      <c r="M460" s="511"/>
      <c r="N460" s="549">
        <v>14136</v>
      </c>
      <c r="O460" s="549">
        <v>14136</v>
      </c>
      <c r="P460" s="72">
        <f t="shared" si="41"/>
        <v>-6036.119999999999</v>
      </c>
      <c r="Q460" s="72">
        <f>IFERROR(IF(D460=20250,O460/(#REF!/30),O460/(I460/30)),0)</f>
        <v>21.747826140468558</v>
      </c>
      <c r="R460" s="72">
        <f t="shared" si="42"/>
        <v>21.747826140468558</v>
      </c>
      <c r="AC460"/>
      <c r="AD460"/>
      <c r="AE460"/>
      <c r="AF460"/>
      <c r="AG460"/>
      <c r="AH460"/>
      <c r="AI460"/>
      <c r="AJ460"/>
    </row>
    <row r="461" spans="1:36" ht="15">
      <c r="A461" s="352" t="str">
        <f t="shared" si="38"/>
        <v>430425570</v>
      </c>
      <c r="B461" s="509" t="s">
        <v>960</v>
      </c>
      <c r="C461" s="69" t="str">
        <f>_xlfn.XLOOKUP(B:B,Master!A:A,Master!B:B)</f>
        <v>RPSPL-Sonipat</v>
      </c>
      <c r="D461" s="509" t="s">
        <v>1006</v>
      </c>
      <c r="E461" s="69" t="str">
        <f t="shared" si="39"/>
        <v>430425570</v>
      </c>
      <c r="F461" s="509" t="s">
        <v>1008</v>
      </c>
      <c r="G461" s="70" t="str">
        <f>VLOOKUP(D461,Master!C:G,4,)</f>
        <v>T&amp;I</v>
      </c>
      <c r="H461" s="69" t="str">
        <f>VLOOKUP(D461,Master!C:G,5,)</f>
        <v>T&amp;I EX HP</v>
      </c>
      <c r="I461" s="549">
        <v>2304</v>
      </c>
      <c r="J461" s="549">
        <v>2016</v>
      </c>
      <c r="K461" s="71">
        <f t="shared" si="40"/>
        <v>0.875</v>
      </c>
      <c r="L461" s="549">
        <v>0</v>
      </c>
      <c r="M461" s="511"/>
      <c r="N461" s="549">
        <v>1332</v>
      </c>
      <c r="O461" s="549">
        <v>1332</v>
      </c>
      <c r="P461" s="72">
        <f t="shared" si="41"/>
        <v>-1044</v>
      </c>
      <c r="Q461" s="72">
        <f>IFERROR(IF(D461=20250,O461/(#REF!/30),O461/(I461/30)),0)</f>
        <v>17.34375</v>
      </c>
      <c r="R461" s="72">
        <f t="shared" si="42"/>
        <v>17.34375</v>
      </c>
      <c r="AC461"/>
      <c r="AD461"/>
      <c r="AE461"/>
      <c r="AF461"/>
      <c r="AG461"/>
      <c r="AH461"/>
      <c r="AI461"/>
      <c r="AJ461"/>
    </row>
    <row r="462" spans="1:36" ht="15">
      <c r="A462" s="352" t="str">
        <f t="shared" si="38"/>
        <v>430425598</v>
      </c>
      <c r="B462" s="509" t="s">
        <v>960</v>
      </c>
      <c r="C462" s="69" t="str">
        <f>_xlfn.XLOOKUP(B:B,Master!A:A,Master!B:B)</f>
        <v>RPSPL-Sonipat</v>
      </c>
      <c r="D462" s="509" t="s">
        <v>1007</v>
      </c>
      <c r="E462" s="69" t="str">
        <f t="shared" si="39"/>
        <v>430425598</v>
      </c>
      <c r="F462" s="509" t="s">
        <v>1009</v>
      </c>
      <c r="G462" s="70" t="str">
        <f>VLOOKUP(D462,Master!C:G,4,)</f>
        <v>T&amp;I</v>
      </c>
      <c r="H462" s="69" t="str">
        <f>VLOOKUP(D462,Master!C:G,5,)</f>
        <v>T&amp;I EX HP</v>
      </c>
      <c r="I462" s="549">
        <v>571.91999999999996</v>
      </c>
      <c r="J462" s="549">
        <v>312</v>
      </c>
      <c r="K462" s="71">
        <f t="shared" si="40"/>
        <v>0.54553084347461189</v>
      </c>
      <c r="L462" s="549">
        <v>0</v>
      </c>
      <c r="M462" s="511"/>
      <c r="N462" s="549">
        <v>216</v>
      </c>
      <c r="O462" s="549">
        <v>216</v>
      </c>
      <c r="P462" s="72">
        <f t="shared" si="41"/>
        <v>43.919999999999959</v>
      </c>
      <c r="Q462" s="72">
        <f>IFERROR(IF(D462=20250,O462/(#REF!/30),O462/(I462/30)),0)</f>
        <v>11.330255979857323</v>
      </c>
      <c r="R462" s="72">
        <f t="shared" si="42"/>
        <v>11.330255979857323</v>
      </c>
      <c r="AC462"/>
      <c r="AD462"/>
      <c r="AE462"/>
      <c r="AF462"/>
      <c r="AG462"/>
      <c r="AH462"/>
      <c r="AI462"/>
      <c r="AJ462"/>
    </row>
    <row r="463" spans="1:36" ht="15">
      <c r="A463" s="352" t="str">
        <f t="shared" si="38"/>
        <v>440006151</v>
      </c>
      <c r="B463" s="509" t="s">
        <v>106</v>
      </c>
      <c r="C463" s="69" t="str">
        <f>_xlfn.XLOOKUP(B:B,Master!A:A,Master!B:B)</f>
        <v>RPSPL-CH</v>
      </c>
      <c r="D463" s="509" t="s">
        <v>28</v>
      </c>
      <c r="E463" s="69" t="str">
        <f t="shared" si="39"/>
        <v>440006151</v>
      </c>
      <c r="F463" s="509" t="s">
        <v>29</v>
      </c>
      <c r="G463" s="70" t="str">
        <f>VLOOKUP(D463,Master!C:G,4,)</f>
        <v>DD</v>
      </c>
      <c r="H463" s="69" t="str">
        <f>VLOOKUP(D463,Master!C:G,5,)</f>
        <v>OS - Dry</v>
      </c>
      <c r="I463" s="549">
        <v>9416.64</v>
      </c>
      <c r="J463" s="549">
        <v>2448</v>
      </c>
      <c r="K463" s="71">
        <f t="shared" si="40"/>
        <v>0.25996533795493937</v>
      </c>
      <c r="L463" s="549">
        <v>0</v>
      </c>
      <c r="M463" s="511"/>
      <c r="N463" s="549">
        <v>17304</v>
      </c>
      <c r="O463" s="549">
        <v>17304</v>
      </c>
      <c r="P463" s="72">
        <f t="shared" si="41"/>
        <v>-10335.36</v>
      </c>
      <c r="Q463" s="72">
        <f>IFERROR(IF(D463=20250,O463/(#REF!/30),O463/(I463/30)),0)</f>
        <v>55.127943725150374</v>
      </c>
      <c r="R463" s="72">
        <f t="shared" si="42"/>
        <v>55.127943725150374</v>
      </c>
      <c r="AC463"/>
      <c r="AD463"/>
      <c r="AE463"/>
      <c r="AF463"/>
      <c r="AG463"/>
      <c r="AH463"/>
      <c r="AI463"/>
      <c r="AJ463"/>
    </row>
    <row r="464" spans="1:36" ht="15">
      <c r="A464" s="352" t="str">
        <f t="shared" si="38"/>
        <v>440013490</v>
      </c>
      <c r="B464" s="509" t="s">
        <v>106</v>
      </c>
      <c r="C464" s="69" t="str">
        <f>_xlfn.XLOOKUP(B:B,Master!A:A,Master!B:B)</f>
        <v>RPSPL-CH</v>
      </c>
      <c r="D464" s="509" t="s">
        <v>37</v>
      </c>
      <c r="E464" s="69" t="str">
        <f t="shared" si="39"/>
        <v>440013490</v>
      </c>
      <c r="F464" s="509" t="s">
        <v>38</v>
      </c>
      <c r="G464" s="70" t="str">
        <f>VLOOKUP(D464,Master!C:G,4,)</f>
        <v>NGL</v>
      </c>
      <c r="H464" s="69" t="str">
        <f>VLOOKUP(D464,Master!C:G,5,)</f>
        <v>UF-Dry</v>
      </c>
      <c r="I464" s="549">
        <v>4564.8</v>
      </c>
      <c r="J464" s="549">
        <v>2250</v>
      </c>
      <c r="K464" s="71">
        <f t="shared" si="40"/>
        <v>0.49290220820189273</v>
      </c>
      <c r="L464" s="549">
        <v>0</v>
      </c>
      <c r="M464" s="511"/>
      <c r="N464" s="549">
        <v>2380</v>
      </c>
      <c r="O464" s="549">
        <v>2380</v>
      </c>
      <c r="P464" s="72">
        <f t="shared" si="41"/>
        <v>-65.199999999999818</v>
      </c>
      <c r="Q464" s="72">
        <f>IFERROR(IF(D464=20250,O464/(#REF!/30),O464/(I464/30)),0)</f>
        <v>15.641430073606729</v>
      </c>
      <c r="R464" s="72">
        <f t="shared" si="42"/>
        <v>15.641430073606729</v>
      </c>
      <c r="AC464"/>
      <c r="AD464"/>
      <c r="AE464"/>
      <c r="AF464"/>
      <c r="AG464"/>
      <c r="AH464"/>
      <c r="AI464"/>
      <c r="AJ464"/>
    </row>
    <row r="465" spans="1:36" ht="15">
      <c r="A465" s="352" t="str">
        <f t="shared" si="38"/>
        <v>440015300</v>
      </c>
      <c r="B465" s="509" t="s">
        <v>106</v>
      </c>
      <c r="C465" s="69" t="str">
        <f>_xlfn.XLOOKUP(B:B,Master!A:A,Master!B:B)</f>
        <v>RPSPL-CH</v>
      </c>
      <c r="D465" s="509" t="s">
        <v>43</v>
      </c>
      <c r="E465" s="69" t="str">
        <f t="shared" si="39"/>
        <v>440015300</v>
      </c>
      <c r="F465" s="509" t="s">
        <v>44</v>
      </c>
      <c r="G465" s="70" t="str">
        <f>VLOOKUP(D465,Master!C:G,4,)</f>
        <v>NGL</v>
      </c>
      <c r="H465" s="69" t="str">
        <f>VLOOKUP(D465,Master!C:G,5,)</f>
        <v>UF-Dry</v>
      </c>
      <c r="I465" s="549">
        <v>13.77</v>
      </c>
      <c r="J465" s="549">
        <v>18</v>
      </c>
      <c r="K465" s="71">
        <f t="shared" si="40"/>
        <v>1.3071895424836601</v>
      </c>
      <c r="L465" s="549">
        <v>0</v>
      </c>
      <c r="M465" s="511"/>
      <c r="N465" s="549">
        <v>0</v>
      </c>
      <c r="O465" s="549">
        <v>0</v>
      </c>
      <c r="P465" s="72">
        <f t="shared" si="41"/>
        <v>-4.2300000000000004</v>
      </c>
      <c r="Q465" s="72">
        <f>IFERROR(IF(D465=20250,O465/(#REF!/30),O465/(I465/30)),0)</f>
        <v>0</v>
      </c>
      <c r="R465" s="72">
        <f t="shared" si="42"/>
        <v>0</v>
      </c>
      <c r="AC465"/>
      <c r="AD465"/>
      <c r="AE465"/>
      <c r="AF465"/>
      <c r="AG465"/>
      <c r="AH465"/>
      <c r="AI465"/>
      <c r="AJ465"/>
    </row>
    <row r="466" spans="1:36" ht="15">
      <c r="A466" s="352" t="str">
        <f t="shared" si="38"/>
        <v>440019690</v>
      </c>
      <c r="B466" s="509" t="s">
        <v>106</v>
      </c>
      <c r="C466" s="69" t="str">
        <f>_xlfn.XLOOKUP(B:B,Master!A:A,Master!B:B)</f>
        <v>RPSPL-CH</v>
      </c>
      <c r="D466" s="509" t="s">
        <v>88</v>
      </c>
      <c r="E466" s="69" t="str">
        <f t="shared" si="39"/>
        <v>440019690</v>
      </c>
      <c r="F466" s="509" t="s">
        <v>89</v>
      </c>
      <c r="G466" s="70" t="str">
        <f>VLOOKUP(D466,Master!C:G,4,)</f>
        <v>NFL</v>
      </c>
      <c r="H466" s="69" t="str">
        <f>VLOOKUP(D466,Master!C:G,5,)</f>
        <v>OS - Dry</v>
      </c>
      <c r="I466" s="549">
        <v>122.64</v>
      </c>
      <c r="J466" s="549">
        <v>12</v>
      </c>
      <c r="K466" s="71">
        <f t="shared" si="40"/>
        <v>9.7847358121330719E-2</v>
      </c>
      <c r="L466" s="549">
        <v>0</v>
      </c>
      <c r="M466" s="511"/>
      <c r="N466" s="549">
        <v>216</v>
      </c>
      <c r="O466" s="549">
        <v>216</v>
      </c>
      <c r="P466" s="72">
        <f t="shared" si="41"/>
        <v>-105.36</v>
      </c>
      <c r="Q466" s="72">
        <f>IFERROR(IF(D466=20250,O466/(#REF!/30),O466/(I466/30)),0)</f>
        <v>52.837573385518589</v>
      </c>
      <c r="R466" s="72">
        <f t="shared" si="42"/>
        <v>52.837573385518589</v>
      </c>
      <c r="AC466"/>
      <c r="AD466"/>
      <c r="AE466"/>
      <c r="AF466"/>
      <c r="AG466"/>
      <c r="AH466"/>
      <c r="AI466"/>
      <c r="AJ466"/>
    </row>
    <row r="467" spans="1:36" ht="15">
      <c r="A467" s="352" t="str">
        <f t="shared" si="38"/>
        <v>440020661</v>
      </c>
      <c r="B467" s="509" t="s">
        <v>106</v>
      </c>
      <c r="C467" s="69" t="str">
        <f>_xlfn.XLOOKUP(B:B,Master!A:A,Master!B:B)</f>
        <v>RPSPL-CH</v>
      </c>
      <c r="D467" s="509" t="s">
        <v>167</v>
      </c>
      <c r="E467" s="69" t="str">
        <f t="shared" si="39"/>
        <v>440020661</v>
      </c>
      <c r="F467" s="509" t="s">
        <v>168</v>
      </c>
      <c r="G467" s="70" t="str">
        <f>VLOOKUP(D467,Master!C:G,4,)</f>
        <v>UHT-Chill</v>
      </c>
      <c r="H467" s="69" t="str">
        <f>VLOOKUP(D467,Master!C:G,5,)</f>
        <v>OS-Chill</v>
      </c>
      <c r="I467" s="549">
        <v>560.16</v>
      </c>
      <c r="J467" s="549">
        <v>504</v>
      </c>
      <c r="K467" s="71">
        <f t="shared" si="40"/>
        <v>0.89974293059125965</v>
      </c>
      <c r="L467" s="549">
        <v>0</v>
      </c>
      <c r="M467" s="511"/>
      <c r="N467" s="549">
        <v>1296</v>
      </c>
      <c r="O467" s="549">
        <v>1296</v>
      </c>
      <c r="P467" s="72">
        <f t="shared" si="41"/>
        <v>-1239.8400000000001</v>
      </c>
      <c r="Q467" s="72">
        <f>IFERROR(IF(D467=20250,O467/(#REF!/30),O467/(I467/30)),0)</f>
        <v>69.408740359897166</v>
      </c>
      <c r="R467" s="72">
        <f t="shared" si="42"/>
        <v>69.408740359897166</v>
      </c>
      <c r="AC467"/>
      <c r="AD467"/>
      <c r="AE467"/>
      <c r="AF467"/>
      <c r="AG467"/>
      <c r="AH467"/>
      <c r="AI467"/>
      <c r="AJ467"/>
    </row>
    <row r="468" spans="1:36" ht="15">
      <c r="A468" s="352" t="str">
        <f t="shared" si="38"/>
        <v>440023638</v>
      </c>
      <c r="B468" s="509" t="s">
        <v>106</v>
      </c>
      <c r="C468" s="69" t="str">
        <f>_xlfn.XLOOKUP(B:B,Master!A:A,Master!B:B)</f>
        <v>RPSPL-CH</v>
      </c>
      <c r="D468" s="509" t="s">
        <v>198</v>
      </c>
      <c r="E468" s="69" t="str">
        <f t="shared" si="39"/>
        <v>440023638</v>
      </c>
      <c r="F468" s="509" t="s">
        <v>199</v>
      </c>
      <c r="G468" s="70" t="str">
        <f>VLOOKUP(D468,Master!C:G,4,)</f>
        <v>DD</v>
      </c>
      <c r="H468" s="69" t="str">
        <f>VLOOKUP(D468,Master!C:G,5,)</f>
        <v>OS - Dry</v>
      </c>
      <c r="I468" s="549">
        <v>3477</v>
      </c>
      <c r="J468" s="549">
        <v>1896</v>
      </c>
      <c r="K468" s="71">
        <f t="shared" si="40"/>
        <v>0.54529767040552202</v>
      </c>
      <c r="L468" s="549">
        <v>0</v>
      </c>
      <c r="M468" s="511"/>
      <c r="N468" s="549">
        <v>2496</v>
      </c>
      <c r="O468" s="549">
        <v>2496</v>
      </c>
      <c r="P468" s="72">
        <f t="shared" si="41"/>
        <v>-915</v>
      </c>
      <c r="Q468" s="72">
        <f>IFERROR(IF(D468=20250,O468/(#REF!/30),O468/(I468/30)),0)</f>
        <v>21.535806729939601</v>
      </c>
      <c r="R468" s="72">
        <f t="shared" si="42"/>
        <v>21.535806729939601</v>
      </c>
      <c r="AC468"/>
      <c r="AD468"/>
      <c r="AE468"/>
      <c r="AF468"/>
      <c r="AG468"/>
      <c r="AH468"/>
      <c r="AI468"/>
      <c r="AJ468"/>
    </row>
    <row r="469" spans="1:36" ht="15">
      <c r="A469" s="352" t="str">
        <f t="shared" si="38"/>
        <v>440025885</v>
      </c>
      <c r="B469" s="509" t="s">
        <v>106</v>
      </c>
      <c r="C469" s="69" t="str">
        <f>_xlfn.XLOOKUP(B:B,Master!A:A,Master!B:B)</f>
        <v>RPSPL-CH</v>
      </c>
      <c r="D469" s="509" t="s">
        <v>1037</v>
      </c>
      <c r="E469" s="69" t="str">
        <f t="shared" si="39"/>
        <v>440025885</v>
      </c>
      <c r="F469" s="509" t="s">
        <v>1038</v>
      </c>
      <c r="G469" s="70" t="str">
        <f>VLOOKUP(D469,Master!C:G,4,)</f>
        <v>T&amp;I</v>
      </c>
      <c r="H469" s="69" t="str">
        <f>VLOOKUP(D469,Master!C:G,5,)</f>
        <v>T&amp;I EX UF</v>
      </c>
      <c r="I469" s="549">
        <v>2751.48</v>
      </c>
      <c r="J469" s="549">
        <v>732</v>
      </c>
      <c r="K469" s="71">
        <f t="shared" si="40"/>
        <v>0.26603864102228619</v>
      </c>
      <c r="L469" s="549">
        <v>0</v>
      </c>
      <c r="M469" s="511"/>
      <c r="N469" s="549">
        <v>1980</v>
      </c>
      <c r="O469" s="549">
        <v>1980</v>
      </c>
      <c r="P469" s="72">
        <f t="shared" si="41"/>
        <v>39.480000000000018</v>
      </c>
      <c r="Q469" s="72">
        <f>IFERROR(IF(D469=20250,O469/(#REF!/30),O469/(I469/30)),0)</f>
        <v>21.588381525578964</v>
      </c>
      <c r="R469" s="72">
        <f t="shared" si="42"/>
        <v>21.588381525578964</v>
      </c>
      <c r="AC469"/>
      <c r="AD469"/>
      <c r="AE469"/>
      <c r="AF469"/>
      <c r="AG469"/>
      <c r="AH469"/>
      <c r="AI469"/>
      <c r="AJ469"/>
    </row>
    <row r="470" spans="1:36" ht="15">
      <c r="A470" s="352" t="str">
        <f t="shared" si="38"/>
        <v>440004145</v>
      </c>
      <c r="B470" s="509" t="s">
        <v>106</v>
      </c>
      <c r="C470" s="69" t="str">
        <f>_xlfn.XLOOKUP(B:B,Master!A:A,Master!B:B)</f>
        <v>RPSPL-CH</v>
      </c>
      <c r="D470" s="509" t="s">
        <v>34</v>
      </c>
      <c r="E470" s="69" t="str">
        <f t="shared" si="39"/>
        <v>440004145</v>
      </c>
      <c r="F470" s="509" t="s">
        <v>35</v>
      </c>
      <c r="G470" s="70" t="str">
        <f>VLOOKUP(D470,Master!C:G,4,)</f>
        <v>NGL</v>
      </c>
      <c r="H470" s="69" t="str">
        <f>VLOOKUP(D470,Master!C:G,5,)</f>
        <v>UF-Dry</v>
      </c>
      <c r="I470" s="549">
        <v>32.58</v>
      </c>
      <c r="J470" s="549">
        <v>0</v>
      </c>
      <c r="K470" s="71">
        <f t="shared" si="40"/>
        <v>0</v>
      </c>
      <c r="L470" s="549">
        <v>0</v>
      </c>
      <c r="M470" s="511"/>
      <c r="N470" s="549">
        <v>45</v>
      </c>
      <c r="O470" s="549">
        <v>45</v>
      </c>
      <c r="P470" s="72">
        <f t="shared" si="41"/>
        <v>-12.420000000000002</v>
      </c>
      <c r="Q470" s="72">
        <f>IFERROR(IF(D470=20250,O470/(#REF!/30),O470/(I470/30)),0)</f>
        <v>41.436464088397798</v>
      </c>
      <c r="R470" s="72">
        <f t="shared" si="42"/>
        <v>41.436464088397798</v>
      </c>
      <c r="AC470"/>
      <c r="AD470"/>
      <c r="AE470"/>
      <c r="AF470"/>
      <c r="AG470"/>
      <c r="AH470"/>
      <c r="AI470"/>
      <c r="AJ470"/>
    </row>
    <row r="471" spans="1:36" ht="15">
      <c r="A471" s="352" t="str">
        <f t="shared" si="38"/>
        <v>440014248</v>
      </c>
      <c r="B471" s="509" t="s">
        <v>106</v>
      </c>
      <c r="C471" s="69" t="str">
        <f>_xlfn.XLOOKUP(B:B,Master!A:A,Master!B:B)</f>
        <v>RPSPL-CH</v>
      </c>
      <c r="D471" s="509" t="s">
        <v>41</v>
      </c>
      <c r="E471" s="69" t="str">
        <f t="shared" si="39"/>
        <v>440014248</v>
      </c>
      <c r="F471" s="509" t="s">
        <v>42</v>
      </c>
      <c r="G471" s="70" t="str">
        <f>VLOOKUP(D471,Master!C:G,4,)</f>
        <v>NGL</v>
      </c>
      <c r="H471" s="69" t="str">
        <f>VLOOKUP(D471,Master!C:G,5,)</f>
        <v>UF-Dry</v>
      </c>
      <c r="I471" s="549">
        <v>302.8</v>
      </c>
      <c r="J471" s="549">
        <v>180</v>
      </c>
      <c r="K471" s="71">
        <f t="shared" si="40"/>
        <v>0.59445178335535009</v>
      </c>
      <c r="L471" s="549">
        <v>0</v>
      </c>
      <c r="M471" s="511"/>
      <c r="N471" s="549">
        <v>120</v>
      </c>
      <c r="O471" s="549">
        <v>120</v>
      </c>
      <c r="P471" s="72">
        <f t="shared" si="41"/>
        <v>2.8000000000000114</v>
      </c>
      <c r="Q471" s="72">
        <f>IFERROR(IF(D471=20250,O471/(#REF!/30),O471/(I471/30)),0)</f>
        <v>11.889035667107001</v>
      </c>
      <c r="R471" s="72">
        <f t="shared" si="42"/>
        <v>11.889035667107001</v>
      </c>
      <c r="AC471"/>
      <c r="AD471"/>
      <c r="AE471"/>
      <c r="AF471"/>
      <c r="AG471"/>
      <c r="AH471"/>
      <c r="AI471"/>
      <c r="AJ471"/>
    </row>
    <row r="472" spans="1:36" ht="15">
      <c r="A472" s="352" t="str">
        <f t="shared" si="38"/>
        <v>440015305</v>
      </c>
      <c r="B472" s="509" t="s">
        <v>106</v>
      </c>
      <c r="C472" s="69" t="str">
        <f>_xlfn.XLOOKUP(B:B,Master!A:A,Master!B:B)</f>
        <v>RPSPL-CH</v>
      </c>
      <c r="D472" s="509" t="s">
        <v>45</v>
      </c>
      <c r="E472" s="69" t="str">
        <f t="shared" si="39"/>
        <v>440015305</v>
      </c>
      <c r="F472" s="509" t="s">
        <v>46</v>
      </c>
      <c r="G472" s="70" t="str">
        <f>VLOOKUP(D472,Master!C:G,4,)</f>
        <v>NGL</v>
      </c>
      <c r="H472" s="69" t="str">
        <f>VLOOKUP(D472,Master!C:G,5,)</f>
        <v>UF-Dry</v>
      </c>
      <c r="I472" s="549">
        <v>55.35</v>
      </c>
      <c r="J472" s="549">
        <v>36</v>
      </c>
      <c r="K472" s="71">
        <f t="shared" si="40"/>
        <v>0.65040650406504064</v>
      </c>
      <c r="L472" s="549">
        <v>0</v>
      </c>
      <c r="M472" s="511"/>
      <c r="N472" s="549">
        <v>0</v>
      </c>
      <c r="O472" s="549">
        <v>0</v>
      </c>
      <c r="P472" s="72">
        <f t="shared" si="41"/>
        <v>19.350000000000001</v>
      </c>
      <c r="Q472" s="72">
        <f>IFERROR(IF(D472=20250,O472/(#REF!/30),O472/(I472/30)),0)</f>
        <v>0</v>
      </c>
      <c r="R472" s="72">
        <f t="shared" si="42"/>
        <v>0</v>
      </c>
      <c r="AC472"/>
      <c r="AD472"/>
      <c r="AE472"/>
      <c r="AF472"/>
      <c r="AG472"/>
      <c r="AH472"/>
      <c r="AI472"/>
      <c r="AJ472"/>
    </row>
    <row r="473" spans="1:36" ht="15">
      <c r="A473" s="352" t="str">
        <f t="shared" si="38"/>
        <v>440015312</v>
      </c>
      <c r="B473" s="509" t="s">
        <v>106</v>
      </c>
      <c r="C473" s="69" t="str">
        <f>_xlfn.XLOOKUP(B:B,Master!A:A,Master!B:B)</f>
        <v>RPSPL-CH</v>
      </c>
      <c r="D473" s="509" t="s">
        <v>47</v>
      </c>
      <c r="E473" s="69" t="str">
        <f t="shared" si="39"/>
        <v>440015312</v>
      </c>
      <c r="F473" s="509" t="s">
        <v>48</v>
      </c>
      <c r="G473" s="70" t="str">
        <f>VLOOKUP(D473,Master!C:G,4,)</f>
        <v>NGL</v>
      </c>
      <c r="H473" s="69" t="str">
        <f>VLOOKUP(D473,Master!C:G,5,)</f>
        <v>UF-Dry</v>
      </c>
      <c r="I473" s="549">
        <v>13.77</v>
      </c>
      <c r="J473" s="549">
        <v>9</v>
      </c>
      <c r="K473" s="71">
        <f t="shared" si="40"/>
        <v>0.65359477124183007</v>
      </c>
      <c r="L473" s="549">
        <v>0</v>
      </c>
      <c r="M473" s="511"/>
      <c r="N473" s="549">
        <v>18</v>
      </c>
      <c r="O473" s="549">
        <v>18</v>
      </c>
      <c r="P473" s="72">
        <f t="shared" si="41"/>
        <v>-13.23</v>
      </c>
      <c r="Q473" s="72">
        <f>IFERROR(IF(D473=20250,O473/(#REF!/30),O473/(I473/30)),0)</f>
        <v>39.215686274509807</v>
      </c>
      <c r="R473" s="72">
        <f t="shared" si="42"/>
        <v>39.215686274509807</v>
      </c>
      <c r="AC473"/>
      <c r="AD473"/>
      <c r="AE473"/>
      <c r="AF473"/>
      <c r="AG473"/>
      <c r="AH473"/>
      <c r="AI473"/>
      <c r="AJ473"/>
    </row>
    <row r="474" spans="1:36" ht="15">
      <c r="A474" s="352" t="str">
        <f t="shared" si="38"/>
        <v>440016407</v>
      </c>
      <c r="B474" s="509" t="s">
        <v>106</v>
      </c>
      <c r="C474" s="69" t="str">
        <f>_xlfn.XLOOKUP(B:B,Master!A:A,Master!B:B)</f>
        <v>RPSPL-CH</v>
      </c>
      <c r="D474" s="509" t="s">
        <v>49</v>
      </c>
      <c r="E474" s="69" t="str">
        <f t="shared" si="39"/>
        <v>440016407</v>
      </c>
      <c r="F474" s="509" t="s">
        <v>50</v>
      </c>
      <c r="G474" s="70" t="str">
        <f>VLOOKUP(D474,Master!C:G,4,)</f>
        <v>NGL</v>
      </c>
      <c r="H474" s="69" t="str">
        <f>VLOOKUP(D474,Master!C:G,5,)</f>
        <v>UF-Dry</v>
      </c>
      <c r="I474" s="549">
        <v>138.51</v>
      </c>
      <c r="J474" s="549">
        <v>27</v>
      </c>
      <c r="K474" s="71">
        <f t="shared" si="40"/>
        <v>0.19493177387914232</v>
      </c>
      <c r="L474" s="549">
        <v>0</v>
      </c>
      <c r="M474" s="511"/>
      <c r="N474" s="549">
        <v>117</v>
      </c>
      <c r="O474" s="549">
        <v>117</v>
      </c>
      <c r="P474" s="72">
        <f t="shared" si="41"/>
        <v>-5.4900000000000091</v>
      </c>
      <c r="Q474" s="72">
        <f>IFERROR(IF(D474=20250,O474/(#REF!/30),O474/(I474/30)),0)</f>
        <v>25.341130604288498</v>
      </c>
      <c r="R474" s="72">
        <f t="shared" si="42"/>
        <v>25.341130604288498</v>
      </c>
      <c r="AC474"/>
      <c r="AD474"/>
      <c r="AE474"/>
      <c r="AF474"/>
      <c r="AG474"/>
      <c r="AH474"/>
      <c r="AI474"/>
      <c r="AJ474"/>
    </row>
    <row r="475" spans="1:36" ht="15">
      <c r="A475" s="352" t="str">
        <f t="shared" si="38"/>
        <v>440000189</v>
      </c>
      <c r="B475" s="509" t="s">
        <v>106</v>
      </c>
      <c r="C475" s="69" t="str">
        <f>_xlfn.XLOOKUP(B:B,Master!A:A,Master!B:B)</f>
        <v>RPSPL-CH</v>
      </c>
      <c r="D475" s="509" t="s">
        <v>51</v>
      </c>
      <c r="E475" s="69" t="str">
        <f t="shared" si="39"/>
        <v>440000189</v>
      </c>
      <c r="F475" s="509" t="s">
        <v>903</v>
      </c>
      <c r="G475" s="70" t="str">
        <f>VLOOKUP(D475,Master!C:G,4,)</f>
        <v>T&amp;I</v>
      </c>
      <c r="H475" s="69" t="str">
        <f>VLOOKUP(D475,Master!C:G,5,)</f>
        <v>T&amp;I Comm-UF</v>
      </c>
      <c r="I475" s="549">
        <v>47499.96</v>
      </c>
      <c r="J475" s="549">
        <v>23484</v>
      </c>
      <c r="K475" s="71">
        <f t="shared" si="40"/>
        <v>0.49440041633719273</v>
      </c>
      <c r="L475" s="549">
        <v>13788</v>
      </c>
      <c r="M475" s="511">
        <v>46161</v>
      </c>
      <c r="N475" s="549">
        <v>25944</v>
      </c>
      <c r="O475" s="549">
        <v>39732</v>
      </c>
      <c r="P475" s="72">
        <f t="shared" si="41"/>
        <v>-15716.04</v>
      </c>
      <c r="Q475" s="72">
        <f>IFERROR(IF(D475=20250,O475/(#REF!/30),O475/(I475/30)),0)</f>
        <v>25.093915868560732</v>
      </c>
      <c r="R475" s="72">
        <f t="shared" si="42"/>
        <v>16.385698009008852</v>
      </c>
      <c r="AC475"/>
      <c r="AD475"/>
      <c r="AE475"/>
      <c r="AF475"/>
      <c r="AG475"/>
      <c r="AH475"/>
      <c r="AI475"/>
      <c r="AJ475"/>
    </row>
    <row r="476" spans="1:36" ht="15">
      <c r="A476" s="352" t="str">
        <f t="shared" si="38"/>
        <v>440001167</v>
      </c>
      <c r="B476" s="509" t="s">
        <v>106</v>
      </c>
      <c r="C476" s="69" t="str">
        <f>_xlfn.XLOOKUP(B:B,Master!A:A,Master!B:B)</f>
        <v>RPSPL-CH</v>
      </c>
      <c r="D476" s="509" t="s">
        <v>53</v>
      </c>
      <c r="E476" s="69" t="str">
        <f t="shared" si="39"/>
        <v>440001167</v>
      </c>
      <c r="F476" s="509" t="s">
        <v>54</v>
      </c>
      <c r="G476" s="70" t="str">
        <f>VLOOKUP(D476,Master!C:G,4,)</f>
        <v>T&amp;I</v>
      </c>
      <c r="H476" s="69" t="str">
        <f>VLOOKUP(D476,Master!C:G,5,)</f>
        <v>T&amp;I EX UF</v>
      </c>
      <c r="I476" s="549">
        <v>9108.84</v>
      </c>
      <c r="J476" s="549">
        <v>2748</v>
      </c>
      <c r="K476" s="71">
        <f t="shared" si="40"/>
        <v>0.3016849565916187</v>
      </c>
      <c r="L476" s="549">
        <v>0</v>
      </c>
      <c r="M476" s="511"/>
      <c r="N476" s="549">
        <v>6420</v>
      </c>
      <c r="O476" s="549">
        <v>6420</v>
      </c>
      <c r="P476" s="72">
        <f t="shared" si="41"/>
        <v>-59.159999999999854</v>
      </c>
      <c r="Q476" s="72">
        <f>IFERROR(IF(D476=20250,O476/(#REF!/30),O476/(I476/30)),0)</f>
        <v>21.144294992556681</v>
      </c>
      <c r="R476" s="72">
        <f t="shared" si="42"/>
        <v>21.144294992556681</v>
      </c>
      <c r="AC476"/>
      <c r="AD476"/>
      <c r="AE476"/>
      <c r="AF476"/>
      <c r="AG476"/>
      <c r="AH476"/>
      <c r="AI476"/>
      <c r="AJ476"/>
    </row>
    <row r="477" spans="1:36" ht="15">
      <c r="A477" s="352" t="str">
        <f t="shared" si="38"/>
        <v>440001296</v>
      </c>
      <c r="B477" s="509" t="s">
        <v>106</v>
      </c>
      <c r="C477" s="69" t="str">
        <f>_xlfn.XLOOKUP(B:B,Master!A:A,Master!B:B)</f>
        <v>RPSPL-CH</v>
      </c>
      <c r="D477" s="509" t="s">
        <v>15</v>
      </c>
      <c r="E477" s="69" t="str">
        <f t="shared" si="39"/>
        <v>440001296</v>
      </c>
      <c r="F477" s="509" t="s">
        <v>16</v>
      </c>
      <c r="G477" s="70" t="str">
        <f>VLOOKUP(D477,Master!C:G,4,)</f>
        <v>T&amp;I</v>
      </c>
      <c r="H477" s="69" t="str">
        <f>VLOOKUP(D477,Master!C:G,5,)</f>
        <v>T&amp;I EX HP 2 KG</v>
      </c>
      <c r="I477" s="549">
        <v>1107.48</v>
      </c>
      <c r="J477" s="549">
        <v>696</v>
      </c>
      <c r="K477" s="71">
        <f t="shared" si="40"/>
        <v>0.62845378697583698</v>
      </c>
      <c r="L477" s="549">
        <v>504</v>
      </c>
      <c r="M477" s="511">
        <v>46164</v>
      </c>
      <c r="N477" s="549">
        <v>612</v>
      </c>
      <c r="O477" s="549">
        <v>1116</v>
      </c>
      <c r="P477" s="72">
        <f t="shared" si="41"/>
        <v>-704.52</v>
      </c>
      <c r="Q477" s="72">
        <f>IFERROR(IF(D477=20250,O477/(#REF!/30),O477/(I477/30)),0)</f>
        <v>30.230794235561813</v>
      </c>
      <c r="R477" s="72">
        <f t="shared" si="42"/>
        <v>16.578177484017768</v>
      </c>
      <c r="AC477"/>
      <c r="AD477"/>
      <c r="AE477"/>
      <c r="AF477"/>
      <c r="AG477"/>
      <c r="AH477"/>
      <c r="AI477"/>
      <c r="AJ477"/>
    </row>
    <row r="478" spans="1:36" ht="15">
      <c r="A478" s="352" t="str">
        <f t="shared" si="38"/>
        <v>440002122</v>
      </c>
      <c r="B478" s="509" t="s">
        <v>106</v>
      </c>
      <c r="C478" s="69" t="str">
        <f>_xlfn.XLOOKUP(B:B,Master!A:A,Master!B:B)</f>
        <v>RPSPL-CH</v>
      </c>
      <c r="D478" s="509" t="s">
        <v>55</v>
      </c>
      <c r="E478" s="69" t="str">
        <f t="shared" si="39"/>
        <v>440002122</v>
      </c>
      <c r="F478" s="509" t="s">
        <v>56</v>
      </c>
      <c r="G478" s="70" t="str">
        <f>VLOOKUP(D478,Master!C:G,4,)</f>
        <v>T&amp;I</v>
      </c>
      <c r="H478" s="69" t="str">
        <f>VLOOKUP(D478,Master!C:G,5,)</f>
        <v>T&amp;I EX HP 2 KG</v>
      </c>
      <c r="I478" s="549">
        <v>10531.2</v>
      </c>
      <c r="J478" s="549">
        <v>4380</v>
      </c>
      <c r="K478" s="71">
        <f t="shared" si="40"/>
        <v>0.41590701914311756</v>
      </c>
      <c r="L478" s="549">
        <v>2904</v>
      </c>
      <c r="M478" s="511">
        <v>46164</v>
      </c>
      <c r="N478" s="549">
        <v>8640</v>
      </c>
      <c r="O478" s="549">
        <v>11544</v>
      </c>
      <c r="P478" s="72">
        <f t="shared" si="41"/>
        <v>-5392.7999999999993</v>
      </c>
      <c r="Q478" s="72">
        <f>IFERROR(IF(D478=20250,O478/(#REF!/30),O478/(I478/30)),0)</f>
        <v>32.885141294439379</v>
      </c>
      <c r="R478" s="72">
        <f t="shared" si="42"/>
        <v>24.61257976298997</v>
      </c>
      <c r="AC478"/>
      <c r="AD478"/>
      <c r="AE478"/>
      <c r="AF478"/>
      <c r="AG478"/>
      <c r="AH478"/>
      <c r="AI478"/>
      <c r="AJ478"/>
    </row>
    <row r="479" spans="1:36" ht="15">
      <c r="A479" s="352" t="str">
        <f t="shared" si="38"/>
        <v>440005159</v>
      </c>
      <c r="B479" s="509" t="s">
        <v>106</v>
      </c>
      <c r="C479" s="69" t="str">
        <f>_xlfn.XLOOKUP(B:B,Master!A:A,Master!B:B)</f>
        <v>RPSPL-CH</v>
      </c>
      <c r="D479" s="509" t="s">
        <v>57</v>
      </c>
      <c r="E479" s="69" t="str">
        <f t="shared" si="39"/>
        <v>440005159</v>
      </c>
      <c r="F479" s="509" t="s">
        <v>58</v>
      </c>
      <c r="G479" s="70" t="str">
        <f>VLOOKUP(D479,Master!C:G,4,)</f>
        <v>T&amp;I</v>
      </c>
      <c r="H479" s="69" t="str">
        <f>VLOOKUP(D479,Master!C:G,5,)</f>
        <v>T&amp;I EX HP</v>
      </c>
      <c r="I479" s="549">
        <v>258.24</v>
      </c>
      <c r="J479" s="549">
        <v>72</v>
      </c>
      <c r="K479" s="71">
        <f t="shared" si="40"/>
        <v>0.27881040892193309</v>
      </c>
      <c r="L479" s="549">
        <v>0</v>
      </c>
      <c r="M479" s="511"/>
      <c r="N479" s="549">
        <v>252</v>
      </c>
      <c r="O479" s="549">
        <v>252</v>
      </c>
      <c r="P479" s="72">
        <f t="shared" si="41"/>
        <v>-65.759999999999991</v>
      </c>
      <c r="Q479" s="72">
        <f>IFERROR(IF(D479=20250,O479/(#REF!/30),O479/(I479/30)),0)</f>
        <v>29.275092936802974</v>
      </c>
      <c r="R479" s="72">
        <f t="shared" si="42"/>
        <v>29.275092936802974</v>
      </c>
      <c r="AC479"/>
      <c r="AD479"/>
      <c r="AE479"/>
      <c r="AF479"/>
      <c r="AG479"/>
      <c r="AH479"/>
      <c r="AI479"/>
      <c r="AJ479"/>
    </row>
    <row r="480" spans="1:36" ht="15">
      <c r="A480" s="352" t="str">
        <f t="shared" si="38"/>
        <v>440006982</v>
      </c>
      <c r="B480" s="509" t="s">
        <v>106</v>
      </c>
      <c r="C480" s="69" t="str">
        <f>_xlfn.XLOOKUP(B:B,Master!A:A,Master!B:B)</f>
        <v>RPSPL-CH</v>
      </c>
      <c r="D480" s="509" t="s">
        <v>59</v>
      </c>
      <c r="E480" s="69" t="str">
        <f t="shared" si="39"/>
        <v>440006982</v>
      </c>
      <c r="F480" s="509" t="s">
        <v>60</v>
      </c>
      <c r="G480" s="70" t="str">
        <f>VLOOKUP(D480,Master!C:G,4,)</f>
        <v>T&amp;I</v>
      </c>
      <c r="H480" s="69" t="str">
        <f>VLOOKUP(D480,Master!C:G,5,)</f>
        <v>T&amp;I Comm-UF</v>
      </c>
      <c r="I480" s="549">
        <v>4603.4399999999996</v>
      </c>
      <c r="J480" s="549">
        <v>2076</v>
      </c>
      <c r="K480" s="71">
        <f t="shared" si="40"/>
        <v>0.45096710286220743</v>
      </c>
      <c r="L480" s="549">
        <v>0</v>
      </c>
      <c r="M480" s="511"/>
      <c r="N480" s="549">
        <v>2580</v>
      </c>
      <c r="O480" s="549">
        <v>2580</v>
      </c>
      <c r="P480" s="72">
        <f t="shared" si="41"/>
        <v>-52.5600000000004</v>
      </c>
      <c r="Q480" s="72">
        <f>IFERROR(IF(D480=20250,O480/(#REF!/30),O480/(I480/30)),0)</f>
        <v>16.813513372608313</v>
      </c>
      <c r="R480" s="72">
        <f t="shared" si="42"/>
        <v>16.813513372608313</v>
      </c>
      <c r="AC480"/>
      <c r="AD480"/>
      <c r="AE480"/>
      <c r="AF480"/>
      <c r="AG480"/>
      <c r="AH480"/>
      <c r="AI480"/>
      <c r="AJ480"/>
    </row>
    <row r="481" spans="1:36" ht="15">
      <c r="A481" s="352" t="str">
        <f t="shared" si="38"/>
        <v>440007310</v>
      </c>
      <c r="B481" s="509" t="s">
        <v>106</v>
      </c>
      <c r="C481" s="69" t="str">
        <f>_xlfn.XLOOKUP(B:B,Master!A:A,Master!B:B)</f>
        <v>RPSPL-CH</v>
      </c>
      <c r="D481" s="509" t="s">
        <v>19</v>
      </c>
      <c r="E481" s="69" t="str">
        <f t="shared" si="39"/>
        <v>440007310</v>
      </c>
      <c r="F481" s="509" t="s">
        <v>20</v>
      </c>
      <c r="G481" s="70" t="str">
        <f>VLOOKUP(D481,Master!C:G,4,)</f>
        <v>T&amp;I</v>
      </c>
      <c r="H481" s="69" t="str">
        <f>VLOOKUP(D481,Master!C:G,5,)</f>
        <v>T&amp;I Comm -HP</v>
      </c>
      <c r="I481" s="549">
        <v>20871.36</v>
      </c>
      <c r="J481" s="549">
        <v>7608</v>
      </c>
      <c r="K481" s="71">
        <f t="shared" si="40"/>
        <v>0.36451865139597994</v>
      </c>
      <c r="L481" s="549">
        <v>0</v>
      </c>
      <c r="M481" s="511"/>
      <c r="N481" s="549">
        <v>28296</v>
      </c>
      <c r="O481" s="549">
        <v>28296</v>
      </c>
      <c r="P481" s="72">
        <f t="shared" si="41"/>
        <v>-15032.64</v>
      </c>
      <c r="Q481" s="72">
        <f>IFERROR(IF(D481=20250,O481/(#REF!/30),O481/(I481/30)),0)</f>
        <v>40.672002207810131</v>
      </c>
      <c r="R481" s="72">
        <f t="shared" si="42"/>
        <v>40.672002207810131</v>
      </c>
      <c r="AC481"/>
      <c r="AD481"/>
      <c r="AE481"/>
      <c r="AF481"/>
      <c r="AG481"/>
      <c r="AH481"/>
      <c r="AI481"/>
      <c r="AJ481"/>
    </row>
    <row r="482" spans="1:36" ht="15">
      <c r="A482" s="352" t="str">
        <f t="shared" si="38"/>
        <v>440008529</v>
      </c>
      <c r="B482" s="509" t="s">
        <v>106</v>
      </c>
      <c r="C482" s="69" t="str">
        <f>_xlfn.XLOOKUP(B:B,Master!A:A,Master!B:B)</f>
        <v>RPSPL-CH</v>
      </c>
      <c r="D482" s="509" t="s">
        <v>61</v>
      </c>
      <c r="E482" s="69" t="str">
        <f t="shared" si="39"/>
        <v>440008529</v>
      </c>
      <c r="F482" s="509" t="s">
        <v>62</v>
      </c>
      <c r="G482" s="70" t="str">
        <f>VLOOKUP(D482,Master!C:G,4,)</f>
        <v>T&amp;I</v>
      </c>
      <c r="H482" s="69" t="str">
        <f>VLOOKUP(D482,Master!C:G,5,)</f>
        <v>T&amp;I EX HP 2 KG</v>
      </c>
      <c r="I482" s="549">
        <v>13233.24</v>
      </c>
      <c r="J482" s="549">
        <v>5304</v>
      </c>
      <c r="K482" s="71">
        <f t="shared" si="40"/>
        <v>0.4008088722036327</v>
      </c>
      <c r="L482" s="549">
        <v>10992</v>
      </c>
      <c r="M482" s="511">
        <v>46164</v>
      </c>
      <c r="N482" s="549">
        <v>3960</v>
      </c>
      <c r="O482" s="549">
        <v>14952</v>
      </c>
      <c r="P482" s="72">
        <f t="shared" si="41"/>
        <v>-7022.76</v>
      </c>
      <c r="Q482" s="72">
        <f>IFERROR(IF(D482=20250,O482/(#REF!/30),O482/(I482/30)),0)</f>
        <v>33.896460730705407</v>
      </c>
      <c r="R482" s="72">
        <f t="shared" si="42"/>
        <v>8.9773932914388315</v>
      </c>
      <c r="AC482"/>
      <c r="AD482"/>
      <c r="AE482"/>
      <c r="AF482"/>
      <c r="AG482"/>
      <c r="AH482"/>
      <c r="AI482"/>
      <c r="AJ482"/>
    </row>
    <row r="483" spans="1:36" ht="15">
      <c r="A483" s="352" t="str">
        <f t="shared" si="38"/>
        <v>440013179</v>
      </c>
      <c r="B483" s="509" t="s">
        <v>106</v>
      </c>
      <c r="C483" s="69" t="str">
        <f>_xlfn.XLOOKUP(B:B,Master!A:A,Master!B:B)</f>
        <v>RPSPL-CH</v>
      </c>
      <c r="D483" s="509" t="s">
        <v>22</v>
      </c>
      <c r="E483" s="69" t="str">
        <f t="shared" si="39"/>
        <v>440013179</v>
      </c>
      <c r="F483" s="509" t="s">
        <v>23</v>
      </c>
      <c r="G483" s="70" t="str">
        <f>VLOOKUP(D483,Master!C:G,4,)</f>
        <v>T&amp;I</v>
      </c>
      <c r="H483" s="69" t="str">
        <f>VLOOKUP(D483,Master!C:G,5,)</f>
        <v>T&amp;I EX HP 2 KG</v>
      </c>
      <c r="I483" s="549">
        <v>59037.120000000003</v>
      </c>
      <c r="J483" s="549">
        <v>24876</v>
      </c>
      <c r="K483" s="71">
        <f t="shared" si="40"/>
        <v>0.42136201765939801</v>
      </c>
      <c r="L483" s="549">
        <v>4104</v>
      </c>
      <c r="M483" s="511">
        <v>46160</v>
      </c>
      <c r="N483" s="549">
        <v>40740</v>
      </c>
      <c r="O483" s="549">
        <v>44844</v>
      </c>
      <c r="P483" s="72">
        <f t="shared" si="41"/>
        <v>-10682.879999999997</v>
      </c>
      <c r="Q483" s="72">
        <f>IFERROR(IF(D483=20250,O483/(#REF!/30),O483/(I483/30)),0)</f>
        <v>22.787696960827358</v>
      </c>
      <c r="R483" s="72">
        <f t="shared" si="42"/>
        <v>20.702229377042784</v>
      </c>
      <c r="AC483"/>
      <c r="AD483"/>
      <c r="AE483"/>
      <c r="AF483"/>
      <c r="AG483"/>
      <c r="AH483"/>
      <c r="AI483"/>
      <c r="AJ483"/>
    </row>
    <row r="484" spans="1:36" ht="15">
      <c r="A484" s="352" t="str">
        <f t="shared" si="38"/>
        <v>440013678</v>
      </c>
      <c r="B484" s="509" t="s">
        <v>106</v>
      </c>
      <c r="C484" s="69" t="str">
        <f>_xlfn.XLOOKUP(B:B,Master!A:A,Master!B:B)</f>
        <v>RPSPL-CH</v>
      </c>
      <c r="D484" s="509" t="s">
        <v>65</v>
      </c>
      <c r="E484" s="69" t="str">
        <f t="shared" si="39"/>
        <v>440013678</v>
      </c>
      <c r="F484" s="509" t="s">
        <v>66</v>
      </c>
      <c r="G484" s="70" t="str">
        <f>VLOOKUP(D484,Master!C:G,4,)</f>
        <v>T&amp;I</v>
      </c>
      <c r="H484" s="69" t="str">
        <f>VLOOKUP(D484,Master!C:G,5,)</f>
        <v>T&amp;I EX HP</v>
      </c>
      <c r="I484" s="549">
        <v>271.08</v>
      </c>
      <c r="J484" s="549">
        <v>276</v>
      </c>
      <c r="K484" s="71">
        <f t="shared" si="40"/>
        <v>1.0181496237273131</v>
      </c>
      <c r="L484" s="549">
        <v>1392</v>
      </c>
      <c r="M484" s="511">
        <v>46160</v>
      </c>
      <c r="N484" s="549">
        <v>96</v>
      </c>
      <c r="O484" s="549">
        <v>1488</v>
      </c>
      <c r="P484" s="72">
        <f t="shared" si="41"/>
        <v>-1492.92</v>
      </c>
      <c r="Q484" s="72">
        <f>IFERROR(IF(D484=20250,O484/(#REF!/30),O484/(I484/30)),0)</f>
        <v>164.6746347941567</v>
      </c>
      <c r="R484" s="72">
        <f t="shared" si="42"/>
        <v>10.624169986719789</v>
      </c>
      <c r="AC484"/>
      <c r="AD484"/>
      <c r="AE484"/>
      <c r="AF484"/>
      <c r="AG484"/>
      <c r="AH484"/>
      <c r="AI484"/>
      <c r="AJ484"/>
    </row>
    <row r="485" spans="1:36" ht="15">
      <c r="A485" s="352" t="str">
        <f t="shared" si="38"/>
        <v>440014654</v>
      </c>
      <c r="B485" s="509" t="s">
        <v>106</v>
      </c>
      <c r="C485" s="69" t="str">
        <f>_xlfn.XLOOKUP(B:B,Master!A:A,Master!B:B)</f>
        <v>RPSPL-CH</v>
      </c>
      <c r="D485" s="509" t="s">
        <v>67</v>
      </c>
      <c r="E485" s="69" t="str">
        <f t="shared" si="39"/>
        <v>440014654</v>
      </c>
      <c r="F485" s="509" t="s">
        <v>68</v>
      </c>
      <c r="G485" s="70" t="str">
        <f>VLOOKUP(D485,Master!C:G,4,)</f>
        <v>T&amp;I</v>
      </c>
      <c r="H485" s="69" t="str">
        <f>VLOOKUP(D485,Master!C:G,5,)</f>
        <v>T&amp;I Comm-UF</v>
      </c>
      <c r="I485" s="549">
        <v>1378.68</v>
      </c>
      <c r="J485" s="549">
        <v>912</v>
      </c>
      <c r="K485" s="71">
        <f t="shared" si="40"/>
        <v>0.66150230655409514</v>
      </c>
      <c r="L485" s="549">
        <v>0</v>
      </c>
      <c r="M485" s="511"/>
      <c r="N485" s="549">
        <v>348</v>
      </c>
      <c r="O485" s="549">
        <v>348</v>
      </c>
      <c r="P485" s="72">
        <f t="shared" si="41"/>
        <v>118.68000000000006</v>
      </c>
      <c r="Q485" s="72">
        <f>IFERROR(IF(D485=20250,O485/(#REF!/30),O485/(I485/30)),0)</f>
        <v>7.5724606145008266</v>
      </c>
      <c r="R485" s="72">
        <f t="shared" si="42"/>
        <v>7.5724606145008266</v>
      </c>
      <c r="AC485"/>
      <c r="AD485"/>
      <c r="AE485"/>
      <c r="AF485"/>
      <c r="AG485"/>
      <c r="AH485"/>
      <c r="AI485"/>
      <c r="AJ485"/>
    </row>
    <row r="486" spans="1:36" ht="15">
      <c r="A486" s="352" t="str">
        <f t="shared" si="38"/>
        <v>440014788</v>
      </c>
      <c r="B486" s="509" t="s">
        <v>106</v>
      </c>
      <c r="C486" s="69" t="str">
        <f>_xlfn.XLOOKUP(B:B,Master!A:A,Master!B:B)</f>
        <v>RPSPL-CH</v>
      </c>
      <c r="D486" s="509" t="s">
        <v>69</v>
      </c>
      <c r="E486" s="69" t="str">
        <f t="shared" si="39"/>
        <v>440014788</v>
      </c>
      <c r="F486" s="509" t="s">
        <v>70</v>
      </c>
      <c r="G486" s="70" t="str">
        <f>VLOOKUP(D486,Master!C:G,4,)</f>
        <v>T&amp;I</v>
      </c>
      <c r="H486" s="69" t="str">
        <f>VLOOKUP(D486,Master!C:G,5,)</f>
        <v>T&amp;I EX HP</v>
      </c>
      <c r="I486" s="549">
        <v>12137.52</v>
      </c>
      <c r="J486" s="549">
        <v>4080</v>
      </c>
      <c r="K486" s="71">
        <f t="shared" si="40"/>
        <v>0.33614774682142645</v>
      </c>
      <c r="L486" s="549">
        <v>0</v>
      </c>
      <c r="M486" s="511"/>
      <c r="N486" s="549">
        <v>9468</v>
      </c>
      <c r="O486" s="549">
        <v>9468</v>
      </c>
      <c r="P486" s="72">
        <f t="shared" si="41"/>
        <v>-1410.4799999999996</v>
      </c>
      <c r="Q486" s="72">
        <f>IFERROR(IF(D486=20250,O486/(#REF!/30),O486/(I486/30)),0)</f>
        <v>23.401815197832835</v>
      </c>
      <c r="R486" s="72">
        <f t="shared" si="42"/>
        <v>23.401815197832835</v>
      </c>
      <c r="AC486"/>
      <c r="AD486"/>
      <c r="AE486"/>
      <c r="AF486"/>
      <c r="AG486"/>
      <c r="AH486"/>
      <c r="AI486"/>
      <c r="AJ486"/>
    </row>
    <row r="487" spans="1:36" ht="15">
      <c r="A487" s="352" t="str">
        <f t="shared" si="38"/>
        <v>440015536</v>
      </c>
      <c r="B487" s="509" t="s">
        <v>106</v>
      </c>
      <c r="C487" s="69" t="str">
        <f>_xlfn.XLOOKUP(B:B,Master!A:A,Master!B:B)</f>
        <v>RPSPL-CH</v>
      </c>
      <c r="D487" s="509" t="s">
        <v>71</v>
      </c>
      <c r="E487" s="69" t="str">
        <f t="shared" si="39"/>
        <v>440015536</v>
      </c>
      <c r="F487" s="509" t="s">
        <v>72</v>
      </c>
      <c r="G487" s="70" t="str">
        <f>VLOOKUP(D487,Master!C:G,4,)</f>
        <v>Ganache</v>
      </c>
      <c r="H487" s="69" t="str">
        <f>VLOOKUP(D487,Master!C:G,5,)</f>
        <v>Ganache- UF</v>
      </c>
      <c r="I487" s="549">
        <v>8506.08</v>
      </c>
      <c r="J487" s="549">
        <v>3840</v>
      </c>
      <c r="K487" s="71">
        <f t="shared" si="40"/>
        <v>0.45144179222391512</v>
      </c>
      <c r="L487" s="549">
        <v>0</v>
      </c>
      <c r="M487" s="511"/>
      <c r="N487" s="549">
        <v>8628</v>
      </c>
      <c r="O487" s="549">
        <v>8628</v>
      </c>
      <c r="P487" s="72">
        <f t="shared" si="41"/>
        <v>-3961.92</v>
      </c>
      <c r="Q487" s="72">
        <f>IFERROR(IF(D487=20250,O487/(#REF!/30),O487/(I487/30)),0)</f>
        <v>30.429998307093278</v>
      </c>
      <c r="R487" s="72">
        <f t="shared" si="42"/>
        <v>30.429998307093278</v>
      </c>
      <c r="AC487"/>
      <c r="AD487"/>
      <c r="AE487"/>
      <c r="AF487"/>
      <c r="AG487"/>
      <c r="AH487"/>
      <c r="AI487"/>
      <c r="AJ487"/>
    </row>
    <row r="488" spans="1:36" ht="15">
      <c r="A488" s="352" t="str">
        <f t="shared" si="38"/>
        <v>440015906</v>
      </c>
      <c r="B488" s="509" t="s">
        <v>106</v>
      </c>
      <c r="C488" s="69" t="str">
        <f>_xlfn.XLOOKUP(B:B,Master!A:A,Master!B:B)</f>
        <v>RPSPL-CH</v>
      </c>
      <c r="D488" s="509" t="s">
        <v>74</v>
      </c>
      <c r="E488" s="69" t="str">
        <f t="shared" si="39"/>
        <v>440015906</v>
      </c>
      <c r="F488" s="509" t="s">
        <v>75</v>
      </c>
      <c r="G488" s="70" t="str">
        <f>VLOOKUP(D488,Master!C:G,4,)</f>
        <v>T&amp;I</v>
      </c>
      <c r="H488" s="69" t="str">
        <f>VLOOKUP(D488,Master!C:G,5,)</f>
        <v>T&amp;I EX HP</v>
      </c>
      <c r="I488" s="549">
        <v>405.72</v>
      </c>
      <c r="J488" s="549">
        <v>300</v>
      </c>
      <c r="K488" s="71">
        <f t="shared" si="40"/>
        <v>0.73942620526471459</v>
      </c>
      <c r="L488" s="549">
        <v>408</v>
      </c>
      <c r="M488" s="511">
        <v>46160</v>
      </c>
      <c r="N488" s="549">
        <v>108</v>
      </c>
      <c r="O488" s="549">
        <v>516</v>
      </c>
      <c r="P488" s="72">
        <f t="shared" si="41"/>
        <v>-410.28</v>
      </c>
      <c r="Q488" s="72">
        <f>IFERROR(IF(D488=20250,O488/(#REF!/30),O488/(I488/30)),0)</f>
        <v>38.154392191659269</v>
      </c>
      <c r="R488" s="72">
        <f t="shared" si="42"/>
        <v>7.9858030168589167</v>
      </c>
      <c r="AC488"/>
      <c r="AD488"/>
      <c r="AE488"/>
      <c r="AF488"/>
      <c r="AG488"/>
      <c r="AH488"/>
      <c r="AI488"/>
      <c r="AJ488"/>
    </row>
    <row r="489" spans="1:36" ht="15">
      <c r="A489" s="352" t="str">
        <f t="shared" si="38"/>
        <v>440016336</v>
      </c>
      <c r="B489" s="509" t="s">
        <v>106</v>
      </c>
      <c r="C489" s="69" t="str">
        <f>_xlfn.XLOOKUP(B:B,Master!A:A,Master!B:B)</f>
        <v>RPSPL-CH</v>
      </c>
      <c r="D489" s="509" t="s">
        <v>24</v>
      </c>
      <c r="E489" s="69" t="str">
        <f t="shared" si="39"/>
        <v>440016336</v>
      </c>
      <c r="F489" s="509" t="s">
        <v>25</v>
      </c>
      <c r="G489" s="70" t="str">
        <f>VLOOKUP(D489,Master!C:G,4,)</f>
        <v>T&amp;I</v>
      </c>
      <c r="H489" s="69" t="str">
        <f>VLOOKUP(D489,Master!C:G,5,)</f>
        <v>T&amp;I Comm-UF</v>
      </c>
      <c r="I489" s="549">
        <v>37882.68</v>
      </c>
      <c r="J489" s="549">
        <v>15888</v>
      </c>
      <c r="K489" s="71">
        <f t="shared" si="40"/>
        <v>0.41940010580032883</v>
      </c>
      <c r="L489" s="549">
        <v>0</v>
      </c>
      <c r="M489" s="511"/>
      <c r="N489" s="549">
        <v>27012</v>
      </c>
      <c r="O489" s="549">
        <v>27012</v>
      </c>
      <c r="P489" s="72">
        <f t="shared" si="41"/>
        <v>-5017.32</v>
      </c>
      <c r="Q489" s="72">
        <f>IFERROR(IF(D489=20250,O489/(#REF!/30),O489/(I489/30)),0)</f>
        <v>21.391306000525834</v>
      </c>
      <c r="R489" s="72">
        <f t="shared" si="42"/>
        <v>21.391306000525834</v>
      </c>
      <c r="AC489"/>
      <c r="AD489"/>
      <c r="AE489"/>
      <c r="AF489"/>
      <c r="AG489"/>
      <c r="AH489"/>
      <c r="AI489"/>
      <c r="AJ489"/>
    </row>
    <row r="490" spans="1:36" ht="15">
      <c r="A490" s="352" t="str">
        <f t="shared" si="38"/>
        <v>440016984</v>
      </c>
      <c r="B490" s="509" t="s">
        <v>106</v>
      </c>
      <c r="C490" s="69" t="str">
        <f>_xlfn.XLOOKUP(B:B,Master!A:A,Master!B:B)</f>
        <v>RPSPL-CH</v>
      </c>
      <c r="D490" s="509" t="s">
        <v>78</v>
      </c>
      <c r="E490" s="69" t="str">
        <f t="shared" si="39"/>
        <v>440016984</v>
      </c>
      <c r="F490" s="509" t="s">
        <v>79</v>
      </c>
      <c r="G490" s="70" t="str">
        <f>VLOOKUP(D490,Master!C:G,4,)</f>
        <v>T&amp;I</v>
      </c>
      <c r="H490" s="69" t="str">
        <f>VLOOKUP(D490,Master!C:G,5,)</f>
        <v>T&amp;I EX HP</v>
      </c>
      <c r="I490" s="549">
        <v>1495.44</v>
      </c>
      <c r="J490" s="549">
        <v>756</v>
      </c>
      <c r="K490" s="71">
        <f t="shared" si="40"/>
        <v>0.50553683196918631</v>
      </c>
      <c r="L490" s="549">
        <v>0</v>
      </c>
      <c r="M490" s="511"/>
      <c r="N490" s="549">
        <v>1356</v>
      </c>
      <c r="O490" s="549">
        <v>1356</v>
      </c>
      <c r="P490" s="72">
        <f t="shared" si="41"/>
        <v>-616.55999999999995</v>
      </c>
      <c r="Q490" s="72">
        <f>IFERROR(IF(D490=20250,O490/(#REF!/30),O490/(I490/30)),0)</f>
        <v>27.20269619643717</v>
      </c>
      <c r="R490" s="72">
        <f t="shared" si="42"/>
        <v>27.20269619643717</v>
      </c>
      <c r="AC490"/>
      <c r="AD490"/>
      <c r="AE490"/>
      <c r="AF490"/>
      <c r="AG490"/>
      <c r="AH490"/>
      <c r="AI490"/>
      <c r="AJ490"/>
    </row>
    <row r="491" spans="1:36" ht="15">
      <c r="A491" s="352" t="str">
        <f t="shared" si="38"/>
        <v>440016998</v>
      </c>
      <c r="B491" s="509" t="s">
        <v>106</v>
      </c>
      <c r="C491" s="69" t="str">
        <f>_xlfn.XLOOKUP(B:B,Master!A:A,Master!B:B)</f>
        <v>RPSPL-CH</v>
      </c>
      <c r="D491" s="509" t="s">
        <v>80</v>
      </c>
      <c r="E491" s="69" t="str">
        <f t="shared" si="39"/>
        <v>440016998</v>
      </c>
      <c r="F491" s="509" t="s">
        <v>81</v>
      </c>
      <c r="G491" s="70" t="str">
        <f>VLOOKUP(D491,Master!C:G,4,)</f>
        <v>T&amp;I</v>
      </c>
      <c r="H491" s="69" t="str">
        <f>VLOOKUP(D491,Master!C:G,5,)</f>
        <v>T&amp;I EX UF</v>
      </c>
      <c r="I491" s="549">
        <v>104.88</v>
      </c>
      <c r="J491" s="549">
        <v>60</v>
      </c>
      <c r="K491" s="71">
        <f t="shared" si="40"/>
        <v>0.57208237986270027</v>
      </c>
      <c r="L491" s="549">
        <v>0</v>
      </c>
      <c r="M491" s="511"/>
      <c r="N491" s="549">
        <v>48</v>
      </c>
      <c r="O491" s="549">
        <v>48</v>
      </c>
      <c r="P491" s="72">
        <f t="shared" si="41"/>
        <v>-3.1200000000000045</v>
      </c>
      <c r="Q491" s="72">
        <f>IFERROR(IF(D491=20250,O491/(#REF!/30),O491/(I491/30)),0)</f>
        <v>13.729977116704806</v>
      </c>
      <c r="R491" s="72">
        <f t="shared" si="42"/>
        <v>13.729977116704806</v>
      </c>
      <c r="AC491"/>
      <c r="AD491"/>
      <c r="AE491"/>
      <c r="AF491"/>
      <c r="AG491"/>
      <c r="AH491"/>
      <c r="AI491"/>
      <c r="AJ491"/>
    </row>
    <row r="492" spans="1:36" ht="15">
      <c r="A492" s="352" t="str">
        <f t="shared" si="38"/>
        <v>440018098</v>
      </c>
      <c r="B492" s="509" t="s">
        <v>106</v>
      </c>
      <c r="C492" s="69" t="str">
        <f>_xlfn.XLOOKUP(B:B,Master!A:A,Master!B:B)</f>
        <v>RPSPL-CH</v>
      </c>
      <c r="D492" s="509" t="s">
        <v>84</v>
      </c>
      <c r="E492" s="69" t="str">
        <f t="shared" si="39"/>
        <v>440018098</v>
      </c>
      <c r="F492" s="509" t="s">
        <v>1222</v>
      </c>
      <c r="G492" s="70" t="str">
        <f>VLOOKUP(D492,Master!C:G,4,)</f>
        <v>T&amp;I</v>
      </c>
      <c r="H492" s="69" t="str">
        <f>VLOOKUP(D492,Master!C:G,5,)</f>
        <v>T&amp;I EX HP</v>
      </c>
      <c r="I492" s="549">
        <v>0</v>
      </c>
      <c r="J492" s="549">
        <v>0</v>
      </c>
      <c r="K492" s="71">
        <f t="shared" si="40"/>
        <v>0</v>
      </c>
      <c r="L492" s="549">
        <v>0</v>
      </c>
      <c r="M492" s="511"/>
      <c r="N492" s="549">
        <v>120</v>
      </c>
      <c r="O492" s="549">
        <v>120</v>
      </c>
      <c r="P492" s="72">
        <f t="shared" si="41"/>
        <v>-120</v>
      </c>
      <c r="Q492" s="72">
        <f>IFERROR(IF(D492=20250,O492/(#REF!/30),O492/(I492/30)),0)</f>
        <v>0</v>
      </c>
      <c r="R492" s="72">
        <f t="shared" si="42"/>
        <v>0</v>
      </c>
      <c r="AC492"/>
      <c r="AD492"/>
      <c r="AE492"/>
      <c r="AF492"/>
      <c r="AG492"/>
      <c r="AH492"/>
      <c r="AI492"/>
      <c r="AJ492"/>
    </row>
    <row r="493" spans="1:36" ht="15">
      <c r="A493" s="352" t="str">
        <f t="shared" si="38"/>
        <v>440020308</v>
      </c>
      <c r="B493" s="509" t="s">
        <v>106</v>
      </c>
      <c r="C493" s="69" t="str">
        <f>_xlfn.XLOOKUP(B:B,Master!A:A,Master!B:B)</f>
        <v>RPSPL-CH</v>
      </c>
      <c r="D493" s="509" t="s">
        <v>146</v>
      </c>
      <c r="E493" s="69" t="str">
        <f t="shared" si="39"/>
        <v>440020308</v>
      </c>
      <c r="F493" s="509" t="s">
        <v>902</v>
      </c>
      <c r="G493" s="70" t="str">
        <f>VLOOKUP(D493,Master!C:G,4,)</f>
        <v>T&amp;I</v>
      </c>
      <c r="H493" s="69" t="str">
        <f>VLOOKUP(D493,Master!C:G,5,)</f>
        <v>T&amp;I EX HP 2 KG</v>
      </c>
      <c r="I493" s="549">
        <v>10173.84</v>
      </c>
      <c r="J493" s="549">
        <v>1272</v>
      </c>
      <c r="K493" s="71">
        <f t="shared" si="40"/>
        <v>0.12502653865207236</v>
      </c>
      <c r="L493" s="549">
        <v>4992</v>
      </c>
      <c r="M493" s="511">
        <v>46160</v>
      </c>
      <c r="N493" s="549">
        <v>6840</v>
      </c>
      <c r="O493" s="549">
        <v>11832</v>
      </c>
      <c r="P493" s="72">
        <f t="shared" si="41"/>
        <v>-2930.16</v>
      </c>
      <c r="Q493" s="72">
        <f>IFERROR(IF(D493=20250,O493/(#REF!/30),O493/(I493/30)),0)</f>
        <v>34.889481257814161</v>
      </c>
      <c r="R493" s="72">
        <f t="shared" si="42"/>
        <v>20.169375575004128</v>
      </c>
      <c r="AC493"/>
      <c r="AD493"/>
      <c r="AE493"/>
      <c r="AF493"/>
      <c r="AG493"/>
      <c r="AH493"/>
      <c r="AI493"/>
      <c r="AJ493"/>
    </row>
    <row r="494" spans="1:36" ht="15">
      <c r="A494" s="352" t="str">
        <f t="shared" si="38"/>
        <v>440020827</v>
      </c>
      <c r="B494" s="509" t="s">
        <v>106</v>
      </c>
      <c r="C494" s="69" t="str">
        <f>_xlfn.XLOOKUP(B:B,Master!A:A,Master!B:B)</f>
        <v>RPSPL-CH</v>
      </c>
      <c r="D494" s="509" t="s">
        <v>149</v>
      </c>
      <c r="E494" s="69" t="str">
        <f t="shared" si="39"/>
        <v>440020827</v>
      </c>
      <c r="F494" s="509" t="s">
        <v>150</v>
      </c>
      <c r="G494" s="70" t="str">
        <f>VLOOKUP(D494,Master!C:G,4,)</f>
        <v>Ganache</v>
      </c>
      <c r="H494" s="69" t="str">
        <f>VLOOKUP(D494,Master!C:G,5,)</f>
        <v>Ganache- UF</v>
      </c>
      <c r="I494" s="549">
        <v>1520.28</v>
      </c>
      <c r="J494" s="549">
        <v>720</v>
      </c>
      <c r="K494" s="71">
        <f t="shared" si="40"/>
        <v>0.47359696897939851</v>
      </c>
      <c r="L494" s="549">
        <v>0</v>
      </c>
      <c r="M494" s="511"/>
      <c r="N494" s="549">
        <v>1128</v>
      </c>
      <c r="O494" s="549">
        <v>1128</v>
      </c>
      <c r="P494" s="72">
        <f t="shared" si="41"/>
        <v>-327.72</v>
      </c>
      <c r="Q494" s="72">
        <f>IFERROR(IF(D494=20250,O494/(#REF!/30),O494/(I494/30)),0)</f>
        <v>22.25905754203173</v>
      </c>
      <c r="R494" s="72">
        <f t="shared" si="42"/>
        <v>22.25905754203173</v>
      </c>
      <c r="AC494"/>
      <c r="AD494"/>
      <c r="AE494"/>
      <c r="AF494"/>
      <c r="AG494"/>
      <c r="AH494"/>
      <c r="AI494"/>
      <c r="AJ494"/>
    </row>
    <row r="495" spans="1:36" ht="15">
      <c r="A495" s="352" t="str">
        <f t="shared" si="38"/>
        <v>440021910</v>
      </c>
      <c r="B495" s="509" t="s">
        <v>106</v>
      </c>
      <c r="C495" s="69" t="str">
        <f>_xlfn.XLOOKUP(B:B,Master!A:A,Master!B:B)</f>
        <v>RPSPL-CH</v>
      </c>
      <c r="D495" s="509" t="s">
        <v>180</v>
      </c>
      <c r="E495" s="69" t="str">
        <f t="shared" si="39"/>
        <v>440021910</v>
      </c>
      <c r="F495" s="509" t="s">
        <v>181</v>
      </c>
      <c r="G495" s="70" t="str">
        <f>VLOOKUP(D495,Master!C:G,4,)</f>
        <v>T&amp;I</v>
      </c>
      <c r="H495" s="69" t="str">
        <f>VLOOKUP(D495,Master!C:G,5,)</f>
        <v>T&amp;I EX HP 2 KG</v>
      </c>
      <c r="I495" s="549">
        <v>92.04</v>
      </c>
      <c r="J495" s="549">
        <v>180</v>
      </c>
      <c r="K495" s="71">
        <f t="shared" si="40"/>
        <v>1.9556714471968708</v>
      </c>
      <c r="L495" s="549">
        <v>0</v>
      </c>
      <c r="M495" s="511"/>
      <c r="N495" s="549">
        <v>696</v>
      </c>
      <c r="O495" s="549">
        <v>696</v>
      </c>
      <c r="P495" s="72">
        <f t="shared" si="41"/>
        <v>-783.96</v>
      </c>
      <c r="Q495" s="72">
        <f>IFERROR(IF(D495=20250,O495/(#REF!/30),O495/(I495/30)),0)</f>
        <v>226.85788787483702</v>
      </c>
      <c r="R495" s="72">
        <f t="shared" si="42"/>
        <v>226.85788787483702</v>
      </c>
      <c r="AC495"/>
      <c r="AD495"/>
      <c r="AE495"/>
      <c r="AF495"/>
      <c r="AG495"/>
      <c r="AH495"/>
      <c r="AI495"/>
      <c r="AJ495"/>
    </row>
    <row r="496" spans="1:36" ht="15">
      <c r="A496" s="352" t="str">
        <f t="shared" si="38"/>
        <v>440023081</v>
      </c>
      <c r="B496" s="509" t="s">
        <v>106</v>
      </c>
      <c r="C496" s="69" t="str">
        <f>_xlfn.XLOOKUP(B:B,Master!A:A,Master!B:B)</f>
        <v>RPSPL-CH</v>
      </c>
      <c r="D496" s="509" t="s">
        <v>189</v>
      </c>
      <c r="E496" s="69" t="str">
        <f t="shared" si="39"/>
        <v>440023081</v>
      </c>
      <c r="F496" s="509" t="s">
        <v>190</v>
      </c>
      <c r="G496" s="70" t="str">
        <f>VLOOKUP(D496,Master!C:G,4,)</f>
        <v>T&amp;I</v>
      </c>
      <c r="H496" s="69" t="str">
        <f>VLOOKUP(D496,Master!C:G,5,)</f>
        <v>T&amp;I EX HP</v>
      </c>
      <c r="I496" s="549">
        <v>215.76</v>
      </c>
      <c r="J496" s="549">
        <v>84</v>
      </c>
      <c r="K496" s="71">
        <f t="shared" si="40"/>
        <v>0.38932146829810904</v>
      </c>
      <c r="L496" s="549">
        <v>0</v>
      </c>
      <c r="M496" s="511"/>
      <c r="N496" s="549">
        <v>324</v>
      </c>
      <c r="O496" s="549">
        <v>324</v>
      </c>
      <c r="P496" s="72">
        <f t="shared" si="41"/>
        <v>-192.24</v>
      </c>
      <c r="Q496" s="72">
        <f>IFERROR(IF(D496=20250,O496/(#REF!/30),O496/(I496/30)),0)</f>
        <v>45.050055617352619</v>
      </c>
      <c r="R496" s="72">
        <f t="shared" si="42"/>
        <v>45.050055617352619</v>
      </c>
      <c r="AC496"/>
      <c r="AD496"/>
      <c r="AE496"/>
      <c r="AF496"/>
      <c r="AG496"/>
      <c r="AH496"/>
      <c r="AI496"/>
      <c r="AJ496"/>
    </row>
    <row r="497" spans="1:36" ht="15">
      <c r="A497" s="352" t="str">
        <f t="shared" si="38"/>
        <v>440023401</v>
      </c>
      <c r="B497" s="509" t="s">
        <v>106</v>
      </c>
      <c r="C497" s="69" t="str">
        <f>_xlfn.XLOOKUP(B:B,Master!A:A,Master!B:B)</f>
        <v>RPSPL-CH</v>
      </c>
      <c r="D497" s="509" t="s">
        <v>194</v>
      </c>
      <c r="E497" s="69" t="str">
        <f t="shared" si="39"/>
        <v>440023401</v>
      </c>
      <c r="F497" s="509" t="s">
        <v>195</v>
      </c>
      <c r="G497" s="70" t="str">
        <f>VLOOKUP(D497,Master!C:G,4,)</f>
        <v>T&amp;I</v>
      </c>
      <c r="H497" s="69" t="str">
        <f>VLOOKUP(D497,Master!C:G,5,)</f>
        <v>T&amp;I EX UF</v>
      </c>
      <c r="I497" s="549">
        <v>5957.4</v>
      </c>
      <c r="J497" s="549">
        <v>2328</v>
      </c>
      <c r="K497" s="71">
        <f t="shared" si="40"/>
        <v>0.39077449894249172</v>
      </c>
      <c r="L497" s="549">
        <v>0</v>
      </c>
      <c r="M497" s="511"/>
      <c r="N497" s="549">
        <v>3648</v>
      </c>
      <c r="O497" s="549">
        <v>3648</v>
      </c>
      <c r="P497" s="72">
        <f t="shared" si="41"/>
        <v>-18.600000000000364</v>
      </c>
      <c r="Q497" s="72">
        <f>IFERROR(IF(D497=20250,O497/(#REF!/30),O497/(I497/30)),0)</f>
        <v>18.370430053378993</v>
      </c>
      <c r="R497" s="72">
        <f t="shared" si="42"/>
        <v>18.370430053378993</v>
      </c>
      <c r="AC497"/>
      <c r="AD497"/>
      <c r="AE497"/>
      <c r="AF497"/>
      <c r="AG497"/>
      <c r="AH497"/>
      <c r="AI497"/>
      <c r="AJ497"/>
    </row>
    <row r="498" spans="1:36" ht="15">
      <c r="A498" s="352" t="str">
        <f t="shared" si="38"/>
        <v>440024768</v>
      </c>
      <c r="B498" s="509" t="s">
        <v>106</v>
      </c>
      <c r="C498" s="69" t="str">
        <f>_xlfn.XLOOKUP(B:B,Master!A:A,Master!B:B)</f>
        <v>RPSPL-CH</v>
      </c>
      <c r="D498" s="509" t="s">
        <v>906</v>
      </c>
      <c r="E498" s="69" t="str">
        <f t="shared" si="39"/>
        <v>440024768</v>
      </c>
      <c r="F498" s="509" t="s">
        <v>912</v>
      </c>
      <c r="G498" s="70" t="str">
        <f>VLOOKUP(D498,Master!C:G,4,)</f>
        <v>T&amp;I</v>
      </c>
      <c r="H498" s="69" t="str">
        <f>VLOOKUP(D498,Master!C:G,5,)</f>
        <v>T&amp;I EX UF</v>
      </c>
      <c r="I498" s="549">
        <v>3348.36</v>
      </c>
      <c r="J498" s="549">
        <v>504</v>
      </c>
      <c r="K498" s="71">
        <f t="shared" si="40"/>
        <v>0.15052144930652617</v>
      </c>
      <c r="L498" s="549">
        <v>0</v>
      </c>
      <c r="M498" s="511"/>
      <c r="N498" s="549">
        <v>3984</v>
      </c>
      <c r="O498" s="549">
        <v>3984</v>
      </c>
      <c r="P498" s="72">
        <f t="shared" si="41"/>
        <v>-1139.6399999999999</v>
      </c>
      <c r="Q498" s="72">
        <f>IFERROR(IF(D498=20250,O498/(#REF!/30),O498/(I498/30)),0)</f>
        <v>35.695086549833348</v>
      </c>
      <c r="R498" s="72">
        <f t="shared" si="42"/>
        <v>35.695086549833348</v>
      </c>
      <c r="AC498"/>
      <c r="AD498"/>
      <c r="AE498"/>
      <c r="AF498"/>
      <c r="AG498"/>
      <c r="AH498"/>
      <c r="AI498"/>
      <c r="AJ498"/>
    </row>
    <row r="499" spans="1:36" ht="15">
      <c r="A499" s="352" t="str">
        <f t="shared" si="38"/>
        <v>440025570</v>
      </c>
      <c r="B499" s="509" t="s">
        <v>106</v>
      </c>
      <c r="C499" s="69" t="str">
        <f>_xlfn.XLOOKUP(B:B,Master!A:A,Master!B:B)</f>
        <v>RPSPL-CH</v>
      </c>
      <c r="D499" s="509" t="s">
        <v>1006</v>
      </c>
      <c r="E499" s="69" t="str">
        <f t="shared" si="39"/>
        <v>440025570</v>
      </c>
      <c r="F499" s="509" t="s">
        <v>1008</v>
      </c>
      <c r="G499" s="70" t="str">
        <f>VLOOKUP(D499,Master!C:G,4,)</f>
        <v>T&amp;I</v>
      </c>
      <c r="H499" s="69" t="str">
        <f>VLOOKUP(D499,Master!C:G,5,)</f>
        <v>T&amp;I EX HP</v>
      </c>
      <c r="I499" s="549">
        <v>2178.48</v>
      </c>
      <c r="J499" s="549">
        <v>1296</v>
      </c>
      <c r="K499" s="71">
        <f t="shared" si="40"/>
        <v>0.59491021262531674</v>
      </c>
      <c r="L499" s="549">
        <v>504</v>
      </c>
      <c r="M499" s="511">
        <v>46160</v>
      </c>
      <c r="N499" s="549">
        <v>1716</v>
      </c>
      <c r="O499" s="549">
        <v>2220</v>
      </c>
      <c r="P499" s="72">
        <f t="shared" si="41"/>
        <v>-1337.52</v>
      </c>
      <c r="Q499" s="72">
        <f>IFERROR(IF(D499=20250,O499/(#REF!/30),O499/(I499/30)),0)</f>
        <v>30.571774815467666</v>
      </c>
      <c r="R499" s="72">
        <f t="shared" si="42"/>
        <v>23.631155668172305</v>
      </c>
      <c r="AC499"/>
      <c r="AD499"/>
      <c r="AE499"/>
      <c r="AF499"/>
      <c r="AG499"/>
      <c r="AH499"/>
      <c r="AI499"/>
      <c r="AJ499"/>
    </row>
    <row r="500" spans="1:36" ht="15">
      <c r="A500" s="352" t="str">
        <f t="shared" si="38"/>
        <v>440025598</v>
      </c>
      <c r="B500" s="509" t="s">
        <v>106</v>
      </c>
      <c r="C500" s="69" t="str">
        <f>_xlfn.XLOOKUP(B:B,Master!A:A,Master!B:B)</f>
        <v>RPSPL-CH</v>
      </c>
      <c r="D500" s="509" t="s">
        <v>1007</v>
      </c>
      <c r="E500" s="69" t="str">
        <f t="shared" si="39"/>
        <v>440025598</v>
      </c>
      <c r="F500" s="509" t="s">
        <v>1009</v>
      </c>
      <c r="G500" s="70" t="str">
        <f>VLOOKUP(D500,Master!C:G,4,)</f>
        <v>T&amp;I</v>
      </c>
      <c r="H500" s="69" t="str">
        <f>VLOOKUP(D500,Master!C:G,5,)</f>
        <v>T&amp;I EX HP</v>
      </c>
      <c r="I500" s="549">
        <v>1846.92</v>
      </c>
      <c r="J500" s="549">
        <v>648</v>
      </c>
      <c r="K500" s="71">
        <f t="shared" si="40"/>
        <v>0.35085439542589825</v>
      </c>
      <c r="L500" s="549">
        <v>0</v>
      </c>
      <c r="M500" s="511"/>
      <c r="N500" s="549">
        <v>480</v>
      </c>
      <c r="O500" s="549">
        <v>480</v>
      </c>
      <c r="P500" s="72">
        <f t="shared" si="41"/>
        <v>718.92000000000007</v>
      </c>
      <c r="Q500" s="72">
        <f>IFERROR(IF(D500=20250,O500/(#REF!/30),O500/(I500/30)),0)</f>
        <v>7.7967643427977391</v>
      </c>
      <c r="R500" s="72">
        <f t="shared" si="42"/>
        <v>7.7967643427977391</v>
      </c>
      <c r="AC500"/>
      <c r="AD500"/>
      <c r="AE500"/>
      <c r="AF500"/>
      <c r="AG500"/>
      <c r="AH500"/>
      <c r="AI500"/>
      <c r="AJ500"/>
    </row>
    <row r="501" spans="1:36" ht="15">
      <c r="A501" s="352" t="str">
        <f t="shared" si="38"/>
        <v>440025616</v>
      </c>
      <c r="B501" s="509" t="s">
        <v>106</v>
      </c>
      <c r="C501" s="69" t="str">
        <f>_xlfn.XLOOKUP(B:B,Master!A:A,Master!B:B)</f>
        <v>RPSPL-CH</v>
      </c>
      <c r="D501" s="509" t="s">
        <v>1004</v>
      </c>
      <c r="E501" s="69" t="str">
        <f t="shared" si="39"/>
        <v>440025616</v>
      </c>
      <c r="F501" s="509" t="s">
        <v>1005</v>
      </c>
      <c r="G501" s="70" t="str">
        <f>VLOOKUP(D501,Master!C:G,4,)</f>
        <v>T&amp;I</v>
      </c>
      <c r="H501" s="69" t="str">
        <f>VLOOKUP(D501,Master!C:G,5,)</f>
        <v>T&amp;I EX HP</v>
      </c>
      <c r="I501" s="549">
        <v>35359.699999999997</v>
      </c>
      <c r="J501" s="549">
        <v>4200</v>
      </c>
      <c r="K501" s="71">
        <f t="shared" si="40"/>
        <v>0.11877928828581691</v>
      </c>
      <c r="L501" s="549">
        <v>15000</v>
      </c>
      <c r="M501" s="511">
        <v>46164</v>
      </c>
      <c r="N501" s="549">
        <v>19680</v>
      </c>
      <c r="O501" s="549">
        <v>34680</v>
      </c>
      <c r="P501" s="72">
        <f t="shared" si="41"/>
        <v>-3520.3000000000029</v>
      </c>
      <c r="Q501" s="72">
        <f>IFERROR(IF(D501=20250,O501/(#REF!/30),O501/(I501/30)),0)</f>
        <v>29.423326555372363</v>
      </c>
      <c r="R501" s="72">
        <f t="shared" si="42"/>
        <v>16.696974239034834</v>
      </c>
      <c r="AC501"/>
      <c r="AD501"/>
      <c r="AE501"/>
      <c r="AF501"/>
      <c r="AG501"/>
      <c r="AH501"/>
      <c r="AI501"/>
      <c r="AJ501"/>
    </row>
    <row r="502" spans="1:36" ht="15">
      <c r="A502" s="352" t="str">
        <f t="shared" si="38"/>
        <v>440106151</v>
      </c>
      <c r="B502" s="509" t="s">
        <v>108</v>
      </c>
      <c r="C502" s="69" t="str">
        <f>_xlfn.XLOOKUP(B:B,Master!A:A,Master!B:B)</f>
        <v>RPSPL-BNG</v>
      </c>
      <c r="D502" s="509" t="s">
        <v>28</v>
      </c>
      <c r="E502" s="69" t="str">
        <f t="shared" si="39"/>
        <v>440106151</v>
      </c>
      <c r="F502" s="509" t="s">
        <v>29</v>
      </c>
      <c r="G502" s="70" t="str">
        <f>VLOOKUP(D502,Master!C:G,4,)</f>
        <v>DD</v>
      </c>
      <c r="H502" s="69" t="str">
        <f>VLOOKUP(D502,Master!C:G,5,)</f>
        <v>OS - Dry</v>
      </c>
      <c r="I502" s="549">
        <v>49792.56</v>
      </c>
      <c r="J502" s="549">
        <v>31656</v>
      </c>
      <c r="K502" s="71">
        <f t="shared" si="40"/>
        <v>0.63575763126057394</v>
      </c>
      <c r="L502" s="549">
        <v>11076</v>
      </c>
      <c r="M502" s="511">
        <v>46164</v>
      </c>
      <c r="N502" s="549">
        <v>6360</v>
      </c>
      <c r="O502" s="549">
        <v>17436</v>
      </c>
      <c r="P502" s="72">
        <f t="shared" si="41"/>
        <v>700.55999999999767</v>
      </c>
      <c r="Q502" s="72">
        <f>IFERROR(IF(D502=20250,O502/(#REF!/30),O502/(I502/30)),0)</f>
        <v>10.505183906993334</v>
      </c>
      <c r="R502" s="72">
        <f t="shared" si="42"/>
        <v>3.8318977774992891</v>
      </c>
      <c r="AC502"/>
      <c r="AD502"/>
      <c r="AE502"/>
      <c r="AF502"/>
      <c r="AG502"/>
      <c r="AH502"/>
      <c r="AI502"/>
      <c r="AJ502"/>
    </row>
    <row r="503" spans="1:36" ht="15">
      <c r="A503" s="352" t="str">
        <f t="shared" si="38"/>
        <v>440113490</v>
      </c>
      <c r="B503" s="509" t="s">
        <v>108</v>
      </c>
      <c r="C503" s="69" t="str">
        <f>_xlfn.XLOOKUP(B:B,Master!A:A,Master!B:B)</f>
        <v>RPSPL-BNG</v>
      </c>
      <c r="D503" s="509" t="s">
        <v>37</v>
      </c>
      <c r="E503" s="69" t="str">
        <f t="shared" si="39"/>
        <v>440113490</v>
      </c>
      <c r="F503" s="509" t="s">
        <v>38</v>
      </c>
      <c r="G503" s="70" t="str">
        <f>VLOOKUP(D503,Master!C:G,4,)</f>
        <v>NGL</v>
      </c>
      <c r="H503" s="69" t="str">
        <f>VLOOKUP(D503,Master!C:G,5,)</f>
        <v>UF-Dry</v>
      </c>
      <c r="I503" s="549">
        <v>8175.4</v>
      </c>
      <c r="J503" s="549">
        <v>5990</v>
      </c>
      <c r="K503" s="71">
        <f t="shared" si="40"/>
        <v>0.7326858624654452</v>
      </c>
      <c r="L503" s="549">
        <v>0</v>
      </c>
      <c r="M503" s="511"/>
      <c r="N503" s="549">
        <v>6980</v>
      </c>
      <c r="O503" s="549">
        <v>6980</v>
      </c>
      <c r="P503" s="72">
        <f t="shared" si="41"/>
        <v>-4794.6000000000004</v>
      </c>
      <c r="Q503" s="72">
        <f>IFERROR(IF(D503=20250,O503/(#REF!/30),O503/(I503/30)),0)</f>
        <v>25.613425642782005</v>
      </c>
      <c r="R503" s="72">
        <f t="shared" si="42"/>
        <v>25.613425642782005</v>
      </c>
      <c r="AC503"/>
      <c r="AD503"/>
      <c r="AE503"/>
      <c r="AF503"/>
      <c r="AG503"/>
      <c r="AH503"/>
      <c r="AI503"/>
      <c r="AJ503"/>
    </row>
    <row r="504" spans="1:36" ht="15">
      <c r="A504" s="352" t="str">
        <f t="shared" si="38"/>
        <v>440115300</v>
      </c>
      <c r="B504" s="509" t="s">
        <v>108</v>
      </c>
      <c r="C504" s="69" t="str">
        <f>_xlfn.XLOOKUP(B:B,Master!A:A,Master!B:B)</f>
        <v>RPSPL-BNG</v>
      </c>
      <c r="D504" s="509" t="s">
        <v>43</v>
      </c>
      <c r="E504" s="69" t="str">
        <f t="shared" si="39"/>
        <v>440115300</v>
      </c>
      <c r="F504" s="509" t="s">
        <v>44</v>
      </c>
      <c r="G504" s="70" t="str">
        <f>VLOOKUP(D504,Master!C:G,4,)</f>
        <v>NGL</v>
      </c>
      <c r="H504" s="69" t="str">
        <f>VLOOKUP(D504,Master!C:G,5,)</f>
        <v>UF-Dry</v>
      </c>
      <c r="I504" s="549">
        <v>221.58</v>
      </c>
      <c r="J504" s="549">
        <v>189</v>
      </c>
      <c r="K504" s="71">
        <f t="shared" si="40"/>
        <v>0.85296506904955316</v>
      </c>
      <c r="L504" s="549">
        <v>0</v>
      </c>
      <c r="M504" s="511"/>
      <c r="N504" s="549">
        <v>270</v>
      </c>
      <c r="O504" s="549">
        <v>270</v>
      </c>
      <c r="P504" s="72">
        <f t="shared" si="41"/>
        <v>-237.42</v>
      </c>
      <c r="Q504" s="72">
        <f>IFERROR(IF(D504=20250,O504/(#REF!/30),O504/(I504/30)),0)</f>
        <v>36.555645816409424</v>
      </c>
      <c r="R504" s="72">
        <f t="shared" si="42"/>
        <v>36.555645816409424</v>
      </c>
      <c r="AC504"/>
      <c r="AD504"/>
      <c r="AE504"/>
      <c r="AF504"/>
      <c r="AG504"/>
      <c r="AH504"/>
      <c r="AI504"/>
      <c r="AJ504"/>
    </row>
    <row r="505" spans="1:36" ht="15">
      <c r="A505" s="352" t="str">
        <f t="shared" si="38"/>
        <v>440119690</v>
      </c>
      <c r="B505" s="509" t="s">
        <v>108</v>
      </c>
      <c r="C505" s="69" t="str">
        <f>_xlfn.XLOOKUP(B:B,Master!A:A,Master!B:B)</f>
        <v>RPSPL-BNG</v>
      </c>
      <c r="D505" s="509" t="s">
        <v>88</v>
      </c>
      <c r="E505" s="69" t="str">
        <f t="shared" si="39"/>
        <v>440119690</v>
      </c>
      <c r="F505" s="509" t="s">
        <v>89</v>
      </c>
      <c r="G505" s="70" t="str">
        <f>VLOOKUP(D505,Master!C:G,4,)</f>
        <v>NFL</v>
      </c>
      <c r="H505" s="69" t="str">
        <f>VLOOKUP(D505,Master!C:G,5,)</f>
        <v>OS - Dry</v>
      </c>
      <c r="I505" s="549">
        <v>209.76</v>
      </c>
      <c r="J505" s="549">
        <v>252</v>
      </c>
      <c r="K505" s="71">
        <f t="shared" si="40"/>
        <v>1.2013729977116705</v>
      </c>
      <c r="L505" s="549">
        <v>0</v>
      </c>
      <c r="M505" s="511"/>
      <c r="N505" s="549">
        <v>816</v>
      </c>
      <c r="O505" s="549">
        <v>816</v>
      </c>
      <c r="P505" s="72">
        <f t="shared" si="41"/>
        <v>-858.24</v>
      </c>
      <c r="Q505" s="72">
        <f>IFERROR(IF(D505=20250,O505/(#REF!/30),O505/(I505/30)),0)</f>
        <v>116.70480549199085</v>
      </c>
      <c r="R505" s="72">
        <f t="shared" si="42"/>
        <v>116.70480549199085</v>
      </c>
      <c r="AC505"/>
      <c r="AD505"/>
      <c r="AE505"/>
      <c r="AF505"/>
      <c r="AG505"/>
      <c r="AH505"/>
      <c r="AI505"/>
      <c r="AJ505"/>
    </row>
    <row r="506" spans="1:36" ht="15">
      <c r="A506" s="352" t="str">
        <f t="shared" si="38"/>
        <v>440120661</v>
      </c>
      <c r="B506" s="509" t="s">
        <v>108</v>
      </c>
      <c r="C506" s="69" t="str">
        <f>_xlfn.XLOOKUP(B:B,Master!A:A,Master!B:B)</f>
        <v>RPSPL-BNG</v>
      </c>
      <c r="D506" s="509" t="s">
        <v>167</v>
      </c>
      <c r="E506" s="69" t="str">
        <f t="shared" si="39"/>
        <v>440120661</v>
      </c>
      <c r="F506" s="509" t="s">
        <v>168</v>
      </c>
      <c r="G506" s="70" t="str">
        <f>VLOOKUP(D506,Master!C:G,4,)</f>
        <v>UHT-Chill</v>
      </c>
      <c r="H506" s="69" t="str">
        <f>VLOOKUP(D506,Master!C:G,5,)</f>
        <v>OS-Chill</v>
      </c>
      <c r="I506" s="549">
        <v>8843.4</v>
      </c>
      <c r="J506" s="549">
        <v>5712</v>
      </c>
      <c r="K506" s="71">
        <f t="shared" si="40"/>
        <v>0.64590542099192616</v>
      </c>
      <c r="L506" s="549">
        <v>0</v>
      </c>
      <c r="M506" s="511"/>
      <c r="N506" s="549">
        <v>5436</v>
      </c>
      <c r="O506" s="549">
        <v>5436</v>
      </c>
      <c r="P506" s="72">
        <f t="shared" si="41"/>
        <v>-2304.6000000000004</v>
      </c>
      <c r="Q506" s="72">
        <f>IFERROR(IF(D506=20250,O506/(#REF!/30),O506/(I506/30)),0)</f>
        <v>18.440871158151843</v>
      </c>
      <c r="R506" s="72">
        <f t="shared" si="42"/>
        <v>18.440871158151843</v>
      </c>
      <c r="AC506"/>
      <c r="AD506"/>
      <c r="AE506"/>
      <c r="AF506"/>
      <c r="AG506"/>
      <c r="AH506"/>
      <c r="AI506"/>
      <c r="AJ506"/>
    </row>
    <row r="507" spans="1:36" ht="15">
      <c r="A507" s="352" t="str">
        <f t="shared" si="38"/>
        <v>440123638</v>
      </c>
      <c r="B507" s="509" t="s">
        <v>108</v>
      </c>
      <c r="C507" s="69" t="str">
        <f>_xlfn.XLOOKUP(B:B,Master!A:A,Master!B:B)</f>
        <v>RPSPL-BNG</v>
      </c>
      <c r="D507" s="509" t="s">
        <v>198</v>
      </c>
      <c r="E507" s="69" t="str">
        <f t="shared" si="39"/>
        <v>440123638</v>
      </c>
      <c r="F507" s="509" t="s">
        <v>199</v>
      </c>
      <c r="G507" s="70" t="str">
        <f>VLOOKUP(D507,Master!C:G,4,)</f>
        <v>DD</v>
      </c>
      <c r="H507" s="69" t="str">
        <f>VLOOKUP(D507,Master!C:G,5,)</f>
        <v>OS - Dry</v>
      </c>
      <c r="I507" s="549">
        <v>7398.48</v>
      </c>
      <c r="J507" s="549">
        <v>3864</v>
      </c>
      <c r="K507" s="71">
        <f t="shared" si="40"/>
        <v>0.52226943912803714</v>
      </c>
      <c r="L507" s="549">
        <v>0</v>
      </c>
      <c r="M507" s="511"/>
      <c r="N507" s="549">
        <v>14508</v>
      </c>
      <c r="O507" s="549">
        <v>14508</v>
      </c>
      <c r="P507" s="72">
        <f t="shared" si="41"/>
        <v>-10973.52</v>
      </c>
      <c r="Q507" s="72">
        <f>IFERROR(IF(D507=20250,O507/(#REF!/30),O507/(I507/30)),0)</f>
        <v>58.828299866999714</v>
      </c>
      <c r="R507" s="72">
        <f t="shared" si="42"/>
        <v>58.828299866999714</v>
      </c>
      <c r="AC507"/>
      <c r="AD507"/>
      <c r="AE507"/>
      <c r="AF507"/>
      <c r="AG507"/>
      <c r="AH507"/>
      <c r="AI507"/>
      <c r="AJ507"/>
    </row>
    <row r="508" spans="1:36" ht="15">
      <c r="A508" s="352" t="str">
        <f t="shared" si="38"/>
        <v>440125885</v>
      </c>
      <c r="B508" s="509" t="s">
        <v>108</v>
      </c>
      <c r="C508" s="69" t="str">
        <f>_xlfn.XLOOKUP(B:B,Master!A:A,Master!B:B)</f>
        <v>RPSPL-BNG</v>
      </c>
      <c r="D508" s="509" t="s">
        <v>1037</v>
      </c>
      <c r="E508" s="69" t="str">
        <f t="shared" si="39"/>
        <v>440125885</v>
      </c>
      <c r="F508" s="509" t="s">
        <v>1038</v>
      </c>
      <c r="G508" s="70" t="str">
        <f>VLOOKUP(D508,Master!C:G,4,)</f>
        <v>T&amp;I</v>
      </c>
      <c r="H508" s="69" t="str">
        <f>VLOOKUP(D508,Master!C:G,5,)</f>
        <v>T&amp;I EX UF</v>
      </c>
      <c r="I508" s="549">
        <v>2799.96</v>
      </c>
      <c r="J508" s="549">
        <v>2352</v>
      </c>
      <c r="K508" s="71">
        <f t="shared" si="40"/>
        <v>0.84001200017143096</v>
      </c>
      <c r="L508" s="549">
        <v>0</v>
      </c>
      <c r="M508" s="511"/>
      <c r="N508" s="549">
        <v>480</v>
      </c>
      <c r="O508" s="549">
        <v>480</v>
      </c>
      <c r="P508" s="72">
        <f t="shared" si="41"/>
        <v>-32.039999999999964</v>
      </c>
      <c r="Q508" s="72">
        <f>IFERROR(IF(D508=20250,O508/(#REF!/30),O508/(I508/30)),0)</f>
        <v>5.1429306132944754</v>
      </c>
      <c r="R508" s="72">
        <f t="shared" si="42"/>
        <v>5.1429306132944754</v>
      </c>
      <c r="AC508"/>
      <c r="AD508"/>
      <c r="AE508"/>
      <c r="AF508"/>
      <c r="AG508"/>
      <c r="AH508"/>
      <c r="AI508"/>
      <c r="AJ508"/>
    </row>
    <row r="509" spans="1:36" ht="15">
      <c r="A509" s="352" t="str">
        <f t="shared" si="38"/>
        <v>440126192</v>
      </c>
      <c r="B509" s="509" t="s">
        <v>108</v>
      </c>
      <c r="C509" s="69" t="str">
        <f>_xlfn.XLOOKUP(B:B,Master!A:A,Master!B:B)</f>
        <v>RPSPL-BNG</v>
      </c>
      <c r="D509" s="509" t="s">
        <v>1188</v>
      </c>
      <c r="E509" s="69" t="str">
        <f t="shared" si="39"/>
        <v>440126192</v>
      </c>
      <c r="F509" s="509" t="s">
        <v>1223</v>
      </c>
      <c r="G509" s="70" t="str">
        <f>VLOOKUP(D509,Master!C:G,4,)</f>
        <v>DD</v>
      </c>
      <c r="H509" s="69" t="str">
        <f>VLOOKUP(D509,Master!C:G,5,)</f>
        <v>OS - Dry</v>
      </c>
      <c r="I509" s="549">
        <v>1979.52</v>
      </c>
      <c r="J509" s="549">
        <v>0</v>
      </c>
      <c r="K509" s="71">
        <f t="shared" si="40"/>
        <v>0</v>
      </c>
      <c r="L509" s="549">
        <v>0</v>
      </c>
      <c r="M509" s="511"/>
      <c r="N509" s="549">
        <v>0</v>
      </c>
      <c r="O509" s="549">
        <v>0</v>
      </c>
      <c r="P509" s="72">
        <f t="shared" si="41"/>
        <v>1979.52</v>
      </c>
      <c r="Q509" s="72">
        <f>IFERROR(IF(D509=20250,O509/(#REF!/30),O509/(I509/30)),0)</f>
        <v>0</v>
      </c>
      <c r="R509" s="72">
        <f t="shared" si="42"/>
        <v>0</v>
      </c>
      <c r="AC509"/>
      <c r="AD509"/>
      <c r="AE509"/>
      <c r="AF509"/>
      <c r="AG509"/>
      <c r="AH509"/>
      <c r="AI509"/>
      <c r="AJ509"/>
    </row>
    <row r="510" spans="1:36" ht="15">
      <c r="A510" s="352" t="str">
        <f t="shared" si="38"/>
        <v>440126193</v>
      </c>
      <c r="B510" s="509" t="s">
        <v>108</v>
      </c>
      <c r="C510" s="69" t="str">
        <f>_xlfn.XLOOKUP(B:B,Master!A:A,Master!B:B)</f>
        <v>RPSPL-BNG</v>
      </c>
      <c r="D510" s="509" t="s">
        <v>1194</v>
      </c>
      <c r="E510" s="69" t="str">
        <f t="shared" si="39"/>
        <v>440126193</v>
      </c>
      <c r="F510" s="509" t="s">
        <v>1225</v>
      </c>
      <c r="G510" s="70" t="str">
        <f>VLOOKUP(D510,Master!C:G,4,)</f>
        <v>DD</v>
      </c>
      <c r="H510" s="69" t="str">
        <f>VLOOKUP(D510,Master!C:G,5,)</f>
        <v>OS - Dry</v>
      </c>
      <c r="I510" s="549">
        <v>0</v>
      </c>
      <c r="J510" s="549">
        <v>2292</v>
      </c>
      <c r="K510" s="71">
        <f t="shared" si="40"/>
        <v>0</v>
      </c>
      <c r="L510" s="549">
        <v>0</v>
      </c>
      <c r="M510" s="511"/>
      <c r="N510" s="549">
        <v>0</v>
      </c>
      <c r="O510" s="549">
        <v>0</v>
      </c>
      <c r="P510" s="72">
        <f t="shared" si="41"/>
        <v>-2292</v>
      </c>
      <c r="Q510" s="72">
        <f>IFERROR(IF(D510=20250,O510/(#REF!/30),O510/(I510/30)),0)</f>
        <v>0</v>
      </c>
      <c r="R510" s="72">
        <f t="shared" si="42"/>
        <v>0</v>
      </c>
      <c r="AC510"/>
      <c r="AD510"/>
      <c r="AE510"/>
      <c r="AF510"/>
      <c r="AG510"/>
      <c r="AH510"/>
      <c r="AI510"/>
      <c r="AJ510"/>
    </row>
    <row r="511" spans="1:36" ht="15">
      <c r="A511" s="352" t="str">
        <f t="shared" si="38"/>
        <v>440126234</v>
      </c>
      <c r="B511" s="509" t="s">
        <v>108</v>
      </c>
      <c r="C511" s="69" t="str">
        <f>_xlfn.XLOOKUP(B:B,Master!A:A,Master!B:B)</f>
        <v>RPSPL-BNG</v>
      </c>
      <c r="D511" s="509" t="s">
        <v>1176</v>
      </c>
      <c r="E511" s="69" t="str">
        <f t="shared" si="39"/>
        <v>440126234</v>
      </c>
      <c r="F511" s="509" t="s">
        <v>1182</v>
      </c>
      <c r="G511" s="70" t="str">
        <f>VLOOKUP(D511,Master!C:G,4,)</f>
        <v>T&amp;I</v>
      </c>
      <c r="H511" s="69" t="str">
        <f>VLOOKUP(D511,Master!C:G,5,)</f>
        <v>T&amp;I EX UF</v>
      </c>
      <c r="I511" s="549">
        <v>0</v>
      </c>
      <c r="J511" s="549">
        <v>0</v>
      </c>
      <c r="K511" s="71">
        <f t="shared" si="40"/>
        <v>0</v>
      </c>
      <c r="L511" s="549">
        <v>0</v>
      </c>
      <c r="M511" s="511"/>
      <c r="N511" s="549">
        <v>924</v>
      </c>
      <c r="O511" s="549">
        <v>924</v>
      </c>
      <c r="P511" s="72">
        <f t="shared" si="41"/>
        <v>-924</v>
      </c>
      <c r="Q511" s="72">
        <f>IFERROR(IF(D511=20250,O511/(#REF!/30),O511/(I511/30)),0)</f>
        <v>0</v>
      </c>
      <c r="R511" s="72">
        <f t="shared" si="42"/>
        <v>0</v>
      </c>
      <c r="AC511"/>
      <c r="AD511"/>
      <c r="AE511"/>
      <c r="AF511"/>
      <c r="AG511"/>
      <c r="AH511"/>
      <c r="AI511"/>
      <c r="AJ511"/>
    </row>
    <row r="512" spans="1:36" ht="15">
      <c r="A512" s="352" t="str">
        <f t="shared" si="38"/>
        <v>440126744</v>
      </c>
      <c r="B512" s="509" t="s">
        <v>108</v>
      </c>
      <c r="C512" s="69" t="str">
        <f>_xlfn.XLOOKUP(B:B,Master!A:A,Master!B:B)</f>
        <v>RPSPL-BNG</v>
      </c>
      <c r="D512" s="509" t="s">
        <v>1231</v>
      </c>
      <c r="E512" s="69" t="str">
        <f t="shared" si="39"/>
        <v>440126744</v>
      </c>
      <c r="F512" s="509" t="s">
        <v>1236</v>
      </c>
      <c r="G512" s="70" t="str">
        <f>VLOOKUP(D512,Master!C:G,4,)</f>
        <v>NFL</v>
      </c>
      <c r="H512" s="69" t="str">
        <f>VLOOKUP(D512,Master!C:G,5,)</f>
        <v>PF MFG</v>
      </c>
      <c r="I512" s="549">
        <v>0</v>
      </c>
      <c r="J512" s="549">
        <v>0</v>
      </c>
      <c r="K512" s="71">
        <f t="shared" si="40"/>
        <v>0</v>
      </c>
      <c r="L512" s="549">
        <v>0</v>
      </c>
      <c r="M512" s="511"/>
      <c r="N512" s="549">
        <v>96</v>
      </c>
      <c r="O512" s="549">
        <v>96</v>
      </c>
      <c r="P512" s="72">
        <f t="shared" si="41"/>
        <v>-96</v>
      </c>
      <c r="Q512" s="72">
        <f>IFERROR(IF(D512=20250,O512/(#REF!/30),O512/(I512/30)),0)</f>
        <v>0</v>
      </c>
      <c r="R512" s="72">
        <f t="shared" si="42"/>
        <v>0</v>
      </c>
      <c r="AC512"/>
      <c r="AD512"/>
      <c r="AE512"/>
      <c r="AF512"/>
      <c r="AG512"/>
      <c r="AH512"/>
      <c r="AI512"/>
      <c r="AJ512"/>
    </row>
    <row r="513" spans="1:36" ht="15">
      <c r="A513" s="352" t="str">
        <f t="shared" si="38"/>
        <v>440126745</v>
      </c>
      <c r="B513" s="509" t="s">
        <v>108</v>
      </c>
      <c r="C513" s="69" t="str">
        <f>_xlfn.XLOOKUP(B:B,Master!A:A,Master!B:B)</f>
        <v>RPSPL-BNG</v>
      </c>
      <c r="D513" s="509" t="s">
        <v>1232</v>
      </c>
      <c r="E513" s="69" t="str">
        <f t="shared" si="39"/>
        <v>440126745</v>
      </c>
      <c r="F513" s="509" t="s">
        <v>1237</v>
      </c>
      <c r="G513" s="70" t="str">
        <f>VLOOKUP(D513,Master!C:G,4,)</f>
        <v>NFL</v>
      </c>
      <c r="H513" s="69" t="str">
        <f>VLOOKUP(D513,Master!C:G,5,)</f>
        <v>PF MFG</v>
      </c>
      <c r="I513" s="549">
        <v>0</v>
      </c>
      <c r="J513" s="549">
        <v>0</v>
      </c>
      <c r="K513" s="71">
        <f t="shared" si="40"/>
        <v>0</v>
      </c>
      <c r="L513" s="549">
        <v>0</v>
      </c>
      <c r="M513" s="511"/>
      <c r="N513" s="549">
        <v>492</v>
      </c>
      <c r="O513" s="549">
        <v>492</v>
      </c>
      <c r="P513" s="72">
        <f t="shared" si="41"/>
        <v>-492</v>
      </c>
      <c r="Q513" s="72">
        <f>IFERROR(IF(D513=20250,O513/(#REF!/30),O513/(I513/30)),0)</f>
        <v>0</v>
      </c>
      <c r="R513" s="72">
        <f t="shared" si="42"/>
        <v>0</v>
      </c>
      <c r="AC513"/>
      <c r="AD513"/>
      <c r="AE513"/>
      <c r="AF513"/>
      <c r="AG513"/>
      <c r="AH513"/>
      <c r="AI513"/>
      <c r="AJ513"/>
    </row>
    <row r="514" spans="1:36" ht="15">
      <c r="A514" s="352" t="str">
        <f t="shared" si="38"/>
        <v>440127021</v>
      </c>
      <c r="B514" s="509" t="s">
        <v>108</v>
      </c>
      <c r="C514" s="69" t="str">
        <f>_xlfn.XLOOKUP(B:B,Master!A:A,Master!B:B)</f>
        <v>RPSPL-BNG</v>
      </c>
      <c r="D514" s="509" t="s">
        <v>1243</v>
      </c>
      <c r="E514" s="69" t="str">
        <f t="shared" si="39"/>
        <v>440127021</v>
      </c>
      <c r="F514" s="509" t="s">
        <v>1244</v>
      </c>
      <c r="G514" s="70" t="e">
        <f>VLOOKUP(D514,Master!C:G,4,)</f>
        <v>#N/A</v>
      </c>
      <c r="H514" s="69" t="e">
        <f>VLOOKUP(D514,Master!C:G,5,)</f>
        <v>#N/A</v>
      </c>
      <c r="I514" s="549">
        <v>0</v>
      </c>
      <c r="J514" s="549">
        <v>0</v>
      </c>
      <c r="K514" s="71">
        <f t="shared" si="40"/>
        <v>0</v>
      </c>
      <c r="L514" s="549">
        <v>0</v>
      </c>
      <c r="M514" s="511"/>
      <c r="N514" s="549">
        <v>96</v>
      </c>
      <c r="O514" s="549">
        <v>96</v>
      </c>
      <c r="P514" s="72">
        <f t="shared" si="41"/>
        <v>-96</v>
      </c>
      <c r="Q514" s="72">
        <f>IFERROR(IF(D514=20250,O514/(#REF!/30),O514/(I514/30)),0)</f>
        <v>0</v>
      </c>
      <c r="R514" s="72">
        <f t="shared" si="42"/>
        <v>0</v>
      </c>
      <c r="AC514"/>
      <c r="AD514"/>
      <c r="AE514"/>
      <c r="AF514"/>
      <c r="AG514"/>
      <c r="AH514"/>
      <c r="AI514"/>
      <c r="AJ514"/>
    </row>
    <row r="515" spans="1:36" ht="15">
      <c r="A515" s="352" t="str">
        <f t="shared" si="38"/>
        <v>440104145</v>
      </c>
      <c r="B515" s="509" t="s">
        <v>108</v>
      </c>
      <c r="C515" s="69" t="str">
        <f>_xlfn.XLOOKUP(B:B,Master!A:A,Master!B:B)</f>
        <v>RPSPL-BNG</v>
      </c>
      <c r="D515" s="509" t="s">
        <v>34</v>
      </c>
      <c r="E515" s="69" t="str">
        <f t="shared" si="39"/>
        <v>440104145</v>
      </c>
      <c r="F515" s="509" t="s">
        <v>35</v>
      </c>
      <c r="G515" s="70" t="str">
        <f>VLOOKUP(D515,Master!C:G,4,)</f>
        <v>NGL</v>
      </c>
      <c r="H515" s="69" t="str">
        <f>VLOOKUP(D515,Master!C:G,5,)</f>
        <v>UF-Dry</v>
      </c>
      <c r="I515" s="549">
        <v>299.79000000000002</v>
      </c>
      <c r="J515" s="549">
        <v>297</v>
      </c>
      <c r="K515" s="71">
        <f t="shared" si="40"/>
        <v>0.99069348543980784</v>
      </c>
      <c r="L515" s="549">
        <v>0</v>
      </c>
      <c r="M515" s="511"/>
      <c r="N515" s="549">
        <v>297</v>
      </c>
      <c r="O515" s="549">
        <v>297</v>
      </c>
      <c r="P515" s="72">
        <f t="shared" si="41"/>
        <v>-294.20999999999998</v>
      </c>
      <c r="Q515" s="72">
        <f>IFERROR(IF(D515=20250,O515/(#REF!/30),O515/(I515/30)),0)</f>
        <v>29.720804563194235</v>
      </c>
      <c r="R515" s="72">
        <f t="shared" si="42"/>
        <v>29.720804563194235</v>
      </c>
      <c r="AC515"/>
      <c r="AD515"/>
      <c r="AE515"/>
      <c r="AF515"/>
      <c r="AG515"/>
      <c r="AH515"/>
      <c r="AI515"/>
      <c r="AJ515"/>
    </row>
    <row r="516" spans="1:36" ht="15">
      <c r="A516" s="352" t="str">
        <f t="shared" si="38"/>
        <v>440114248</v>
      </c>
      <c r="B516" s="509" t="s">
        <v>108</v>
      </c>
      <c r="C516" s="69" t="str">
        <f>_xlfn.XLOOKUP(B:B,Master!A:A,Master!B:B)</f>
        <v>RPSPL-BNG</v>
      </c>
      <c r="D516" s="509" t="s">
        <v>41</v>
      </c>
      <c r="E516" s="69" t="str">
        <f t="shared" si="39"/>
        <v>440114248</v>
      </c>
      <c r="F516" s="509" t="s">
        <v>42</v>
      </c>
      <c r="G516" s="70" t="str">
        <f>VLOOKUP(D516,Master!C:G,4,)</f>
        <v>NGL</v>
      </c>
      <c r="H516" s="69" t="str">
        <f>VLOOKUP(D516,Master!C:G,5,)</f>
        <v>UF-Dry</v>
      </c>
      <c r="I516" s="549">
        <v>1226.2</v>
      </c>
      <c r="J516" s="549">
        <v>770</v>
      </c>
      <c r="K516" s="71">
        <f t="shared" si="40"/>
        <v>0.62795628771815359</v>
      </c>
      <c r="L516" s="549">
        <v>1200</v>
      </c>
      <c r="M516" s="511">
        <v>46165</v>
      </c>
      <c r="N516" s="549">
        <v>510</v>
      </c>
      <c r="O516" s="549">
        <v>1710</v>
      </c>
      <c r="P516" s="72">
        <f t="shared" si="41"/>
        <v>-1253.8</v>
      </c>
      <c r="Q516" s="72">
        <f>IFERROR(IF(D516=20250,O516/(#REF!/30),O516/(I516/30)),0)</f>
        <v>41.836568259663999</v>
      </c>
      <c r="R516" s="72">
        <f t="shared" si="42"/>
        <v>12.477572989724351</v>
      </c>
      <c r="AC516"/>
      <c r="AD516"/>
      <c r="AE516"/>
      <c r="AF516"/>
      <c r="AG516"/>
      <c r="AH516"/>
      <c r="AI516"/>
      <c r="AJ516"/>
    </row>
    <row r="517" spans="1:36" ht="15">
      <c r="A517" s="352" t="str">
        <f t="shared" ref="A517:A580" si="43">B517&amp;D517</f>
        <v>440115305</v>
      </c>
      <c r="B517" s="509" t="s">
        <v>108</v>
      </c>
      <c r="C517" s="69" t="str">
        <f>_xlfn.XLOOKUP(B:B,Master!A:A,Master!B:B)</f>
        <v>RPSPL-BNG</v>
      </c>
      <c r="D517" s="509" t="s">
        <v>45</v>
      </c>
      <c r="E517" s="69" t="str">
        <f t="shared" ref="E517:E580" si="44">B517&amp;D517</f>
        <v>440115305</v>
      </c>
      <c r="F517" s="509" t="s">
        <v>46</v>
      </c>
      <c r="G517" s="70" t="str">
        <f>VLOOKUP(D517,Master!C:G,4,)</f>
        <v>NGL</v>
      </c>
      <c r="H517" s="69" t="str">
        <f>VLOOKUP(D517,Master!C:G,5,)</f>
        <v>UF-Dry</v>
      </c>
      <c r="I517" s="549">
        <v>78.03</v>
      </c>
      <c r="J517" s="549">
        <v>72</v>
      </c>
      <c r="K517" s="71">
        <f t="shared" ref="K517:K580" si="45">IFERROR(J517/I517,0)</f>
        <v>0.92272202998846597</v>
      </c>
      <c r="L517" s="549">
        <v>0</v>
      </c>
      <c r="M517" s="511"/>
      <c r="N517" s="549">
        <v>108</v>
      </c>
      <c r="O517" s="549">
        <v>108</v>
      </c>
      <c r="P517" s="72">
        <f t="shared" ref="P517:P580" si="46">I517-J517-O517</f>
        <v>-101.97</v>
      </c>
      <c r="Q517" s="72">
        <f>IFERROR(IF(D517=20250,O517/(#REF!/30),O517/(I517/30)),0)</f>
        <v>41.522491349480973</v>
      </c>
      <c r="R517" s="72">
        <f t="shared" ref="R517:R580" si="47">IFERROR(N517/(I517/30),0)</f>
        <v>41.522491349480973</v>
      </c>
      <c r="AC517"/>
      <c r="AD517"/>
      <c r="AE517"/>
      <c r="AF517"/>
      <c r="AG517"/>
      <c r="AH517"/>
      <c r="AI517"/>
      <c r="AJ517"/>
    </row>
    <row r="518" spans="1:36" ht="15">
      <c r="A518" s="352" t="str">
        <f t="shared" si="43"/>
        <v>440115312</v>
      </c>
      <c r="B518" s="509" t="s">
        <v>108</v>
      </c>
      <c r="C518" s="69" t="str">
        <f>_xlfn.XLOOKUP(B:B,Master!A:A,Master!B:B)</f>
        <v>RPSPL-BNG</v>
      </c>
      <c r="D518" s="509" t="s">
        <v>47</v>
      </c>
      <c r="E518" s="69" t="str">
        <f t="shared" si="44"/>
        <v>440115312</v>
      </c>
      <c r="F518" s="509" t="s">
        <v>48</v>
      </c>
      <c r="G518" s="70" t="str">
        <f>VLOOKUP(D518,Master!C:G,4,)</f>
        <v>NGL</v>
      </c>
      <c r="H518" s="69" t="str">
        <f>VLOOKUP(D518,Master!C:G,5,)</f>
        <v>UF-Dry</v>
      </c>
      <c r="I518" s="549">
        <v>91.89</v>
      </c>
      <c r="J518" s="549">
        <v>99</v>
      </c>
      <c r="K518" s="71">
        <f t="shared" si="45"/>
        <v>1.0773751224289911</v>
      </c>
      <c r="L518" s="549">
        <v>0</v>
      </c>
      <c r="M518" s="511"/>
      <c r="N518" s="549">
        <v>72</v>
      </c>
      <c r="O518" s="549">
        <v>72</v>
      </c>
      <c r="P518" s="72">
        <f t="shared" si="46"/>
        <v>-79.11</v>
      </c>
      <c r="Q518" s="72">
        <f>IFERROR(IF(D518=20250,O518/(#REF!/30),O518/(I518/30)),0)</f>
        <v>23.506366307541626</v>
      </c>
      <c r="R518" s="72">
        <f t="shared" si="47"/>
        <v>23.506366307541626</v>
      </c>
      <c r="AC518"/>
      <c r="AD518"/>
      <c r="AE518"/>
      <c r="AF518"/>
      <c r="AG518"/>
      <c r="AH518"/>
      <c r="AI518"/>
      <c r="AJ518"/>
    </row>
    <row r="519" spans="1:36" ht="15">
      <c r="A519" s="352" t="str">
        <f t="shared" si="43"/>
        <v>440116407</v>
      </c>
      <c r="B519" s="509" t="s">
        <v>108</v>
      </c>
      <c r="C519" s="69" t="str">
        <f>_xlfn.XLOOKUP(B:B,Master!A:A,Master!B:B)</f>
        <v>RPSPL-BNG</v>
      </c>
      <c r="D519" s="509" t="s">
        <v>49</v>
      </c>
      <c r="E519" s="69" t="str">
        <f t="shared" si="44"/>
        <v>440116407</v>
      </c>
      <c r="F519" s="509" t="s">
        <v>50</v>
      </c>
      <c r="G519" s="70" t="str">
        <f>VLOOKUP(D519,Master!C:G,4,)</f>
        <v>NGL</v>
      </c>
      <c r="H519" s="69" t="str">
        <f>VLOOKUP(D519,Master!C:G,5,)</f>
        <v>UF-Dry</v>
      </c>
      <c r="I519" s="549">
        <v>415.62</v>
      </c>
      <c r="J519" s="549">
        <v>324</v>
      </c>
      <c r="K519" s="71">
        <f t="shared" si="45"/>
        <v>0.77955825032481596</v>
      </c>
      <c r="L519" s="549">
        <v>405</v>
      </c>
      <c r="M519" s="511">
        <v>46165</v>
      </c>
      <c r="N519" s="549">
        <v>207</v>
      </c>
      <c r="O519" s="549">
        <v>612</v>
      </c>
      <c r="P519" s="72">
        <f t="shared" si="46"/>
        <v>-520.38</v>
      </c>
      <c r="Q519" s="72">
        <f>IFERROR(IF(D519=20250,O519/(#REF!/30),O519/(I519/30)),0)</f>
        <v>44.174967518406234</v>
      </c>
      <c r="R519" s="72">
        <f t="shared" si="47"/>
        <v>14.941533131225638</v>
      </c>
      <c r="AC519"/>
      <c r="AD519"/>
      <c r="AE519"/>
      <c r="AF519"/>
      <c r="AG519"/>
      <c r="AH519"/>
      <c r="AI519"/>
      <c r="AJ519"/>
    </row>
    <row r="520" spans="1:36" ht="15">
      <c r="A520" s="352" t="str">
        <f t="shared" si="43"/>
        <v>440100189</v>
      </c>
      <c r="B520" s="509" t="s">
        <v>108</v>
      </c>
      <c r="C520" s="69" t="str">
        <f>_xlfn.XLOOKUP(B:B,Master!A:A,Master!B:B)</f>
        <v>RPSPL-BNG</v>
      </c>
      <c r="D520" s="509" t="s">
        <v>51</v>
      </c>
      <c r="E520" s="69" t="str">
        <f t="shared" si="44"/>
        <v>440100189</v>
      </c>
      <c r="F520" s="509" t="s">
        <v>903</v>
      </c>
      <c r="G520" s="70" t="str">
        <f>VLOOKUP(D520,Master!C:G,4,)</f>
        <v>T&amp;I</v>
      </c>
      <c r="H520" s="69" t="str">
        <f>VLOOKUP(D520,Master!C:G,5,)</f>
        <v>T&amp;I Comm-UF</v>
      </c>
      <c r="I520" s="549">
        <v>146227.20000000001</v>
      </c>
      <c r="J520" s="549">
        <v>82404</v>
      </c>
      <c r="K520" s="71">
        <f t="shared" si="45"/>
        <v>0.56353400735294112</v>
      </c>
      <c r="L520" s="549">
        <v>34752</v>
      </c>
      <c r="M520" s="511">
        <v>46165</v>
      </c>
      <c r="N520" s="549">
        <v>15408</v>
      </c>
      <c r="O520" s="549">
        <v>50160</v>
      </c>
      <c r="P520" s="72">
        <f t="shared" si="46"/>
        <v>13663.200000000012</v>
      </c>
      <c r="Q520" s="72">
        <f>IFERROR(IF(D520=20250,O520/(#REF!/30),O520/(I520/30)),0)</f>
        <v>10.290835084033612</v>
      </c>
      <c r="R520" s="72">
        <f t="shared" si="47"/>
        <v>3.1611081932773106</v>
      </c>
      <c r="AC520"/>
      <c r="AD520"/>
      <c r="AE520"/>
      <c r="AF520"/>
      <c r="AG520"/>
      <c r="AH520"/>
      <c r="AI520"/>
      <c r="AJ520"/>
    </row>
    <row r="521" spans="1:36" ht="15">
      <c r="A521" s="352" t="str">
        <f t="shared" si="43"/>
        <v>440101167</v>
      </c>
      <c r="B521" s="509" t="s">
        <v>108</v>
      </c>
      <c r="C521" s="69" t="str">
        <f>_xlfn.XLOOKUP(B:B,Master!A:A,Master!B:B)</f>
        <v>RPSPL-BNG</v>
      </c>
      <c r="D521" s="509" t="s">
        <v>53</v>
      </c>
      <c r="E521" s="69" t="str">
        <f t="shared" si="44"/>
        <v>440101167</v>
      </c>
      <c r="F521" s="509" t="s">
        <v>54</v>
      </c>
      <c r="G521" s="70" t="str">
        <f>VLOOKUP(D521,Master!C:G,4,)</f>
        <v>T&amp;I</v>
      </c>
      <c r="H521" s="69" t="str">
        <f>VLOOKUP(D521,Master!C:G,5,)</f>
        <v>T&amp;I EX UF</v>
      </c>
      <c r="I521" s="549">
        <v>20976.84</v>
      </c>
      <c r="J521" s="549">
        <v>11880</v>
      </c>
      <c r="K521" s="71">
        <f t="shared" si="45"/>
        <v>0.56633887658961024</v>
      </c>
      <c r="L521" s="549">
        <v>0</v>
      </c>
      <c r="M521" s="511"/>
      <c r="N521" s="549">
        <v>12624</v>
      </c>
      <c r="O521" s="549">
        <v>12624</v>
      </c>
      <c r="P521" s="72">
        <f t="shared" si="46"/>
        <v>-3527.16</v>
      </c>
      <c r="Q521" s="72">
        <f>IFERROR(IF(D521=20250,O521/(#REF!/30),O521/(I521/30)),0)</f>
        <v>18.054196914311213</v>
      </c>
      <c r="R521" s="72">
        <f t="shared" si="47"/>
        <v>18.054196914311213</v>
      </c>
      <c r="AC521"/>
      <c r="AD521"/>
      <c r="AE521"/>
      <c r="AF521"/>
      <c r="AG521"/>
      <c r="AH521"/>
      <c r="AI521"/>
      <c r="AJ521"/>
    </row>
    <row r="522" spans="1:36" ht="15">
      <c r="A522" s="352" t="str">
        <f t="shared" si="43"/>
        <v>440101296</v>
      </c>
      <c r="B522" s="509" t="s">
        <v>108</v>
      </c>
      <c r="C522" s="69" t="str">
        <f>_xlfn.XLOOKUP(B:B,Master!A:A,Master!B:B)</f>
        <v>RPSPL-BNG</v>
      </c>
      <c r="D522" s="509" t="s">
        <v>15</v>
      </c>
      <c r="E522" s="69" t="str">
        <f t="shared" si="44"/>
        <v>440101296</v>
      </c>
      <c r="F522" s="509" t="s">
        <v>16</v>
      </c>
      <c r="G522" s="70" t="str">
        <f>VLOOKUP(D522,Master!C:G,4,)</f>
        <v>T&amp;I</v>
      </c>
      <c r="H522" s="69" t="str">
        <f>VLOOKUP(D522,Master!C:G,5,)</f>
        <v>T&amp;I EX HP 2 KG</v>
      </c>
      <c r="I522" s="549">
        <v>7576.68</v>
      </c>
      <c r="J522" s="549">
        <v>2544</v>
      </c>
      <c r="K522" s="71">
        <f t="shared" si="45"/>
        <v>0.33576711699583456</v>
      </c>
      <c r="L522" s="549">
        <v>1008</v>
      </c>
      <c r="M522" s="511">
        <v>46161</v>
      </c>
      <c r="N522" s="549">
        <v>5076</v>
      </c>
      <c r="O522" s="549">
        <v>6084</v>
      </c>
      <c r="P522" s="72">
        <f t="shared" si="46"/>
        <v>-1051.3199999999997</v>
      </c>
      <c r="Q522" s="72">
        <f>IFERROR(IF(D522=20250,O522/(#REF!/30),O522/(I522/30)),0)</f>
        <v>24.089706837295491</v>
      </c>
      <c r="R522" s="72">
        <f t="shared" si="47"/>
        <v>20.098512805080851</v>
      </c>
      <c r="AC522"/>
      <c r="AD522"/>
      <c r="AE522"/>
      <c r="AF522"/>
      <c r="AG522"/>
      <c r="AH522"/>
      <c r="AI522"/>
      <c r="AJ522"/>
    </row>
    <row r="523" spans="1:36" ht="15">
      <c r="A523" s="352" t="str">
        <f t="shared" si="43"/>
        <v>440102122</v>
      </c>
      <c r="B523" s="509" t="s">
        <v>108</v>
      </c>
      <c r="C523" s="69" t="str">
        <f>_xlfn.XLOOKUP(B:B,Master!A:A,Master!B:B)</f>
        <v>RPSPL-BNG</v>
      </c>
      <c r="D523" s="509" t="s">
        <v>55</v>
      </c>
      <c r="E523" s="69" t="str">
        <f t="shared" si="44"/>
        <v>440102122</v>
      </c>
      <c r="F523" s="509" t="s">
        <v>56</v>
      </c>
      <c r="G523" s="70" t="str">
        <f>VLOOKUP(D523,Master!C:G,4,)</f>
        <v>T&amp;I</v>
      </c>
      <c r="H523" s="69" t="str">
        <f>VLOOKUP(D523,Master!C:G,5,)</f>
        <v>T&amp;I EX HP 2 KG</v>
      </c>
      <c r="I523" s="549">
        <v>64853.04</v>
      </c>
      <c r="J523" s="549">
        <v>40656</v>
      </c>
      <c r="K523" s="71">
        <f t="shared" si="45"/>
        <v>0.6268942828277595</v>
      </c>
      <c r="L523" s="549">
        <v>32028</v>
      </c>
      <c r="M523" s="511">
        <v>46165</v>
      </c>
      <c r="N523" s="549">
        <v>24348</v>
      </c>
      <c r="O523" s="549">
        <v>56376</v>
      </c>
      <c r="P523" s="72">
        <f t="shared" si="46"/>
        <v>-32178.959999999999</v>
      </c>
      <c r="Q523" s="72">
        <f>IFERROR(IF(D523=20250,O523/(#REF!/30),O523/(I523/30)),0)</f>
        <v>26.078654138649476</v>
      </c>
      <c r="R523" s="72">
        <f t="shared" si="47"/>
        <v>11.263003245491653</v>
      </c>
      <c r="AC523"/>
      <c r="AD523"/>
      <c r="AE523"/>
      <c r="AF523"/>
      <c r="AG523"/>
      <c r="AH523"/>
      <c r="AI523"/>
      <c r="AJ523"/>
    </row>
    <row r="524" spans="1:36" ht="15">
      <c r="A524" s="352" t="str">
        <f t="shared" si="43"/>
        <v>440105159</v>
      </c>
      <c r="B524" s="509" t="s">
        <v>108</v>
      </c>
      <c r="C524" s="69" t="str">
        <f>_xlfn.XLOOKUP(B:B,Master!A:A,Master!B:B)</f>
        <v>RPSPL-BNG</v>
      </c>
      <c r="D524" s="509" t="s">
        <v>57</v>
      </c>
      <c r="E524" s="69" t="str">
        <f t="shared" si="44"/>
        <v>440105159</v>
      </c>
      <c r="F524" s="509" t="s">
        <v>58</v>
      </c>
      <c r="G524" s="70" t="str">
        <f>VLOOKUP(D524,Master!C:G,4,)</f>
        <v>T&amp;I</v>
      </c>
      <c r="H524" s="69" t="str">
        <f>VLOOKUP(D524,Master!C:G,5,)</f>
        <v>T&amp;I EX HP</v>
      </c>
      <c r="I524" s="549">
        <v>898.56</v>
      </c>
      <c r="J524" s="549">
        <v>348</v>
      </c>
      <c r="K524" s="71">
        <f t="shared" si="45"/>
        <v>0.3872863247863248</v>
      </c>
      <c r="L524" s="549">
        <v>72</v>
      </c>
      <c r="M524" s="511">
        <v>46165</v>
      </c>
      <c r="N524" s="549">
        <v>396</v>
      </c>
      <c r="O524" s="549">
        <v>468</v>
      </c>
      <c r="P524" s="72">
        <f t="shared" si="46"/>
        <v>82.559999999999945</v>
      </c>
      <c r="Q524" s="72">
        <f>IFERROR(IF(D524=20250,O524/(#REF!/30),O524/(I524/30)),0)</f>
        <v>15.625000000000002</v>
      </c>
      <c r="R524" s="72">
        <f t="shared" si="47"/>
        <v>13.221153846153847</v>
      </c>
      <c r="AC524"/>
      <c r="AD524"/>
      <c r="AE524"/>
      <c r="AF524"/>
      <c r="AG524"/>
      <c r="AH524"/>
      <c r="AI524"/>
      <c r="AJ524"/>
    </row>
    <row r="525" spans="1:36" ht="15">
      <c r="A525" s="352" t="str">
        <f t="shared" si="43"/>
        <v>440106982</v>
      </c>
      <c r="B525" s="509" t="s">
        <v>108</v>
      </c>
      <c r="C525" s="69" t="str">
        <f>_xlfn.XLOOKUP(B:B,Master!A:A,Master!B:B)</f>
        <v>RPSPL-BNG</v>
      </c>
      <c r="D525" s="509" t="s">
        <v>59</v>
      </c>
      <c r="E525" s="69" t="str">
        <f t="shared" si="44"/>
        <v>440106982</v>
      </c>
      <c r="F525" s="509" t="s">
        <v>60</v>
      </c>
      <c r="G525" s="70" t="str">
        <f>VLOOKUP(D525,Master!C:G,4,)</f>
        <v>T&amp;I</v>
      </c>
      <c r="H525" s="69" t="str">
        <f>VLOOKUP(D525,Master!C:G,5,)</f>
        <v>T&amp;I Comm-UF</v>
      </c>
      <c r="I525" s="549">
        <v>12305.4</v>
      </c>
      <c r="J525" s="549">
        <v>7152</v>
      </c>
      <c r="K525" s="71">
        <f t="shared" si="45"/>
        <v>0.58120825003656928</v>
      </c>
      <c r="L525" s="549">
        <v>0</v>
      </c>
      <c r="M525" s="511"/>
      <c r="N525" s="549">
        <v>6948</v>
      </c>
      <c r="O525" s="549">
        <v>6948</v>
      </c>
      <c r="P525" s="72">
        <f t="shared" si="46"/>
        <v>-1794.6000000000004</v>
      </c>
      <c r="Q525" s="72">
        <f>IFERROR(IF(D525=20250,O525/(#REF!/30),O525/(I525/30)),0)</f>
        <v>16.938904871032229</v>
      </c>
      <c r="R525" s="72">
        <f t="shared" si="47"/>
        <v>16.938904871032229</v>
      </c>
      <c r="AC525"/>
      <c r="AD525"/>
      <c r="AE525"/>
      <c r="AF525"/>
      <c r="AG525"/>
      <c r="AH525"/>
      <c r="AI525"/>
      <c r="AJ525"/>
    </row>
    <row r="526" spans="1:36" ht="15">
      <c r="A526" s="352" t="str">
        <f t="shared" si="43"/>
        <v>440107310</v>
      </c>
      <c r="B526" s="509" t="s">
        <v>108</v>
      </c>
      <c r="C526" s="69" t="str">
        <f>_xlfn.XLOOKUP(B:B,Master!A:A,Master!B:B)</f>
        <v>RPSPL-BNG</v>
      </c>
      <c r="D526" s="509" t="s">
        <v>19</v>
      </c>
      <c r="E526" s="69" t="str">
        <f t="shared" si="44"/>
        <v>440107310</v>
      </c>
      <c r="F526" s="509" t="s">
        <v>20</v>
      </c>
      <c r="G526" s="70" t="str">
        <f>VLOOKUP(D526,Master!C:G,4,)</f>
        <v>T&amp;I</v>
      </c>
      <c r="H526" s="69" t="str">
        <f>VLOOKUP(D526,Master!C:G,5,)</f>
        <v>T&amp;I Comm -HP</v>
      </c>
      <c r="I526" s="549">
        <v>85860</v>
      </c>
      <c r="J526" s="549">
        <v>44916</v>
      </c>
      <c r="K526" s="71">
        <f t="shared" si="45"/>
        <v>0.52313067784765899</v>
      </c>
      <c r="L526" s="549">
        <v>16668</v>
      </c>
      <c r="M526" s="511">
        <v>46165</v>
      </c>
      <c r="N526" s="549">
        <v>57228</v>
      </c>
      <c r="O526" s="549">
        <v>73896</v>
      </c>
      <c r="P526" s="72">
        <f t="shared" si="46"/>
        <v>-32952</v>
      </c>
      <c r="Q526" s="72">
        <f>IFERROR(IF(D526=20250,O526/(#REF!/30),O526/(I526/30)),0)</f>
        <v>25.819706498951781</v>
      </c>
      <c r="R526" s="72">
        <f t="shared" si="47"/>
        <v>19.9958071278826</v>
      </c>
      <c r="AC526"/>
      <c r="AD526"/>
      <c r="AE526"/>
      <c r="AF526"/>
      <c r="AG526"/>
      <c r="AH526"/>
      <c r="AI526"/>
      <c r="AJ526"/>
    </row>
    <row r="527" spans="1:36" ht="15">
      <c r="A527" s="352" t="str">
        <f t="shared" si="43"/>
        <v>440108529</v>
      </c>
      <c r="B527" s="509" t="s">
        <v>108</v>
      </c>
      <c r="C527" s="69" t="str">
        <f>_xlfn.XLOOKUP(B:B,Master!A:A,Master!B:B)</f>
        <v>RPSPL-BNG</v>
      </c>
      <c r="D527" s="509" t="s">
        <v>61</v>
      </c>
      <c r="E527" s="69" t="str">
        <f t="shared" si="44"/>
        <v>440108529</v>
      </c>
      <c r="F527" s="509" t="s">
        <v>62</v>
      </c>
      <c r="G527" s="70" t="str">
        <f>VLOOKUP(D527,Master!C:G,4,)</f>
        <v>T&amp;I</v>
      </c>
      <c r="H527" s="69" t="str">
        <f>VLOOKUP(D527,Master!C:G,5,)</f>
        <v>T&amp;I EX HP 2 KG</v>
      </c>
      <c r="I527" s="549">
        <v>20045.88</v>
      </c>
      <c r="J527" s="549">
        <v>12768</v>
      </c>
      <c r="K527" s="71">
        <f t="shared" si="45"/>
        <v>0.63693886224999852</v>
      </c>
      <c r="L527" s="549">
        <v>11004</v>
      </c>
      <c r="M527" s="511">
        <v>46165</v>
      </c>
      <c r="N527" s="549">
        <v>11616</v>
      </c>
      <c r="O527" s="549">
        <v>22620</v>
      </c>
      <c r="P527" s="72">
        <f t="shared" si="46"/>
        <v>-15342.119999999999</v>
      </c>
      <c r="Q527" s="72">
        <f>IFERROR(IF(D527=20250,O527/(#REF!/30),O527/(I527/30)),0)</f>
        <v>33.852342725787047</v>
      </c>
      <c r="R527" s="72">
        <f t="shared" si="47"/>
        <v>17.384120826823267</v>
      </c>
      <c r="AC527"/>
      <c r="AD527"/>
      <c r="AE527"/>
      <c r="AF527"/>
      <c r="AG527"/>
      <c r="AH527"/>
      <c r="AI527"/>
      <c r="AJ527"/>
    </row>
    <row r="528" spans="1:36" ht="15">
      <c r="A528" s="352" t="str">
        <f t="shared" si="43"/>
        <v>440113179</v>
      </c>
      <c r="B528" s="509" t="s">
        <v>108</v>
      </c>
      <c r="C528" s="69" t="str">
        <f>_xlfn.XLOOKUP(B:B,Master!A:A,Master!B:B)</f>
        <v>RPSPL-BNG</v>
      </c>
      <c r="D528" s="509" t="s">
        <v>22</v>
      </c>
      <c r="E528" s="69" t="str">
        <f t="shared" si="44"/>
        <v>440113179</v>
      </c>
      <c r="F528" s="509" t="s">
        <v>23</v>
      </c>
      <c r="G528" s="70" t="str">
        <f>VLOOKUP(D528,Master!C:G,4,)</f>
        <v>T&amp;I</v>
      </c>
      <c r="H528" s="69" t="str">
        <f>VLOOKUP(D528,Master!C:G,5,)</f>
        <v>T&amp;I EX HP 2 KG</v>
      </c>
      <c r="I528" s="549">
        <v>94490.64</v>
      </c>
      <c r="J528" s="549">
        <v>59580</v>
      </c>
      <c r="K528" s="71">
        <f t="shared" si="45"/>
        <v>0.63053864382757907</v>
      </c>
      <c r="L528" s="549">
        <v>31092</v>
      </c>
      <c r="M528" s="511">
        <v>46165</v>
      </c>
      <c r="N528" s="549">
        <v>43188</v>
      </c>
      <c r="O528" s="549">
        <v>74280</v>
      </c>
      <c r="P528" s="72">
        <f t="shared" si="46"/>
        <v>-39369.360000000001</v>
      </c>
      <c r="Q528" s="72">
        <f>IFERROR(IF(D528=20250,O528/(#REF!/30),O528/(I528/30)),0)</f>
        <v>23.583288249502807</v>
      </c>
      <c r="R528" s="72">
        <f t="shared" si="47"/>
        <v>13.711834315017867</v>
      </c>
      <c r="AC528"/>
      <c r="AD528"/>
      <c r="AE528"/>
      <c r="AF528"/>
      <c r="AG528"/>
      <c r="AH528"/>
      <c r="AI528"/>
      <c r="AJ528"/>
    </row>
    <row r="529" spans="1:36" ht="15">
      <c r="A529" s="352" t="str">
        <f t="shared" si="43"/>
        <v>440113678</v>
      </c>
      <c r="B529" s="509" t="s">
        <v>108</v>
      </c>
      <c r="C529" s="69" t="str">
        <f>_xlfn.XLOOKUP(B:B,Master!A:A,Master!B:B)</f>
        <v>RPSPL-BNG</v>
      </c>
      <c r="D529" s="509" t="s">
        <v>65</v>
      </c>
      <c r="E529" s="69" t="str">
        <f t="shared" si="44"/>
        <v>440113678</v>
      </c>
      <c r="F529" s="509" t="s">
        <v>66</v>
      </c>
      <c r="G529" s="70" t="str">
        <f>VLOOKUP(D529,Master!C:G,4,)</f>
        <v>T&amp;I</v>
      </c>
      <c r="H529" s="69" t="str">
        <f>VLOOKUP(D529,Master!C:G,5,)</f>
        <v>T&amp;I EX HP</v>
      </c>
      <c r="I529" s="549">
        <v>3686.76</v>
      </c>
      <c r="J529" s="549">
        <v>1380</v>
      </c>
      <c r="K529" s="71">
        <f t="shared" si="45"/>
        <v>0.37431240438759233</v>
      </c>
      <c r="L529" s="549">
        <v>1104</v>
      </c>
      <c r="M529" s="511">
        <v>46165</v>
      </c>
      <c r="N529" s="549">
        <v>2772</v>
      </c>
      <c r="O529" s="549">
        <v>3876</v>
      </c>
      <c r="P529" s="72">
        <f t="shared" si="46"/>
        <v>-1569.2399999999998</v>
      </c>
      <c r="Q529" s="72">
        <f>IFERROR(IF(D529=20250,O529/(#REF!/30),O529/(I529/30)),0)</f>
        <v>31.539888682745822</v>
      </c>
      <c r="R529" s="72">
        <f t="shared" si="47"/>
        <v>22.556390977443606</v>
      </c>
      <c r="AC529"/>
      <c r="AD529"/>
      <c r="AE529"/>
      <c r="AF529"/>
      <c r="AG529"/>
      <c r="AH529"/>
      <c r="AI529"/>
      <c r="AJ529"/>
    </row>
    <row r="530" spans="1:36" ht="15">
      <c r="A530" s="352" t="str">
        <f t="shared" si="43"/>
        <v>440114654</v>
      </c>
      <c r="B530" s="509" t="s">
        <v>108</v>
      </c>
      <c r="C530" s="69" t="str">
        <f>_xlfn.XLOOKUP(B:B,Master!A:A,Master!B:B)</f>
        <v>RPSPL-BNG</v>
      </c>
      <c r="D530" s="509" t="s">
        <v>67</v>
      </c>
      <c r="E530" s="69" t="str">
        <f t="shared" si="44"/>
        <v>440114654</v>
      </c>
      <c r="F530" s="509" t="s">
        <v>68</v>
      </c>
      <c r="G530" s="70" t="str">
        <f>VLOOKUP(D530,Master!C:G,4,)</f>
        <v>T&amp;I</v>
      </c>
      <c r="H530" s="69" t="str">
        <f>VLOOKUP(D530,Master!C:G,5,)</f>
        <v>T&amp;I Comm-UF</v>
      </c>
      <c r="I530" s="549">
        <v>7152.12</v>
      </c>
      <c r="J530" s="549">
        <v>5112</v>
      </c>
      <c r="K530" s="71">
        <f t="shared" si="45"/>
        <v>0.71475310816932602</v>
      </c>
      <c r="L530" s="549">
        <v>600</v>
      </c>
      <c r="M530" s="511">
        <v>46165</v>
      </c>
      <c r="N530" s="549">
        <v>2076</v>
      </c>
      <c r="O530" s="549">
        <v>2676</v>
      </c>
      <c r="P530" s="72">
        <f t="shared" si="46"/>
        <v>-635.88000000000011</v>
      </c>
      <c r="Q530" s="72">
        <f>IFERROR(IF(D530=20250,O530/(#REF!/30),O530/(I530/30)),0)</f>
        <v>11.224643881814064</v>
      </c>
      <c r="R530" s="72">
        <f t="shared" si="47"/>
        <v>8.7079075854431967</v>
      </c>
      <c r="AC530"/>
      <c r="AD530"/>
      <c r="AE530"/>
      <c r="AF530"/>
      <c r="AG530"/>
      <c r="AH530"/>
      <c r="AI530"/>
      <c r="AJ530"/>
    </row>
    <row r="531" spans="1:36" ht="15">
      <c r="A531" s="352" t="str">
        <f t="shared" si="43"/>
        <v>440114788</v>
      </c>
      <c r="B531" s="509" t="s">
        <v>108</v>
      </c>
      <c r="C531" s="69" t="str">
        <f>_xlfn.XLOOKUP(B:B,Master!A:A,Master!B:B)</f>
        <v>RPSPL-BNG</v>
      </c>
      <c r="D531" s="509" t="s">
        <v>69</v>
      </c>
      <c r="E531" s="69" t="str">
        <f t="shared" si="44"/>
        <v>440114788</v>
      </c>
      <c r="F531" s="509" t="s">
        <v>70</v>
      </c>
      <c r="G531" s="70" t="str">
        <f>VLOOKUP(D531,Master!C:G,4,)</f>
        <v>T&amp;I</v>
      </c>
      <c r="H531" s="69" t="str">
        <f>VLOOKUP(D531,Master!C:G,5,)</f>
        <v>T&amp;I EX HP</v>
      </c>
      <c r="I531" s="549">
        <v>14711.52</v>
      </c>
      <c r="J531" s="549">
        <v>8436</v>
      </c>
      <c r="K531" s="71">
        <f t="shared" si="45"/>
        <v>0.57342817057652773</v>
      </c>
      <c r="L531" s="549">
        <v>1200</v>
      </c>
      <c r="M531" s="511">
        <v>46165</v>
      </c>
      <c r="N531" s="549">
        <v>9228</v>
      </c>
      <c r="O531" s="549">
        <v>10428</v>
      </c>
      <c r="P531" s="72">
        <f t="shared" si="46"/>
        <v>-4152.4799999999996</v>
      </c>
      <c r="Q531" s="72">
        <f>IFERROR(IF(D531=20250,O531/(#REF!/30),O531/(I531/30)),0)</f>
        <v>21.264967861920454</v>
      </c>
      <c r="R531" s="72">
        <f t="shared" si="47"/>
        <v>18.817905967568272</v>
      </c>
      <c r="AC531"/>
      <c r="AD531"/>
      <c r="AE531"/>
      <c r="AF531"/>
      <c r="AG531"/>
      <c r="AH531"/>
      <c r="AI531"/>
      <c r="AJ531"/>
    </row>
    <row r="532" spans="1:36" ht="15">
      <c r="A532" s="352" t="str">
        <f t="shared" si="43"/>
        <v>440115536</v>
      </c>
      <c r="B532" s="509" t="s">
        <v>108</v>
      </c>
      <c r="C532" s="69" t="str">
        <f>_xlfn.XLOOKUP(B:B,Master!A:A,Master!B:B)</f>
        <v>RPSPL-BNG</v>
      </c>
      <c r="D532" s="509" t="s">
        <v>71</v>
      </c>
      <c r="E532" s="69" t="str">
        <f t="shared" si="44"/>
        <v>440115536</v>
      </c>
      <c r="F532" s="509" t="s">
        <v>72</v>
      </c>
      <c r="G532" s="70" t="str">
        <f>VLOOKUP(D532,Master!C:G,4,)</f>
        <v>Ganache</v>
      </c>
      <c r="H532" s="69" t="str">
        <f>VLOOKUP(D532,Master!C:G,5,)</f>
        <v>Ganache- UF</v>
      </c>
      <c r="I532" s="549">
        <v>31130.400000000001</v>
      </c>
      <c r="J532" s="549">
        <v>18084</v>
      </c>
      <c r="K532" s="71">
        <f t="shared" si="45"/>
        <v>0.58091126358800393</v>
      </c>
      <c r="L532" s="549">
        <v>0</v>
      </c>
      <c r="M532" s="511"/>
      <c r="N532" s="549">
        <v>24432</v>
      </c>
      <c r="O532" s="549">
        <v>24432</v>
      </c>
      <c r="P532" s="72">
        <f t="shared" si="46"/>
        <v>-11385.599999999999</v>
      </c>
      <c r="Q532" s="72">
        <f>IFERROR(IF(D532=20250,O532/(#REF!/30),O532/(I532/30)),0)</f>
        <v>23.544830776347236</v>
      </c>
      <c r="R532" s="72">
        <f t="shared" si="47"/>
        <v>23.544830776347236</v>
      </c>
      <c r="AC532"/>
      <c r="AD532"/>
      <c r="AE532"/>
      <c r="AF532"/>
      <c r="AG532"/>
      <c r="AH532"/>
      <c r="AI532"/>
      <c r="AJ532"/>
    </row>
    <row r="533" spans="1:36" ht="15">
      <c r="A533" s="352" t="str">
        <f t="shared" si="43"/>
        <v>440115906</v>
      </c>
      <c r="B533" s="509" t="s">
        <v>108</v>
      </c>
      <c r="C533" s="69" t="str">
        <f>_xlfn.XLOOKUP(B:B,Master!A:A,Master!B:B)</f>
        <v>RPSPL-BNG</v>
      </c>
      <c r="D533" s="509" t="s">
        <v>74</v>
      </c>
      <c r="E533" s="69" t="str">
        <f t="shared" si="44"/>
        <v>440115906</v>
      </c>
      <c r="F533" s="509" t="s">
        <v>75</v>
      </c>
      <c r="G533" s="70" t="str">
        <f>VLOOKUP(D533,Master!C:G,4,)</f>
        <v>T&amp;I</v>
      </c>
      <c r="H533" s="69" t="str">
        <f>VLOOKUP(D533,Master!C:G,5,)</f>
        <v>T&amp;I EX HP</v>
      </c>
      <c r="I533" s="549">
        <v>4264.8</v>
      </c>
      <c r="J533" s="549">
        <v>6840</v>
      </c>
      <c r="K533" s="71">
        <f t="shared" si="45"/>
        <v>1.6038266741699492</v>
      </c>
      <c r="L533" s="549">
        <v>0</v>
      </c>
      <c r="M533" s="511"/>
      <c r="N533" s="549">
        <v>12972</v>
      </c>
      <c r="O533" s="549">
        <v>12972</v>
      </c>
      <c r="P533" s="72">
        <f t="shared" si="46"/>
        <v>-15547.2</v>
      </c>
      <c r="Q533" s="72">
        <f>IFERROR(IF(D533=20250,O533/(#REF!/30),O533/(I533/30)),0)</f>
        <v>91.24929656724818</v>
      </c>
      <c r="R533" s="72">
        <f t="shared" si="47"/>
        <v>91.24929656724818</v>
      </c>
      <c r="AC533"/>
      <c r="AD533"/>
      <c r="AE533"/>
      <c r="AF533"/>
      <c r="AG533"/>
      <c r="AH533"/>
      <c r="AI533"/>
      <c r="AJ533"/>
    </row>
    <row r="534" spans="1:36" ht="15">
      <c r="A534" s="352" t="str">
        <f t="shared" si="43"/>
        <v>440116336</v>
      </c>
      <c r="B534" s="509" t="s">
        <v>108</v>
      </c>
      <c r="C534" s="69" t="str">
        <f>_xlfn.XLOOKUP(B:B,Master!A:A,Master!B:B)</f>
        <v>RPSPL-BNG</v>
      </c>
      <c r="D534" s="509" t="s">
        <v>24</v>
      </c>
      <c r="E534" s="69" t="str">
        <f t="shared" si="44"/>
        <v>440116336</v>
      </c>
      <c r="F534" s="509" t="s">
        <v>25</v>
      </c>
      <c r="G534" s="70" t="str">
        <f>VLOOKUP(D534,Master!C:G,4,)</f>
        <v>T&amp;I</v>
      </c>
      <c r="H534" s="69" t="str">
        <f>VLOOKUP(D534,Master!C:G,5,)</f>
        <v>T&amp;I Comm-UF</v>
      </c>
      <c r="I534" s="549">
        <v>80240.28</v>
      </c>
      <c r="J534" s="549">
        <v>50940</v>
      </c>
      <c r="K534" s="71">
        <f t="shared" si="45"/>
        <v>0.63484324830371974</v>
      </c>
      <c r="L534" s="549">
        <v>28800</v>
      </c>
      <c r="M534" s="511">
        <v>46165</v>
      </c>
      <c r="N534" s="549">
        <v>36708</v>
      </c>
      <c r="O534" s="549">
        <v>65508</v>
      </c>
      <c r="P534" s="72">
        <f t="shared" si="46"/>
        <v>-36207.72</v>
      </c>
      <c r="Q534" s="72">
        <f>IFERROR(IF(D534=20250,O534/(#REF!/30),O534/(I534/30)),0)</f>
        <v>24.491938462826901</v>
      </c>
      <c r="R534" s="72">
        <f t="shared" si="47"/>
        <v>13.724279127640132</v>
      </c>
      <c r="AC534"/>
      <c r="AD534"/>
      <c r="AE534"/>
      <c r="AF534"/>
      <c r="AG534"/>
      <c r="AH534"/>
      <c r="AI534"/>
      <c r="AJ534"/>
    </row>
    <row r="535" spans="1:36" ht="15">
      <c r="A535" s="352" t="str">
        <f t="shared" si="43"/>
        <v>440116984</v>
      </c>
      <c r="B535" s="509" t="s">
        <v>108</v>
      </c>
      <c r="C535" s="69" t="str">
        <f>_xlfn.XLOOKUP(B:B,Master!A:A,Master!B:B)</f>
        <v>RPSPL-BNG</v>
      </c>
      <c r="D535" s="509" t="s">
        <v>78</v>
      </c>
      <c r="E535" s="69" t="str">
        <f t="shared" si="44"/>
        <v>440116984</v>
      </c>
      <c r="F535" s="509" t="s">
        <v>79</v>
      </c>
      <c r="G535" s="70" t="str">
        <f>VLOOKUP(D535,Master!C:G,4,)</f>
        <v>T&amp;I</v>
      </c>
      <c r="H535" s="69" t="str">
        <f>VLOOKUP(D535,Master!C:G,5,)</f>
        <v>T&amp;I EX HP</v>
      </c>
      <c r="I535" s="549">
        <v>578.88</v>
      </c>
      <c r="J535" s="549">
        <v>540</v>
      </c>
      <c r="K535" s="71">
        <f t="shared" si="45"/>
        <v>0.93283582089552242</v>
      </c>
      <c r="L535" s="549">
        <v>0</v>
      </c>
      <c r="M535" s="511"/>
      <c r="N535" s="549">
        <v>600</v>
      </c>
      <c r="O535" s="549">
        <v>600</v>
      </c>
      <c r="P535" s="72">
        <f t="shared" si="46"/>
        <v>-561.12</v>
      </c>
      <c r="Q535" s="72">
        <f>IFERROR(IF(D535=20250,O535/(#REF!/30),O535/(I535/30)),0)</f>
        <v>31.094527363184081</v>
      </c>
      <c r="R535" s="72">
        <f t="shared" si="47"/>
        <v>31.094527363184081</v>
      </c>
      <c r="AC535"/>
      <c r="AD535"/>
      <c r="AE535"/>
      <c r="AF535"/>
      <c r="AG535"/>
      <c r="AH535"/>
      <c r="AI535"/>
      <c r="AJ535"/>
    </row>
    <row r="536" spans="1:36" ht="15">
      <c r="A536" s="352" t="str">
        <f t="shared" si="43"/>
        <v>440116998</v>
      </c>
      <c r="B536" s="509" t="s">
        <v>108</v>
      </c>
      <c r="C536" s="69" t="str">
        <f>_xlfn.XLOOKUP(B:B,Master!A:A,Master!B:B)</f>
        <v>RPSPL-BNG</v>
      </c>
      <c r="D536" s="509" t="s">
        <v>80</v>
      </c>
      <c r="E536" s="69" t="str">
        <f t="shared" si="44"/>
        <v>440116998</v>
      </c>
      <c r="F536" s="509" t="s">
        <v>81</v>
      </c>
      <c r="G536" s="70" t="str">
        <f>VLOOKUP(D536,Master!C:G,4,)</f>
        <v>T&amp;I</v>
      </c>
      <c r="H536" s="69" t="str">
        <f>VLOOKUP(D536,Master!C:G,5,)</f>
        <v>T&amp;I EX UF</v>
      </c>
      <c r="I536" s="549">
        <v>1200.48</v>
      </c>
      <c r="J536" s="549">
        <v>744</v>
      </c>
      <c r="K536" s="71">
        <f t="shared" si="45"/>
        <v>0.6197520991603358</v>
      </c>
      <c r="L536" s="549">
        <v>0</v>
      </c>
      <c r="M536" s="511"/>
      <c r="N536" s="549">
        <v>1668</v>
      </c>
      <c r="O536" s="549">
        <v>1668</v>
      </c>
      <c r="P536" s="72">
        <f t="shared" si="46"/>
        <v>-1211.52</v>
      </c>
      <c r="Q536" s="72">
        <f>IFERROR(IF(D536=20250,O536/(#REF!/30),O536/(I536/30)),0)</f>
        <v>41.683326669332267</v>
      </c>
      <c r="R536" s="72">
        <f t="shared" si="47"/>
        <v>41.683326669332267</v>
      </c>
      <c r="AC536"/>
      <c r="AD536"/>
      <c r="AE536"/>
      <c r="AF536"/>
      <c r="AG536"/>
      <c r="AH536"/>
      <c r="AI536"/>
      <c r="AJ536"/>
    </row>
    <row r="537" spans="1:36" ht="15">
      <c r="A537" s="352" t="str">
        <f t="shared" si="43"/>
        <v>440118098</v>
      </c>
      <c r="B537" s="509" t="s">
        <v>108</v>
      </c>
      <c r="C537" s="69" t="str">
        <f>_xlfn.XLOOKUP(B:B,Master!A:A,Master!B:B)</f>
        <v>RPSPL-BNG</v>
      </c>
      <c r="D537" s="509" t="s">
        <v>84</v>
      </c>
      <c r="E537" s="69" t="str">
        <f t="shared" si="44"/>
        <v>440118098</v>
      </c>
      <c r="F537" s="509" t="s">
        <v>1222</v>
      </c>
      <c r="G537" s="70" t="str">
        <f>VLOOKUP(D537,Master!C:G,4,)</f>
        <v>T&amp;I</v>
      </c>
      <c r="H537" s="69" t="str">
        <f>VLOOKUP(D537,Master!C:G,5,)</f>
        <v>T&amp;I EX HP</v>
      </c>
      <c r="I537" s="549">
        <v>2922.6</v>
      </c>
      <c r="J537" s="549">
        <v>2568</v>
      </c>
      <c r="K537" s="71">
        <f t="shared" si="45"/>
        <v>0.87866967768425375</v>
      </c>
      <c r="L537" s="549">
        <v>3600</v>
      </c>
      <c r="M537" s="511">
        <v>46164</v>
      </c>
      <c r="N537" s="549">
        <v>0</v>
      </c>
      <c r="O537" s="549">
        <v>3600</v>
      </c>
      <c r="P537" s="72">
        <f t="shared" si="46"/>
        <v>-3245.4</v>
      </c>
      <c r="Q537" s="72">
        <f>IFERROR(IF(D537=20250,O537/(#REF!/30),O537/(I537/30)),0)</f>
        <v>36.953397659618147</v>
      </c>
      <c r="R537" s="72">
        <f t="shared" si="47"/>
        <v>0</v>
      </c>
      <c r="AC537"/>
      <c r="AD537"/>
      <c r="AE537"/>
      <c r="AF537"/>
      <c r="AG537"/>
      <c r="AH537"/>
      <c r="AI537"/>
      <c r="AJ537"/>
    </row>
    <row r="538" spans="1:36" ht="15">
      <c r="A538" s="352" t="str">
        <f t="shared" si="43"/>
        <v>440120308</v>
      </c>
      <c r="B538" s="509" t="s">
        <v>108</v>
      </c>
      <c r="C538" s="69" t="str">
        <f>_xlfn.XLOOKUP(B:B,Master!A:A,Master!B:B)</f>
        <v>RPSPL-BNG</v>
      </c>
      <c r="D538" s="509" t="s">
        <v>146</v>
      </c>
      <c r="E538" s="69" t="str">
        <f t="shared" si="44"/>
        <v>440120308</v>
      </c>
      <c r="F538" s="509" t="s">
        <v>902</v>
      </c>
      <c r="G538" s="70" t="str">
        <f>VLOOKUP(D538,Master!C:G,4,)</f>
        <v>T&amp;I</v>
      </c>
      <c r="H538" s="69" t="str">
        <f>VLOOKUP(D538,Master!C:G,5,)</f>
        <v>T&amp;I EX HP 2 KG</v>
      </c>
      <c r="I538" s="549">
        <v>9355.32</v>
      </c>
      <c r="J538" s="549">
        <v>6636</v>
      </c>
      <c r="K538" s="71">
        <f t="shared" si="45"/>
        <v>0.70932902348610205</v>
      </c>
      <c r="L538" s="549">
        <v>11556</v>
      </c>
      <c r="M538" s="511">
        <v>46164</v>
      </c>
      <c r="N538" s="549">
        <v>0</v>
      </c>
      <c r="O538" s="549">
        <v>11556</v>
      </c>
      <c r="P538" s="72">
        <f t="shared" si="46"/>
        <v>-8836.68</v>
      </c>
      <c r="Q538" s="72">
        <f>IFERROR(IF(D538=20250,O538/(#REF!/30),O538/(I538/30)),0)</f>
        <v>37.056990033478279</v>
      </c>
      <c r="R538" s="72">
        <f t="shared" si="47"/>
        <v>0</v>
      </c>
      <c r="AC538"/>
      <c r="AD538"/>
      <c r="AE538"/>
      <c r="AF538"/>
      <c r="AG538"/>
      <c r="AH538"/>
      <c r="AI538"/>
      <c r="AJ538"/>
    </row>
    <row r="539" spans="1:36" ht="15">
      <c r="A539" s="352" t="str">
        <f t="shared" si="43"/>
        <v>440120827</v>
      </c>
      <c r="B539" s="509" t="s">
        <v>108</v>
      </c>
      <c r="C539" s="69" t="str">
        <f>_xlfn.XLOOKUP(B:B,Master!A:A,Master!B:B)</f>
        <v>RPSPL-BNG</v>
      </c>
      <c r="D539" s="509" t="s">
        <v>149</v>
      </c>
      <c r="E539" s="69" t="str">
        <f t="shared" si="44"/>
        <v>440120827</v>
      </c>
      <c r="F539" s="509" t="s">
        <v>150</v>
      </c>
      <c r="G539" s="70" t="str">
        <f>VLOOKUP(D539,Master!C:G,4,)</f>
        <v>Ganache</v>
      </c>
      <c r="H539" s="69" t="str">
        <f>VLOOKUP(D539,Master!C:G,5,)</f>
        <v>Ganache- UF</v>
      </c>
      <c r="I539" s="549">
        <v>8601.1200000000008</v>
      </c>
      <c r="J539" s="549">
        <v>6300</v>
      </c>
      <c r="K539" s="71">
        <f t="shared" si="45"/>
        <v>0.73246274903733466</v>
      </c>
      <c r="L539" s="549">
        <v>2400</v>
      </c>
      <c r="M539" s="511">
        <v>46165</v>
      </c>
      <c r="N539" s="549">
        <v>768</v>
      </c>
      <c r="O539" s="549">
        <v>3168</v>
      </c>
      <c r="P539" s="72">
        <f t="shared" si="46"/>
        <v>-866.8799999999992</v>
      </c>
      <c r="Q539" s="72">
        <f>IFERROR(IF(D539=20250,O539/(#REF!/30),O539/(I539/30)),0)</f>
        <v>11.049723756906078</v>
      </c>
      <c r="R539" s="72">
        <f t="shared" si="47"/>
        <v>2.6787209107651098</v>
      </c>
      <c r="AC539"/>
      <c r="AD539"/>
      <c r="AE539"/>
      <c r="AF539"/>
      <c r="AG539"/>
      <c r="AH539"/>
      <c r="AI539"/>
      <c r="AJ539"/>
    </row>
    <row r="540" spans="1:36" ht="15">
      <c r="A540" s="352" t="str">
        <f t="shared" si="43"/>
        <v>440121910</v>
      </c>
      <c r="B540" s="509" t="s">
        <v>108</v>
      </c>
      <c r="C540" s="69" t="str">
        <f>_xlfn.XLOOKUP(B:B,Master!A:A,Master!B:B)</f>
        <v>RPSPL-BNG</v>
      </c>
      <c r="D540" s="509" t="s">
        <v>180</v>
      </c>
      <c r="E540" s="69" t="str">
        <f t="shared" si="44"/>
        <v>440121910</v>
      </c>
      <c r="F540" s="509" t="s">
        <v>181</v>
      </c>
      <c r="G540" s="70" t="str">
        <f>VLOOKUP(D540,Master!C:G,4,)</f>
        <v>T&amp;I</v>
      </c>
      <c r="H540" s="69" t="str">
        <f>VLOOKUP(D540,Master!C:G,5,)</f>
        <v>T&amp;I EX HP 2 KG</v>
      </c>
      <c r="I540" s="549">
        <v>104.76</v>
      </c>
      <c r="J540" s="549">
        <v>0</v>
      </c>
      <c r="K540" s="71">
        <f t="shared" si="45"/>
        <v>0</v>
      </c>
      <c r="L540" s="549">
        <v>0</v>
      </c>
      <c r="M540" s="511"/>
      <c r="N540" s="549">
        <v>108</v>
      </c>
      <c r="O540" s="549">
        <v>108</v>
      </c>
      <c r="P540" s="72">
        <f t="shared" si="46"/>
        <v>-3.2399999999999949</v>
      </c>
      <c r="Q540" s="72">
        <f>IFERROR(IF(D540=20250,O540/(#REF!/30),O540/(I540/30)),0)</f>
        <v>30.927835051546392</v>
      </c>
      <c r="R540" s="72">
        <f t="shared" si="47"/>
        <v>30.927835051546392</v>
      </c>
      <c r="AC540"/>
      <c r="AD540"/>
      <c r="AE540"/>
      <c r="AF540"/>
      <c r="AG540"/>
      <c r="AH540"/>
      <c r="AI540"/>
      <c r="AJ540"/>
    </row>
    <row r="541" spans="1:36" ht="15">
      <c r="A541" s="352" t="str">
        <f t="shared" si="43"/>
        <v>440123081</v>
      </c>
      <c r="B541" s="509" t="s">
        <v>108</v>
      </c>
      <c r="C541" s="69" t="str">
        <f>_xlfn.XLOOKUP(B:B,Master!A:A,Master!B:B)</f>
        <v>RPSPL-BNG</v>
      </c>
      <c r="D541" s="509" t="s">
        <v>189</v>
      </c>
      <c r="E541" s="69" t="str">
        <f t="shared" si="44"/>
        <v>440123081</v>
      </c>
      <c r="F541" s="509" t="s">
        <v>190</v>
      </c>
      <c r="G541" s="70" t="str">
        <f>VLOOKUP(D541,Master!C:G,4,)</f>
        <v>T&amp;I</v>
      </c>
      <c r="H541" s="69" t="str">
        <f>VLOOKUP(D541,Master!C:G,5,)</f>
        <v>T&amp;I EX HP</v>
      </c>
      <c r="I541" s="549">
        <v>3353.16</v>
      </c>
      <c r="J541" s="549">
        <v>528</v>
      </c>
      <c r="K541" s="71">
        <f t="shared" si="45"/>
        <v>0.15746340765129013</v>
      </c>
      <c r="L541" s="549">
        <v>204</v>
      </c>
      <c r="M541" s="511">
        <v>46162</v>
      </c>
      <c r="N541" s="549">
        <v>2640</v>
      </c>
      <c r="O541" s="549">
        <v>2844</v>
      </c>
      <c r="P541" s="72">
        <f t="shared" si="46"/>
        <v>-18.840000000000146</v>
      </c>
      <c r="Q541" s="72">
        <f>IFERROR(IF(D541=20250,O541/(#REF!/30),O541/(I541/30)),0)</f>
        <v>25.444655190924383</v>
      </c>
      <c r="R541" s="72">
        <f t="shared" si="47"/>
        <v>23.619511147693522</v>
      </c>
      <c r="AC541"/>
      <c r="AD541"/>
      <c r="AE541"/>
      <c r="AF541"/>
      <c r="AG541"/>
      <c r="AH541"/>
      <c r="AI541"/>
      <c r="AJ541"/>
    </row>
    <row r="542" spans="1:36" ht="15">
      <c r="A542" s="352" t="str">
        <f t="shared" si="43"/>
        <v>440123401</v>
      </c>
      <c r="B542" s="509" t="s">
        <v>108</v>
      </c>
      <c r="C542" s="69" t="str">
        <f>_xlfn.XLOOKUP(B:B,Master!A:A,Master!B:B)</f>
        <v>RPSPL-BNG</v>
      </c>
      <c r="D542" s="509" t="s">
        <v>194</v>
      </c>
      <c r="E542" s="69" t="str">
        <f t="shared" si="44"/>
        <v>440123401</v>
      </c>
      <c r="F542" s="509" t="s">
        <v>195</v>
      </c>
      <c r="G542" s="70" t="str">
        <f>VLOOKUP(D542,Master!C:G,4,)</f>
        <v>T&amp;I</v>
      </c>
      <c r="H542" s="69" t="str">
        <f>VLOOKUP(D542,Master!C:G,5,)</f>
        <v>T&amp;I EX UF</v>
      </c>
      <c r="I542" s="549">
        <v>16713.96</v>
      </c>
      <c r="J542" s="549">
        <v>8316</v>
      </c>
      <c r="K542" s="71">
        <f t="shared" si="45"/>
        <v>0.49754815734870733</v>
      </c>
      <c r="L542" s="549">
        <v>3600</v>
      </c>
      <c r="M542" s="511">
        <v>46165</v>
      </c>
      <c r="N542" s="549">
        <v>6168</v>
      </c>
      <c r="O542" s="549">
        <v>9768</v>
      </c>
      <c r="P542" s="72">
        <f t="shared" si="46"/>
        <v>-1370.0400000000009</v>
      </c>
      <c r="Q542" s="72">
        <f>IFERROR(IF(D542=20250,O542/(#REF!/30),O542/(I542/30)),0)</f>
        <v>17.532649354192547</v>
      </c>
      <c r="R542" s="72">
        <f t="shared" si="47"/>
        <v>11.070984973040501</v>
      </c>
      <c r="AC542"/>
      <c r="AD542"/>
      <c r="AE542"/>
      <c r="AF542"/>
      <c r="AG542"/>
      <c r="AH542"/>
      <c r="AI542"/>
      <c r="AJ542"/>
    </row>
    <row r="543" spans="1:36" ht="15">
      <c r="A543" s="352" t="str">
        <f t="shared" si="43"/>
        <v>440123890</v>
      </c>
      <c r="B543" s="509" t="s">
        <v>108</v>
      </c>
      <c r="C543" s="69" t="str">
        <f>_xlfn.XLOOKUP(B:B,Master!A:A,Master!B:B)</f>
        <v>RPSPL-BNG</v>
      </c>
      <c r="D543" s="509" t="s">
        <v>778</v>
      </c>
      <c r="E543" s="69" t="str">
        <f t="shared" si="44"/>
        <v>440123890</v>
      </c>
      <c r="F543" s="509" t="s">
        <v>780</v>
      </c>
      <c r="G543" s="70" t="str">
        <f>VLOOKUP(D543,Master!C:G,4,)</f>
        <v>T&amp;I</v>
      </c>
      <c r="H543" s="69" t="str">
        <f>VLOOKUP(D543,Master!C:G,5,)</f>
        <v>T&amp;I EX HP</v>
      </c>
      <c r="I543" s="549">
        <v>0</v>
      </c>
      <c r="J543" s="549">
        <v>0</v>
      </c>
      <c r="K543" s="71">
        <f t="shared" si="45"/>
        <v>0</v>
      </c>
      <c r="L543" s="549">
        <v>0</v>
      </c>
      <c r="M543" s="511"/>
      <c r="N543" s="549">
        <v>1020</v>
      </c>
      <c r="O543" s="549">
        <v>1020</v>
      </c>
      <c r="P543" s="72">
        <f t="shared" si="46"/>
        <v>-1020</v>
      </c>
      <c r="Q543" s="72">
        <f>IFERROR(IF(D543=20250,O543/(#REF!/30),O543/(I543/30)),0)</f>
        <v>0</v>
      </c>
      <c r="R543" s="72">
        <f t="shared" si="47"/>
        <v>0</v>
      </c>
      <c r="AC543"/>
      <c r="AD543"/>
      <c r="AE543"/>
      <c r="AF543"/>
      <c r="AG543"/>
      <c r="AH543"/>
      <c r="AI543"/>
      <c r="AJ543"/>
    </row>
    <row r="544" spans="1:36" ht="15">
      <c r="A544" s="352" t="str">
        <f t="shared" si="43"/>
        <v>440124768</v>
      </c>
      <c r="B544" s="509" t="s">
        <v>108</v>
      </c>
      <c r="C544" s="69" t="str">
        <f>_xlfn.XLOOKUP(B:B,Master!A:A,Master!B:B)</f>
        <v>RPSPL-BNG</v>
      </c>
      <c r="D544" s="509" t="s">
        <v>906</v>
      </c>
      <c r="E544" s="69" t="str">
        <f t="shared" si="44"/>
        <v>440124768</v>
      </c>
      <c r="F544" s="509" t="s">
        <v>912</v>
      </c>
      <c r="G544" s="70" t="str">
        <f>VLOOKUP(D544,Master!C:G,4,)</f>
        <v>T&amp;I</v>
      </c>
      <c r="H544" s="69" t="str">
        <f>VLOOKUP(D544,Master!C:G,5,)</f>
        <v>T&amp;I EX UF</v>
      </c>
      <c r="I544" s="549">
        <v>7213.32</v>
      </c>
      <c r="J544" s="549">
        <v>9024</v>
      </c>
      <c r="K544" s="71">
        <f t="shared" si="45"/>
        <v>1.2510189482790173</v>
      </c>
      <c r="L544" s="549">
        <v>0</v>
      </c>
      <c r="M544" s="511"/>
      <c r="N544" s="549">
        <v>23400</v>
      </c>
      <c r="O544" s="549">
        <v>23400</v>
      </c>
      <c r="P544" s="72">
        <f t="shared" si="46"/>
        <v>-25210.68</v>
      </c>
      <c r="Q544" s="72">
        <f>IFERROR(IF(D544=20250,O544/(#REF!/30),O544/(I544/30)),0)</f>
        <v>97.319958077556521</v>
      </c>
      <c r="R544" s="72">
        <f t="shared" si="47"/>
        <v>97.319958077556521</v>
      </c>
      <c r="AC544"/>
      <c r="AD544"/>
      <c r="AE544"/>
      <c r="AF544"/>
      <c r="AG544"/>
      <c r="AH544"/>
      <c r="AI544"/>
      <c r="AJ544"/>
    </row>
    <row r="545" spans="1:36" ht="15">
      <c r="A545" s="352" t="str">
        <f t="shared" si="43"/>
        <v>440125570</v>
      </c>
      <c r="B545" s="509" t="s">
        <v>108</v>
      </c>
      <c r="C545" s="69" t="str">
        <f>_xlfn.XLOOKUP(B:B,Master!A:A,Master!B:B)</f>
        <v>RPSPL-BNG</v>
      </c>
      <c r="D545" s="509" t="s">
        <v>1006</v>
      </c>
      <c r="E545" s="69" t="str">
        <f t="shared" si="44"/>
        <v>440125570</v>
      </c>
      <c r="F545" s="509" t="s">
        <v>1008</v>
      </c>
      <c r="G545" s="70" t="str">
        <f>VLOOKUP(D545,Master!C:G,4,)</f>
        <v>T&amp;I</v>
      </c>
      <c r="H545" s="69" t="str">
        <f>VLOOKUP(D545,Master!C:G,5,)</f>
        <v>T&amp;I EX HP</v>
      </c>
      <c r="I545" s="549">
        <v>5834.52</v>
      </c>
      <c r="J545" s="549">
        <v>3972</v>
      </c>
      <c r="K545" s="71">
        <f t="shared" si="45"/>
        <v>0.68077579646654729</v>
      </c>
      <c r="L545" s="549">
        <v>2604</v>
      </c>
      <c r="M545" s="511">
        <v>46164</v>
      </c>
      <c r="N545" s="549">
        <v>3828</v>
      </c>
      <c r="O545" s="549">
        <v>6432</v>
      </c>
      <c r="P545" s="72">
        <f t="shared" si="46"/>
        <v>-4569.4799999999996</v>
      </c>
      <c r="Q545" s="72">
        <f>IFERROR(IF(D545=20250,O545/(#REF!/30),O545/(I545/30)),0)</f>
        <v>33.07212932683408</v>
      </c>
      <c r="R545" s="72">
        <f t="shared" si="47"/>
        <v>19.682853088171775</v>
      </c>
      <c r="AC545"/>
      <c r="AD545"/>
      <c r="AE545"/>
      <c r="AF545"/>
      <c r="AG545"/>
      <c r="AH545"/>
      <c r="AI545"/>
      <c r="AJ545"/>
    </row>
    <row r="546" spans="1:36" ht="15">
      <c r="A546" s="352" t="str">
        <f t="shared" si="43"/>
        <v>440125598</v>
      </c>
      <c r="B546" s="509" t="s">
        <v>108</v>
      </c>
      <c r="C546" s="69" t="str">
        <f>_xlfn.XLOOKUP(B:B,Master!A:A,Master!B:B)</f>
        <v>RPSPL-BNG</v>
      </c>
      <c r="D546" s="509" t="s">
        <v>1007</v>
      </c>
      <c r="E546" s="69" t="str">
        <f t="shared" si="44"/>
        <v>440125598</v>
      </c>
      <c r="F546" s="509" t="s">
        <v>1009</v>
      </c>
      <c r="G546" s="70" t="str">
        <f>VLOOKUP(D546,Master!C:G,4,)</f>
        <v>T&amp;I</v>
      </c>
      <c r="H546" s="69" t="str">
        <f>VLOOKUP(D546,Master!C:G,5,)</f>
        <v>T&amp;I EX HP</v>
      </c>
      <c r="I546" s="549">
        <v>5959.92</v>
      </c>
      <c r="J546" s="549">
        <v>2280</v>
      </c>
      <c r="K546" s="71">
        <f t="shared" si="45"/>
        <v>0.38255547054322875</v>
      </c>
      <c r="L546" s="549">
        <v>0</v>
      </c>
      <c r="M546" s="511"/>
      <c r="N546" s="549">
        <v>0</v>
      </c>
      <c r="O546" s="549">
        <v>0</v>
      </c>
      <c r="P546" s="72">
        <f t="shared" si="46"/>
        <v>3679.92</v>
      </c>
      <c r="Q546" s="72">
        <f>IFERROR(IF(D546=20250,O546/(#REF!/30),O546/(I546/30)),0)</f>
        <v>0</v>
      </c>
      <c r="R546" s="72">
        <f t="shared" si="47"/>
        <v>0</v>
      </c>
      <c r="AC546"/>
      <c r="AD546"/>
      <c r="AE546"/>
      <c r="AF546"/>
      <c r="AG546"/>
      <c r="AH546"/>
      <c r="AI546"/>
      <c r="AJ546"/>
    </row>
    <row r="547" spans="1:36" ht="15">
      <c r="A547" s="352" t="str">
        <f t="shared" si="43"/>
        <v>440306151</v>
      </c>
      <c r="B547" s="509" t="s">
        <v>110</v>
      </c>
      <c r="C547" s="69" t="str">
        <f>_xlfn.XLOOKUP(B:B,Master!A:A,Master!B:B)</f>
        <v>RPSPL-HY</v>
      </c>
      <c r="D547" s="509" t="s">
        <v>28</v>
      </c>
      <c r="E547" s="69" t="str">
        <f t="shared" si="44"/>
        <v>440306151</v>
      </c>
      <c r="F547" s="509" t="s">
        <v>29</v>
      </c>
      <c r="G547" s="70" t="str">
        <f>VLOOKUP(D547,Master!C:G,4,)</f>
        <v>DD</v>
      </c>
      <c r="H547" s="69" t="str">
        <f>VLOOKUP(D547,Master!C:G,5,)</f>
        <v>OS - Dry</v>
      </c>
      <c r="I547" s="549">
        <v>43755</v>
      </c>
      <c r="J547" s="549">
        <v>19776</v>
      </c>
      <c r="K547" s="71">
        <f t="shared" si="45"/>
        <v>0.45197120329105245</v>
      </c>
      <c r="L547" s="549">
        <v>0</v>
      </c>
      <c r="M547" s="511"/>
      <c r="N547" s="549">
        <v>17760</v>
      </c>
      <c r="O547" s="549">
        <v>17760</v>
      </c>
      <c r="P547" s="72">
        <f t="shared" si="46"/>
        <v>6219</v>
      </c>
      <c r="Q547" s="72">
        <f>IFERROR(IF(D547=20250,O547/(#REF!/30),O547/(I547/30)),0)</f>
        <v>12.176894069249229</v>
      </c>
      <c r="R547" s="72">
        <f t="shared" si="47"/>
        <v>12.176894069249229</v>
      </c>
      <c r="AC547"/>
      <c r="AD547"/>
      <c r="AE547"/>
      <c r="AF547"/>
      <c r="AG547"/>
      <c r="AH547"/>
      <c r="AI547"/>
      <c r="AJ547"/>
    </row>
    <row r="548" spans="1:36" ht="15">
      <c r="A548" s="352" t="str">
        <f t="shared" si="43"/>
        <v>440313490</v>
      </c>
      <c r="B548" s="509" t="s">
        <v>110</v>
      </c>
      <c r="C548" s="69" t="str">
        <f>_xlfn.XLOOKUP(B:B,Master!A:A,Master!B:B)</f>
        <v>RPSPL-HY</v>
      </c>
      <c r="D548" s="509" t="s">
        <v>37</v>
      </c>
      <c r="E548" s="69" t="str">
        <f t="shared" si="44"/>
        <v>440313490</v>
      </c>
      <c r="F548" s="509" t="s">
        <v>38</v>
      </c>
      <c r="G548" s="70" t="str">
        <f>VLOOKUP(D548,Master!C:G,4,)</f>
        <v>NGL</v>
      </c>
      <c r="H548" s="69" t="str">
        <f>VLOOKUP(D548,Master!C:G,5,)</f>
        <v>UF-Dry</v>
      </c>
      <c r="I548" s="549">
        <v>8406</v>
      </c>
      <c r="J548" s="549">
        <v>6110</v>
      </c>
      <c r="K548" s="71">
        <f t="shared" si="45"/>
        <v>0.72686176540566261</v>
      </c>
      <c r="L548" s="549">
        <v>1200</v>
      </c>
      <c r="M548" s="511">
        <v>46164</v>
      </c>
      <c r="N548" s="549">
        <v>7190</v>
      </c>
      <c r="O548" s="549">
        <v>8390</v>
      </c>
      <c r="P548" s="72">
        <f t="shared" si="46"/>
        <v>-6094</v>
      </c>
      <c r="Q548" s="72">
        <f>IFERROR(IF(D548=20250,O548/(#REF!/30),O548/(I548/30)),0)</f>
        <v>29.942897930049966</v>
      </c>
      <c r="R548" s="72">
        <f t="shared" si="47"/>
        <v>25.660242683797289</v>
      </c>
      <c r="AC548"/>
      <c r="AD548"/>
      <c r="AE548"/>
      <c r="AF548"/>
      <c r="AG548"/>
      <c r="AH548"/>
      <c r="AI548"/>
      <c r="AJ548"/>
    </row>
    <row r="549" spans="1:36" ht="15">
      <c r="A549" s="352" t="str">
        <f t="shared" si="43"/>
        <v>440315300</v>
      </c>
      <c r="B549" s="509" t="s">
        <v>110</v>
      </c>
      <c r="C549" s="69" t="str">
        <f>_xlfn.XLOOKUP(B:B,Master!A:A,Master!B:B)</f>
        <v>RPSPL-HY</v>
      </c>
      <c r="D549" s="509" t="s">
        <v>43</v>
      </c>
      <c r="E549" s="69" t="str">
        <f t="shared" si="44"/>
        <v>440315300</v>
      </c>
      <c r="F549" s="509" t="s">
        <v>44</v>
      </c>
      <c r="G549" s="70" t="str">
        <f>VLOOKUP(D549,Master!C:G,4,)</f>
        <v>NGL</v>
      </c>
      <c r="H549" s="69" t="str">
        <f>VLOOKUP(D549,Master!C:G,5,)</f>
        <v>UF-Dry</v>
      </c>
      <c r="I549" s="549">
        <v>36.450000000000003</v>
      </c>
      <c r="J549" s="549">
        <v>18</v>
      </c>
      <c r="K549" s="71">
        <f t="shared" si="45"/>
        <v>0.49382716049382713</v>
      </c>
      <c r="L549" s="549">
        <v>0</v>
      </c>
      <c r="M549" s="511"/>
      <c r="N549" s="549">
        <v>72</v>
      </c>
      <c r="O549" s="549">
        <v>72</v>
      </c>
      <c r="P549" s="72">
        <f t="shared" si="46"/>
        <v>-53.55</v>
      </c>
      <c r="Q549" s="72">
        <f>IFERROR(IF(D549=20250,O549/(#REF!/30),O549/(I549/30)),0)</f>
        <v>59.259259259259252</v>
      </c>
      <c r="R549" s="72">
        <f t="shared" si="47"/>
        <v>59.259259259259252</v>
      </c>
      <c r="AC549"/>
      <c r="AD549"/>
      <c r="AE549"/>
      <c r="AF549"/>
      <c r="AG549"/>
      <c r="AH549"/>
      <c r="AI549"/>
      <c r="AJ549"/>
    </row>
    <row r="550" spans="1:36" ht="15">
      <c r="A550" s="352" t="str">
        <f t="shared" si="43"/>
        <v>440319690</v>
      </c>
      <c r="B550" s="509" t="s">
        <v>110</v>
      </c>
      <c r="C550" s="69" t="str">
        <f>_xlfn.XLOOKUP(B:B,Master!A:A,Master!B:B)</f>
        <v>RPSPL-HY</v>
      </c>
      <c r="D550" s="509" t="s">
        <v>88</v>
      </c>
      <c r="E550" s="69" t="str">
        <f t="shared" si="44"/>
        <v>440319690</v>
      </c>
      <c r="F550" s="509" t="s">
        <v>89</v>
      </c>
      <c r="G550" s="70" t="str">
        <f>VLOOKUP(D550,Master!C:G,4,)</f>
        <v>NFL</v>
      </c>
      <c r="H550" s="69" t="str">
        <f>VLOOKUP(D550,Master!C:G,5,)</f>
        <v>OS - Dry</v>
      </c>
      <c r="I550" s="549">
        <v>166.2</v>
      </c>
      <c r="J550" s="549">
        <v>12</v>
      </c>
      <c r="K550" s="71">
        <f t="shared" si="45"/>
        <v>7.2202166064981949E-2</v>
      </c>
      <c r="L550" s="549">
        <v>0</v>
      </c>
      <c r="M550" s="511"/>
      <c r="N550" s="549">
        <v>84</v>
      </c>
      <c r="O550" s="549">
        <v>84</v>
      </c>
      <c r="P550" s="72">
        <f t="shared" si="46"/>
        <v>70.199999999999989</v>
      </c>
      <c r="Q550" s="72">
        <f>IFERROR(IF(D550=20250,O550/(#REF!/30),O550/(I550/30)),0)</f>
        <v>15.16245487364621</v>
      </c>
      <c r="R550" s="72">
        <f t="shared" si="47"/>
        <v>15.16245487364621</v>
      </c>
      <c r="AC550"/>
      <c r="AD550"/>
      <c r="AE550"/>
      <c r="AF550"/>
      <c r="AG550"/>
      <c r="AH550"/>
      <c r="AI550"/>
      <c r="AJ550"/>
    </row>
    <row r="551" spans="1:36" ht="15">
      <c r="A551" s="352" t="str">
        <f t="shared" si="43"/>
        <v>440320661</v>
      </c>
      <c r="B551" s="509" t="s">
        <v>110</v>
      </c>
      <c r="C551" s="69" t="str">
        <f>_xlfn.XLOOKUP(B:B,Master!A:A,Master!B:B)</f>
        <v>RPSPL-HY</v>
      </c>
      <c r="D551" s="509" t="s">
        <v>167</v>
      </c>
      <c r="E551" s="69" t="str">
        <f t="shared" si="44"/>
        <v>440320661</v>
      </c>
      <c r="F551" s="509" t="s">
        <v>168</v>
      </c>
      <c r="G551" s="70" t="str">
        <f>VLOOKUP(D551,Master!C:G,4,)</f>
        <v>UHT-Chill</v>
      </c>
      <c r="H551" s="69" t="str">
        <f>VLOOKUP(D551,Master!C:G,5,)</f>
        <v>OS-Chill</v>
      </c>
      <c r="I551" s="549">
        <v>5362.56</v>
      </c>
      <c r="J551" s="549">
        <v>2532</v>
      </c>
      <c r="K551" s="71">
        <f t="shared" si="45"/>
        <v>0.47216254923021839</v>
      </c>
      <c r="L551" s="549">
        <v>0</v>
      </c>
      <c r="M551" s="511"/>
      <c r="N551" s="549">
        <v>5460</v>
      </c>
      <c r="O551" s="549">
        <v>5460</v>
      </c>
      <c r="P551" s="72">
        <f t="shared" si="46"/>
        <v>-2629.4399999999996</v>
      </c>
      <c r="Q551" s="72">
        <f>IFERROR(IF(D551=20250,O551/(#REF!/30),O551/(I551/30)),0)</f>
        <v>30.545112781954884</v>
      </c>
      <c r="R551" s="72">
        <f t="shared" si="47"/>
        <v>30.545112781954884</v>
      </c>
      <c r="AC551"/>
      <c r="AD551"/>
      <c r="AE551"/>
      <c r="AF551"/>
      <c r="AG551"/>
      <c r="AH551"/>
      <c r="AI551"/>
      <c r="AJ551"/>
    </row>
    <row r="552" spans="1:36" ht="15">
      <c r="A552" s="352" t="str">
        <f t="shared" si="43"/>
        <v>440323638</v>
      </c>
      <c r="B552" s="509" t="s">
        <v>110</v>
      </c>
      <c r="C552" s="69" t="str">
        <f>_xlfn.XLOOKUP(B:B,Master!A:A,Master!B:B)</f>
        <v>RPSPL-HY</v>
      </c>
      <c r="D552" s="509" t="s">
        <v>198</v>
      </c>
      <c r="E552" s="69" t="str">
        <f t="shared" si="44"/>
        <v>440323638</v>
      </c>
      <c r="F552" s="509" t="s">
        <v>199</v>
      </c>
      <c r="G552" s="70" t="str">
        <f>VLOOKUP(D552,Master!C:G,4,)</f>
        <v>DD</v>
      </c>
      <c r="H552" s="69" t="str">
        <f>VLOOKUP(D552,Master!C:G,5,)</f>
        <v>OS - Dry</v>
      </c>
      <c r="I552" s="549">
        <v>8247.7199999999993</v>
      </c>
      <c r="J552" s="549">
        <v>4020</v>
      </c>
      <c r="K552" s="71">
        <f t="shared" si="45"/>
        <v>0.48740742896218597</v>
      </c>
      <c r="L552" s="549">
        <v>0</v>
      </c>
      <c r="M552" s="511"/>
      <c r="N552" s="549">
        <v>12408</v>
      </c>
      <c r="O552" s="549">
        <v>12408</v>
      </c>
      <c r="P552" s="72">
        <f t="shared" si="46"/>
        <v>-8180.2800000000007</v>
      </c>
      <c r="Q552" s="72">
        <f>IFERROR(IF(D552=20250,O552/(#REF!/30),O552/(I552/30)),0)</f>
        <v>45.132472974349277</v>
      </c>
      <c r="R552" s="72">
        <f t="shared" si="47"/>
        <v>45.132472974349277</v>
      </c>
      <c r="AC552"/>
      <c r="AD552"/>
      <c r="AE552"/>
      <c r="AF552"/>
      <c r="AG552"/>
      <c r="AH552"/>
      <c r="AI552"/>
      <c r="AJ552"/>
    </row>
    <row r="553" spans="1:36" ht="15">
      <c r="A553" s="352" t="str">
        <f t="shared" si="43"/>
        <v>440325885</v>
      </c>
      <c r="B553" s="509" t="s">
        <v>110</v>
      </c>
      <c r="C553" s="69" t="str">
        <f>_xlfn.XLOOKUP(B:B,Master!A:A,Master!B:B)</f>
        <v>RPSPL-HY</v>
      </c>
      <c r="D553" s="509" t="s">
        <v>1037</v>
      </c>
      <c r="E553" s="69" t="str">
        <f t="shared" si="44"/>
        <v>440325885</v>
      </c>
      <c r="F553" s="509" t="s">
        <v>1038</v>
      </c>
      <c r="G553" s="70" t="str">
        <f>VLOOKUP(D553,Master!C:G,4,)</f>
        <v>T&amp;I</v>
      </c>
      <c r="H553" s="69" t="str">
        <f>VLOOKUP(D553,Master!C:G,5,)</f>
        <v>T&amp;I EX UF</v>
      </c>
      <c r="I553" s="549">
        <v>1600.32</v>
      </c>
      <c r="J553" s="549">
        <v>1080</v>
      </c>
      <c r="K553" s="71">
        <f t="shared" si="45"/>
        <v>0.67486502699460116</v>
      </c>
      <c r="L553" s="549">
        <v>0</v>
      </c>
      <c r="M553" s="511"/>
      <c r="N553" s="549">
        <v>528</v>
      </c>
      <c r="O553" s="549">
        <v>528</v>
      </c>
      <c r="P553" s="72">
        <f t="shared" si="46"/>
        <v>-7.6800000000000637</v>
      </c>
      <c r="Q553" s="72">
        <f>IFERROR(IF(D553=20250,O553/(#REF!/30),O553/(I553/30)),0)</f>
        <v>9.8980203959208151</v>
      </c>
      <c r="R553" s="72">
        <f t="shared" si="47"/>
        <v>9.8980203959208151</v>
      </c>
      <c r="AC553"/>
      <c r="AD553"/>
      <c r="AE553"/>
      <c r="AF553"/>
      <c r="AG553"/>
      <c r="AH553"/>
      <c r="AI553"/>
      <c r="AJ553"/>
    </row>
    <row r="554" spans="1:36" ht="15">
      <c r="A554" s="352" t="str">
        <f t="shared" si="43"/>
        <v>440326234</v>
      </c>
      <c r="B554" s="509" t="s">
        <v>110</v>
      </c>
      <c r="C554" s="69" t="str">
        <f>_xlfn.XLOOKUP(B:B,Master!A:A,Master!B:B)</f>
        <v>RPSPL-HY</v>
      </c>
      <c r="D554" s="509" t="s">
        <v>1176</v>
      </c>
      <c r="E554" s="69" t="str">
        <f t="shared" si="44"/>
        <v>440326234</v>
      </c>
      <c r="F554" s="509" t="s">
        <v>1182</v>
      </c>
      <c r="G554" s="70" t="str">
        <f>VLOOKUP(D554,Master!C:G,4,)</f>
        <v>T&amp;I</v>
      </c>
      <c r="H554" s="69" t="str">
        <f>VLOOKUP(D554,Master!C:G,5,)</f>
        <v>T&amp;I EX UF</v>
      </c>
      <c r="I554" s="549">
        <v>0</v>
      </c>
      <c r="J554" s="549">
        <v>0</v>
      </c>
      <c r="K554" s="71">
        <f t="shared" si="45"/>
        <v>0</v>
      </c>
      <c r="L554" s="549">
        <v>0</v>
      </c>
      <c r="M554" s="511"/>
      <c r="N554" s="549">
        <v>876</v>
      </c>
      <c r="O554" s="549">
        <v>876</v>
      </c>
      <c r="P554" s="72">
        <f t="shared" si="46"/>
        <v>-876</v>
      </c>
      <c r="Q554" s="72">
        <f>IFERROR(IF(D554=20250,O554/(#REF!/30),O554/(I554/30)),0)</f>
        <v>0</v>
      </c>
      <c r="R554" s="72">
        <f t="shared" si="47"/>
        <v>0</v>
      </c>
      <c r="AC554"/>
      <c r="AD554"/>
      <c r="AE554"/>
      <c r="AF554"/>
      <c r="AG554"/>
      <c r="AH554"/>
      <c r="AI554"/>
      <c r="AJ554"/>
    </row>
    <row r="555" spans="1:36" ht="15">
      <c r="A555" s="352" t="str">
        <f t="shared" si="43"/>
        <v>440327021</v>
      </c>
      <c r="B555" s="509" t="s">
        <v>110</v>
      </c>
      <c r="C555" s="69" t="str">
        <f>_xlfn.XLOOKUP(B:B,Master!A:A,Master!B:B)</f>
        <v>RPSPL-HY</v>
      </c>
      <c r="D555" s="509" t="s">
        <v>1243</v>
      </c>
      <c r="E555" s="69" t="str">
        <f t="shared" si="44"/>
        <v>440327021</v>
      </c>
      <c r="F555" s="509" t="s">
        <v>1244</v>
      </c>
      <c r="G555" s="70" t="e">
        <f>VLOOKUP(D555,Master!C:G,4,)</f>
        <v>#N/A</v>
      </c>
      <c r="H555" s="69" t="e">
        <f>VLOOKUP(D555,Master!C:G,5,)</f>
        <v>#N/A</v>
      </c>
      <c r="I555" s="549">
        <v>0</v>
      </c>
      <c r="J555" s="549">
        <v>0</v>
      </c>
      <c r="K555" s="71">
        <f t="shared" si="45"/>
        <v>0</v>
      </c>
      <c r="L555" s="549">
        <v>0</v>
      </c>
      <c r="M555" s="511"/>
      <c r="N555" s="549">
        <v>96</v>
      </c>
      <c r="O555" s="549">
        <v>96</v>
      </c>
      <c r="P555" s="72">
        <f t="shared" si="46"/>
        <v>-96</v>
      </c>
      <c r="Q555" s="72">
        <f>IFERROR(IF(D555=20250,O555/(#REF!/30),O555/(I555/30)),0)</f>
        <v>0</v>
      </c>
      <c r="R555" s="72">
        <f t="shared" si="47"/>
        <v>0</v>
      </c>
      <c r="AC555"/>
      <c r="AD555"/>
      <c r="AE555"/>
      <c r="AF555"/>
      <c r="AG555"/>
      <c r="AH555"/>
      <c r="AI555"/>
      <c r="AJ555"/>
    </row>
    <row r="556" spans="1:36" ht="15">
      <c r="A556" s="352" t="str">
        <f t="shared" si="43"/>
        <v>440304145</v>
      </c>
      <c r="B556" s="509" t="s">
        <v>110</v>
      </c>
      <c r="C556" s="69" t="str">
        <f>_xlfn.XLOOKUP(B:B,Master!A:A,Master!B:B)</f>
        <v>RPSPL-HY</v>
      </c>
      <c r="D556" s="509" t="s">
        <v>34</v>
      </c>
      <c r="E556" s="69" t="str">
        <f t="shared" si="44"/>
        <v>440304145</v>
      </c>
      <c r="F556" s="509" t="s">
        <v>35</v>
      </c>
      <c r="G556" s="70" t="str">
        <f>VLOOKUP(D556,Master!C:G,4,)</f>
        <v>NGL</v>
      </c>
      <c r="H556" s="69" t="str">
        <f>VLOOKUP(D556,Master!C:G,5,)</f>
        <v>UF-Dry</v>
      </c>
      <c r="I556" s="549">
        <v>96.93</v>
      </c>
      <c r="J556" s="549">
        <v>27</v>
      </c>
      <c r="K556" s="71">
        <f t="shared" si="45"/>
        <v>0.27855153203342614</v>
      </c>
      <c r="L556" s="549">
        <v>117</v>
      </c>
      <c r="M556" s="511">
        <v>46164</v>
      </c>
      <c r="N556" s="549">
        <v>54</v>
      </c>
      <c r="O556" s="549">
        <v>171</v>
      </c>
      <c r="P556" s="72">
        <f t="shared" si="46"/>
        <v>-101.07</v>
      </c>
      <c r="Q556" s="72">
        <f>IFERROR(IF(D556=20250,O556/(#REF!/30),O556/(I556/30)),0)</f>
        <v>52.924791086350972</v>
      </c>
      <c r="R556" s="72">
        <f t="shared" si="47"/>
        <v>16.713091922005571</v>
      </c>
      <c r="AC556"/>
      <c r="AD556"/>
      <c r="AE556"/>
      <c r="AF556"/>
      <c r="AG556"/>
      <c r="AH556"/>
      <c r="AI556"/>
      <c r="AJ556"/>
    </row>
    <row r="557" spans="1:36" ht="15">
      <c r="A557" s="352" t="str">
        <f t="shared" si="43"/>
        <v>440314248</v>
      </c>
      <c r="B557" s="509" t="s">
        <v>110</v>
      </c>
      <c r="C557" s="69" t="str">
        <f>_xlfn.XLOOKUP(B:B,Master!A:A,Master!B:B)</f>
        <v>RPSPL-HY</v>
      </c>
      <c r="D557" s="509" t="s">
        <v>41</v>
      </c>
      <c r="E557" s="69" t="str">
        <f t="shared" si="44"/>
        <v>440314248</v>
      </c>
      <c r="F557" s="509" t="s">
        <v>42</v>
      </c>
      <c r="G557" s="70" t="str">
        <f>VLOOKUP(D557,Master!C:G,4,)</f>
        <v>NGL</v>
      </c>
      <c r="H557" s="69" t="str">
        <f>VLOOKUP(D557,Master!C:G,5,)</f>
        <v>UF-Dry</v>
      </c>
      <c r="I557" s="549">
        <v>968.9</v>
      </c>
      <c r="J557" s="549">
        <v>660</v>
      </c>
      <c r="K557" s="71">
        <f t="shared" si="45"/>
        <v>0.68118484879760555</v>
      </c>
      <c r="L557" s="549">
        <v>1200</v>
      </c>
      <c r="M557" s="511">
        <v>46164</v>
      </c>
      <c r="N557" s="549">
        <v>0</v>
      </c>
      <c r="O557" s="549">
        <v>1200</v>
      </c>
      <c r="P557" s="72">
        <f t="shared" si="46"/>
        <v>-891.1</v>
      </c>
      <c r="Q557" s="72">
        <f>IFERROR(IF(D557=20250,O557/(#REF!/30),O557/(I557/30)),0)</f>
        <v>37.155537207142117</v>
      </c>
      <c r="R557" s="72">
        <f t="shared" si="47"/>
        <v>0</v>
      </c>
      <c r="AC557"/>
      <c r="AD557"/>
      <c r="AE557"/>
      <c r="AF557"/>
      <c r="AG557"/>
      <c r="AH557"/>
      <c r="AI557"/>
      <c r="AJ557"/>
    </row>
    <row r="558" spans="1:36" ht="15">
      <c r="A558" s="352" t="str">
        <f t="shared" si="43"/>
        <v>440316407</v>
      </c>
      <c r="B558" s="509" t="s">
        <v>110</v>
      </c>
      <c r="C558" s="69" t="str">
        <f>_xlfn.XLOOKUP(B:B,Master!A:A,Master!B:B)</f>
        <v>RPSPL-HY</v>
      </c>
      <c r="D558" s="509" t="s">
        <v>49</v>
      </c>
      <c r="E558" s="69" t="str">
        <f t="shared" si="44"/>
        <v>440316407</v>
      </c>
      <c r="F558" s="509" t="s">
        <v>50</v>
      </c>
      <c r="G558" s="70" t="str">
        <f>VLOOKUP(D558,Master!C:G,4,)</f>
        <v>NGL</v>
      </c>
      <c r="H558" s="69" t="str">
        <f>VLOOKUP(D558,Master!C:G,5,)</f>
        <v>UF-Dry</v>
      </c>
      <c r="I558" s="549">
        <v>239.4</v>
      </c>
      <c r="J558" s="549">
        <v>162</v>
      </c>
      <c r="K558" s="71">
        <f t="shared" si="45"/>
        <v>0.67669172932330823</v>
      </c>
      <c r="L558" s="549">
        <v>0</v>
      </c>
      <c r="M558" s="511"/>
      <c r="N558" s="549">
        <v>288</v>
      </c>
      <c r="O558" s="549">
        <v>288</v>
      </c>
      <c r="P558" s="72">
        <f t="shared" si="46"/>
        <v>-210.6</v>
      </c>
      <c r="Q558" s="72">
        <f>IFERROR(IF(D558=20250,O558/(#REF!/30),O558/(I558/30)),0)</f>
        <v>36.090225563909776</v>
      </c>
      <c r="R558" s="72">
        <f t="shared" si="47"/>
        <v>36.090225563909776</v>
      </c>
      <c r="AC558"/>
      <c r="AD558"/>
      <c r="AE558"/>
      <c r="AF558"/>
      <c r="AG558"/>
      <c r="AH558"/>
      <c r="AI558"/>
      <c r="AJ558"/>
    </row>
    <row r="559" spans="1:36" ht="15">
      <c r="A559" s="352" t="str">
        <f t="shared" si="43"/>
        <v>440300189</v>
      </c>
      <c r="B559" s="509" t="s">
        <v>110</v>
      </c>
      <c r="C559" s="69" t="str">
        <f>_xlfn.XLOOKUP(B:B,Master!A:A,Master!B:B)</f>
        <v>RPSPL-HY</v>
      </c>
      <c r="D559" s="509" t="s">
        <v>51</v>
      </c>
      <c r="E559" s="69" t="str">
        <f t="shared" si="44"/>
        <v>440300189</v>
      </c>
      <c r="F559" s="509" t="s">
        <v>903</v>
      </c>
      <c r="G559" s="70" t="str">
        <f>VLOOKUP(D559,Master!C:G,4,)</f>
        <v>T&amp;I</v>
      </c>
      <c r="H559" s="69" t="str">
        <f>VLOOKUP(D559,Master!C:G,5,)</f>
        <v>T&amp;I Comm-UF</v>
      </c>
      <c r="I559" s="549">
        <v>146828.04</v>
      </c>
      <c r="J559" s="549">
        <v>93072</v>
      </c>
      <c r="K559" s="71">
        <f t="shared" si="45"/>
        <v>0.63388437249451801</v>
      </c>
      <c r="L559" s="549">
        <v>30396</v>
      </c>
      <c r="M559" s="511">
        <v>46164</v>
      </c>
      <c r="N559" s="549">
        <v>11904</v>
      </c>
      <c r="O559" s="549">
        <v>42300</v>
      </c>
      <c r="P559" s="72">
        <f t="shared" si="46"/>
        <v>11456.040000000008</v>
      </c>
      <c r="Q559" s="72">
        <f>IFERROR(IF(D559=20250,O559/(#REF!/30),O559/(I559/30)),0)</f>
        <v>8.6427633304919134</v>
      </c>
      <c r="R559" s="72">
        <f t="shared" si="47"/>
        <v>2.4322329713043911</v>
      </c>
      <c r="AC559"/>
      <c r="AD559"/>
      <c r="AE559"/>
      <c r="AF559"/>
      <c r="AG559"/>
      <c r="AH559"/>
      <c r="AI559"/>
      <c r="AJ559"/>
    </row>
    <row r="560" spans="1:36" ht="15">
      <c r="A560" s="352" t="str">
        <f t="shared" si="43"/>
        <v>440301167</v>
      </c>
      <c r="B560" s="509" t="s">
        <v>110</v>
      </c>
      <c r="C560" s="69" t="str">
        <f>_xlfn.XLOOKUP(B:B,Master!A:A,Master!B:B)</f>
        <v>RPSPL-HY</v>
      </c>
      <c r="D560" s="509" t="s">
        <v>53</v>
      </c>
      <c r="E560" s="69" t="str">
        <f t="shared" si="44"/>
        <v>440301167</v>
      </c>
      <c r="F560" s="509" t="s">
        <v>54</v>
      </c>
      <c r="G560" s="70" t="str">
        <f>VLOOKUP(D560,Master!C:G,4,)</f>
        <v>T&amp;I</v>
      </c>
      <c r="H560" s="69" t="str">
        <f>VLOOKUP(D560,Master!C:G,5,)</f>
        <v>T&amp;I EX UF</v>
      </c>
      <c r="I560" s="549">
        <v>29326.44</v>
      </c>
      <c r="J560" s="549">
        <v>20808</v>
      </c>
      <c r="K560" s="71">
        <f t="shared" si="45"/>
        <v>0.70953037600199687</v>
      </c>
      <c r="L560" s="549">
        <v>0</v>
      </c>
      <c r="M560" s="511"/>
      <c r="N560" s="549">
        <v>15432</v>
      </c>
      <c r="O560" s="549">
        <v>15432</v>
      </c>
      <c r="P560" s="72">
        <f t="shared" si="46"/>
        <v>-6913.5600000000013</v>
      </c>
      <c r="Q560" s="72">
        <f>IFERROR(IF(D560=20250,O560/(#REF!/30),O560/(I560/30)),0)</f>
        <v>15.786437085442351</v>
      </c>
      <c r="R560" s="72">
        <f t="shared" si="47"/>
        <v>15.786437085442351</v>
      </c>
      <c r="AC560"/>
      <c r="AD560"/>
      <c r="AE560"/>
      <c r="AF560"/>
      <c r="AG560"/>
      <c r="AH560"/>
      <c r="AI560"/>
      <c r="AJ560"/>
    </row>
    <row r="561" spans="1:36" ht="15">
      <c r="A561" s="352" t="str">
        <f t="shared" si="43"/>
        <v>440301296</v>
      </c>
      <c r="B561" s="509" t="s">
        <v>110</v>
      </c>
      <c r="C561" s="69" t="str">
        <f>_xlfn.XLOOKUP(B:B,Master!A:A,Master!B:B)</f>
        <v>RPSPL-HY</v>
      </c>
      <c r="D561" s="509" t="s">
        <v>15</v>
      </c>
      <c r="E561" s="69" t="str">
        <f t="shared" si="44"/>
        <v>440301296</v>
      </c>
      <c r="F561" s="509" t="s">
        <v>16</v>
      </c>
      <c r="G561" s="70" t="str">
        <f>VLOOKUP(D561,Master!C:G,4,)</f>
        <v>T&amp;I</v>
      </c>
      <c r="H561" s="69" t="str">
        <f>VLOOKUP(D561,Master!C:G,5,)</f>
        <v>T&amp;I EX HP 2 KG</v>
      </c>
      <c r="I561" s="549">
        <v>1649.88</v>
      </c>
      <c r="J561" s="549">
        <v>1236</v>
      </c>
      <c r="K561" s="71">
        <f t="shared" si="45"/>
        <v>0.74914539239217393</v>
      </c>
      <c r="L561" s="549">
        <v>0</v>
      </c>
      <c r="M561" s="511"/>
      <c r="N561" s="549">
        <v>1332</v>
      </c>
      <c r="O561" s="549">
        <v>1332</v>
      </c>
      <c r="P561" s="72">
        <f t="shared" si="46"/>
        <v>-918.11999999999989</v>
      </c>
      <c r="Q561" s="72">
        <f>IFERROR(IF(D561=20250,O561/(#REF!/30),O561/(I561/30)),0)</f>
        <v>24.219943268601352</v>
      </c>
      <c r="R561" s="72">
        <f t="shared" si="47"/>
        <v>24.219943268601352</v>
      </c>
      <c r="AC561"/>
      <c r="AD561"/>
      <c r="AE561"/>
      <c r="AF561"/>
      <c r="AG561"/>
      <c r="AH561"/>
      <c r="AI561"/>
      <c r="AJ561"/>
    </row>
    <row r="562" spans="1:36" ht="15">
      <c r="A562" s="352" t="str">
        <f t="shared" si="43"/>
        <v>440302122</v>
      </c>
      <c r="B562" s="509" t="s">
        <v>110</v>
      </c>
      <c r="C562" s="69" t="str">
        <f>_xlfn.XLOOKUP(B:B,Master!A:A,Master!B:B)</f>
        <v>RPSPL-HY</v>
      </c>
      <c r="D562" s="509" t="s">
        <v>55</v>
      </c>
      <c r="E562" s="69" t="str">
        <f t="shared" si="44"/>
        <v>440302122</v>
      </c>
      <c r="F562" s="509" t="s">
        <v>56</v>
      </c>
      <c r="G562" s="70" t="str">
        <f>VLOOKUP(D562,Master!C:G,4,)</f>
        <v>T&amp;I</v>
      </c>
      <c r="H562" s="69" t="str">
        <f>VLOOKUP(D562,Master!C:G,5,)</f>
        <v>T&amp;I EX HP 2 KG</v>
      </c>
      <c r="I562" s="549">
        <v>20126.04</v>
      </c>
      <c r="J562" s="549">
        <v>8124</v>
      </c>
      <c r="K562" s="71">
        <f t="shared" si="45"/>
        <v>0.40365615888669604</v>
      </c>
      <c r="L562" s="549">
        <v>0</v>
      </c>
      <c r="M562" s="511"/>
      <c r="N562" s="549">
        <v>14412</v>
      </c>
      <c r="O562" s="549">
        <v>14412</v>
      </c>
      <c r="P562" s="72">
        <f t="shared" si="46"/>
        <v>-2409.9599999999991</v>
      </c>
      <c r="Q562" s="72">
        <f>IFERROR(IF(D562=20250,O562/(#REF!/30),O562/(I562/30)),0)</f>
        <v>21.482616550498754</v>
      </c>
      <c r="R562" s="72">
        <f t="shared" si="47"/>
        <v>21.482616550498754</v>
      </c>
      <c r="AC562"/>
      <c r="AD562"/>
      <c r="AE562"/>
      <c r="AF562"/>
      <c r="AG562"/>
      <c r="AH562"/>
      <c r="AI562"/>
      <c r="AJ562"/>
    </row>
    <row r="563" spans="1:36" ht="15">
      <c r="A563" s="352" t="str">
        <f t="shared" si="43"/>
        <v>440305159</v>
      </c>
      <c r="B563" s="509" t="s">
        <v>110</v>
      </c>
      <c r="C563" s="69" t="str">
        <f>_xlfn.XLOOKUP(B:B,Master!A:A,Master!B:B)</f>
        <v>RPSPL-HY</v>
      </c>
      <c r="D563" s="509" t="s">
        <v>57</v>
      </c>
      <c r="E563" s="69" t="str">
        <f t="shared" si="44"/>
        <v>440305159</v>
      </c>
      <c r="F563" s="509" t="s">
        <v>58</v>
      </c>
      <c r="G563" s="70" t="str">
        <f>VLOOKUP(D563,Master!C:G,4,)</f>
        <v>T&amp;I</v>
      </c>
      <c r="H563" s="69" t="str">
        <f>VLOOKUP(D563,Master!C:G,5,)</f>
        <v>T&amp;I EX HP</v>
      </c>
      <c r="I563" s="549">
        <v>43.44</v>
      </c>
      <c r="J563" s="549">
        <v>0</v>
      </c>
      <c r="K563" s="71">
        <f t="shared" si="45"/>
        <v>0</v>
      </c>
      <c r="L563" s="549">
        <v>0</v>
      </c>
      <c r="M563" s="511"/>
      <c r="N563" s="549">
        <v>72</v>
      </c>
      <c r="O563" s="549">
        <v>72</v>
      </c>
      <c r="P563" s="72">
        <f t="shared" si="46"/>
        <v>-28.560000000000002</v>
      </c>
      <c r="Q563" s="72">
        <f>IFERROR(IF(D563=20250,O563/(#REF!/30),O563/(I563/30)),0)</f>
        <v>49.723756906077348</v>
      </c>
      <c r="R563" s="72">
        <f t="shared" si="47"/>
        <v>49.723756906077348</v>
      </c>
      <c r="AC563"/>
      <c r="AD563"/>
      <c r="AE563"/>
      <c r="AF563"/>
      <c r="AG563"/>
      <c r="AH563"/>
      <c r="AI563"/>
      <c r="AJ563"/>
    </row>
    <row r="564" spans="1:36" ht="15">
      <c r="A564" s="352" t="str">
        <f t="shared" si="43"/>
        <v>440306982</v>
      </c>
      <c r="B564" s="509" t="s">
        <v>110</v>
      </c>
      <c r="C564" s="69" t="str">
        <f>_xlfn.XLOOKUP(B:B,Master!A:A,Master!B:B)</f>
        <v>RPSPL-HY</v>
      </c>
      <c r="D564" s="509" t="s">
        <v>59</v>
      </c>
      <c r="E564" s="69" t="str">
        <f t="shared" si="44"/>
        <v>440306982</v>
      </c>
      <c r="F564" s="509" t="s">
        <v>60</v>
      </c>
      <c r="G564" s="70" t="str">
        <f>VLOOKUP(D564,Master!C:G,4,)</f>
        <v>T&amp;I</v>
      </c>
      <c r="H564" s="69" t="str">
        <f>VLOOKUP(D564,Master!C:G,5,)</f>
        <v>T&amp;I Comm-UF</v>
      </c>
      <c r="I564" s="549">
        <v>3396.72</v>
      </c>
      <c r="J564" s="549">
        <v>2484</v>
      </c>
      <c r="K564" s="71">
        <f t="shared" si="45"/>
        <v>0.7312937186462235</v>
      </c>
      <c r="L564" s="549">
        <v>0</v>
      </c>
      <c r="M564" s="511"/>
      <c r="N564" s="549">
        <v>4596</v>
      </c>
      <c r="O564" s="549">
        <v>4596</v>
      </c>
      <c r="P564" s="72">
        <f t="shared" si="46"/>
        <v>-3683.28</v>
      </c>
      <c r="Q564" s="72">
        <f>IFERROR(IF(D564=20250,O564/(#REF!/30),O564/(I564/30)),0)</f>
        <v>40.592100614710667</v>
      </c>
      <c r="R564" s="72">
        <f t="shared" si="47"/>
        <v>40.592100614710667</v>
      </c>
      <c r="AC564"/>
      <c r="AD564"/>
      <c r="AE564"/>
      <c r="AF564"/>
      <c r="AG564"/>
      <c r="AH564"/>
      <c r="AI564"/>
      <c r="AJ564"/>
    </row>
    <row r="565" spans="1:36" ht="15">
      <c r="A565" s="352" t="str">
        <f t="shared" si="43"/>
        <v>440307310</v>
      </c>
      <c r="B565" s="509" t="s">
        <v>110</v>
      </c>
      <c r="C565" s="69" t="str">
        <f>_xlfn.XLOOKUP(B:B,Master!A:A,Master!B:B)</f>
        <v>RPSPL-HY</v>
      </c>
      <c r="D565" s="509" t="s">
        <v>19</v>
      </c>
      <c r="E565" s="69" t="str">
        <f t="shared" si="44"/>
        <v>440307310</v>
      </c>
      <c r="F565" s="509" t="s">
        <v>20</v>
      </c>
      <c r="G565" s="70" t="str">
        <f>VLOOKUP(D565,Master!C:G,4,)</f>
        <v>T&amp;I</v>
      </c>
      <c r="H565" s="69" t="str">
        <f>VLOOKUP(D565,Master!C:G,5,)</f>
        <v>T&amp;I Comm -HP</v>
      </c>
      <c r="I565" s="549">
        <v>31845</v>
      </c>
      <c r="J565" s="549">
        <v>13716</v>
      </c>
      <c r="K565" s="71">
        <f t="shared" si="45"/>
        <v>0.43071125765426282</v>
      </c>
      <c r="L565" s="549">
        <v>6768</v>
      </c>
      <c r="M565" s="511">
        <v>46164</v>
      </c>
      <c r="N565" s="549">
        <v>33156</v>
      </c>
      <c r="O565" s="549">
        <v>39924</v>
      </c>
      <c r="P565" s="72">
        <f t="shared" si="46"/>
        <v>-21795</v>
      </c>
      <c r="Q565" s="72">
        <f>IFERROR(IF(D565=20250,O565/(#REF!/30),O565/(I565/30)),0)</f>
        <v>37.610927932171457</v>
      </c>
      <c r="R565" s="72">
        <f t="shared" si="47"/>
        <v>31.235044747998117</v>
      </c>
      <c r="AC565"/>
      <c r="AD565"/>
      <c r="AE565"/>
      <c r="AF565"/>
      <c r="AG565"/>
      <c r="AH565"/>
      <c r="AI565"/>
      <c r="AJ565"/>
    </row>
    <row r="566" spans="1:36" ht="15">
      <c r="A566" s="352" t="str">
        <f t="shared" si="43"/>
        <v>440308529</v>
      </c>
      <c r="B566" s="509" t="s">
        <v>110</v>
      </c>
      <c r="C566" s="69" t="str">
        <f>_xlfn.XLOOKUP(B:B,Master!A:A,Master!B:B)</f>
        <v>RPSPL-HY</v>
      </c>
      <c r="D566" s="509" t="s">
        <v>61</v>
      </c>
      <c r="E566" s="69" t="str">
        <f t="shared" si="44"/>
        <v>440308529</v>
      </c>
      <c r="F566" s="509" t="s">
        <v>62</v>
      </c>
      <c r="G566" s="70" t="str">
        <f>VLOOKUP(D566,Master!C:G,4,)</f>
        <v>T&amp;I</v>
      </c>
      <c r="H566" s="69" t="str">
        <f>VLOOKUP(D566,Master!C:G,5,)</f>
        <v>T&amp;I EX HP 2 KG</v>
      </c>
      <c r="I566" s="549">
        <v>15171.24</v>
      </c>
      <c r="J566" s="549">
        <v>8940</v>
      </c>
      <c r="K566" s="71">
        <f t="shared" si="45"/>
        <v>0.58927286101861154</v>
      </c>
      <c r="L566" s="549">
        <v>3996</v>
      </c>
      <c r="M566" s="511">
        <v>46162</v>
      </c>
      <c r="N566" s="549">
        <v>7608</v>
      </c>
      <c r="O566" s="549">
        <v>11604</v>
      </c>
      <c r="P566" s="72">
        <f t="shared" si="46"/>
        <v>-5372.76</v>
      </c>
      <c r="Q566" s="72">
        <f>IFERROR(IF(D566=20250,O566/(#REF!/30),O566/(I566/30)),0)</f>
        <v>22.946047916979762</v>
      </c>
      <c r="R566" s="72">
        <f t="shared" si="47"/>
        <v>15.04425478734764</v>
      </c>
      <c r="AC566"/>
      <c r="AD566"/>
      <c r="AE566"/>
      <c r="AF566"/>
      <c r="AG566"/>
      <c r="AH566"/>
      <c r="AI566"/>
      <c r="AJ566"/>
    </row>
    <row r="567" spans="1:36" ht="15">
      <c r="A567" s="352" t="str">
        <f t="shared" si="43"/>
        <v>440313179</v>
      </c>
      <c r="B567" s="509" t="s">
        <v>110</v>
      </c>
      <c r="C567" s="69" t="str">
        <f>_xlfn.XLOOKUP(B:B,Master!A:A,Master!B:B)</f>
        <v>RPSPL-HY</v>
      </c>
      <c r="D567" s="509" t="s">
        <v>22</v>
      </c>
      <c r="E567" s="69" t="str">
        <f t="shared" si="44"/>
        <v>440313179</v>
      </c>
      <c r="F567" s="509" t="s">
        <v>23</v>
      </c>
      <c r="G567" s="70" t="str">
        <f>VLOOKUP(D567,Master!C:G,4,)</f>
        <v>T&amp;I</v>
      </c>
      <c r="H567" s="69" t="str">
        <f>VLOOKUP(D567,Master!C:G,5,)</f>
        <v>T&amp;I EX HP 2 KG</v>
      </c>
      <c r="I567" s="549">
        <v>75153.36</v>
      </c>
      <c r="J567" s="549">
        <v>51984</v>
      </c>
      <c r="K567" s="71">
        <f t="shared" si="45"/>
        <v>0.69170560038832596</v>
      </c>
      <c r="L567" s="549">
        <v>9516</v>
      </c>
      <c r="M567" s="511">
        <v>46164</v>
      </c>
      <c r="N567" s="549">
        <v>16080</v>
      </c>
      <c r="O567" s="549">
        <v>25596</v>
      </c>
      <c r="P567" s="72">
        <f t="shared" si="46"/>
        <v>-2426.6399999999994</v>
      </c>
      <c r="Q567" s="72">
        <f>IFERROR(IF(D567=20250,O567/(#REF!/30),O567/(I567/30)),0)</f>
        <v>10.217507241193207</v>
      </c>
      <c r="R567" s="72">
        <f t="shared" si="47"/>
        <v>6.4188746850440221</v>
      </c>
      <c r="AC567"/>
      <c r="AD567"/>
      <c r="AE567"/>
      <c r="AF567"/>
      <c r="AG567"/>
      <c r="AH567"/>
      <c r="AI567"/>
      <c r="AJ567"/>
    </row>
    <row r="568" spans="1:36" ht="15">
      <c r="A568" s="352" t="str">
        <f t="shared" si="43"/>
        <v>440313678</v>
      </c>
      <c r="B568" s="509" t="s">
        <v>110</v>
      </c>
      <c r="C568" s="69" t="str">
        <f>_xlfn.XLOOKUP(B:B,Master!A:A,Master!B:B)</f>
        <v>RPSPL-HY</v>
      </c>
      <c r="D568" s="509" t="s">
        <v>65</v>
      </c>
      <c r="E568" s="69" t="str">
        <f t="shared" si="44"/>
        <v>440313678</v>
      </c>
      <c r="F568" s="509" t="s">
        <v>66</v>
      </c>
      <c r="G568" s="70" t="str">
        <f>VLOOKUP(D568,Master!C:G,4,)</f>
        <v>T&amp;I</v>
      </c>
      <c r="H568" s="69" t="str">
        <f>VLOOKUP(D568,Master!C:G,5,)</f>
        <v>T&amp;I EX HP</v>
      </c>
      <c r="I568" s="549">
        <v>9404.76</v>
      </c>
      <c r="J568" s="549">
        <v>6924</v>
      </c>
      <c r="K568" s="71">
        <f t="shared" si="45"/>
        <v>0.73622293391856886</v>
      </c>
      <c r="L568" s="549">
        <v>1008</v>
      </c>
      <c r="M568" s="511">
        <v>46162</v>
      </c>
      <c r="N568" s="549">
        <v>5868</v>
      </c>
      <c r="O568" s="549">
        <v>6876</v>
      </c>
      <c r="P568" s="72">
        <f t="shared" si="46"/>
        <v>-4395.24</v>
      </c>
      <c r="Q568" s="72">
        <f>IFERROR(IF(D568=20250,O568/(#REF!/30),O568/(I568/30)),0)</f>
        <v>21.93357406249601</v>
      </c>
      <c r="R568" s="72">
        <f t="shared" si="47"/>
        <v>18.718181006213875</v>
      </c>
      <c r="AC568"/>
      <c r="AD568"/>
      <c r="AE568"/>
      <c r="AF568"/>
      <c r="AG568"/>
      <c r="AH568"/>
      <c r="AI568"/>
      <c r="AJ568"/>
    </row>
    <row r="569" spans="1:36" ht="15">
      <c r="A569" s="352" t="str">
        <f t="shared" si="43"/>
        <v>440314654</v>
      </c>
      <c r="B569" s="509" t="s">
        <v>110</v>
      </c>
      <c r="C569" s="69" t="str">
        <f>_xlfn.XLOOKUP(B:B,Master!A:A,Master!B:B)</f>
        <v>RPSPL-HY</v>
      </c>
      <c r="D569" s="509" t="s">
        <v>67</v>
      </c>
      <c r="E569" s="69" t="str">
        <f t="shared" si="44"/>
        <v>440314654</v>
      </c>
      <c r="F569" s="509" t="s">
        <v>68</v>
      </c>
      <c r="G569" s="70" t="str">
        <f>VLOOKUP(D569,Master!C:G,4,)</f>
        <v>T&amp;I</v>
      </c>
      <c r="H569" s="69" t="str">
        <f>VLOOKUP(D569,Master!C:G,5,)</f>
        <v>T&amp;I Comm-UF</v>
      </c>
      <c r="I569" s="549">
        <v>6505.68</v>
      </c>
      <c r="J569" s="549">
        <v>3996</v>
      </c>
      <c r="K569" s="71">
        <f t="shared" si="45"/>
        <v>0.61423248607370784</v>
      </c>
      <c r="L569" s="549">
        <v>0</v>
      </c>
      <c r="M569" s="511"/>
      <c r="N569" s="549">
        <v>2568</v>
      </c>
      <c r="O569" s="549">
        <v>2568</v>
      </c>
      <c r="P569" s="72">
        <f t="shared" si="46"/>
        <v>-58.319999999999709</v>
      </c>
      <c r="Q569" s="72">
        <f>IFERROR(IF(D569=20250,O569/(#REF!/30),O569/(I569/30)),0)</f>
        <v>11.841959641421035</v>
      </c>
      <c r="R569" s="72">
        <f t="shared" si="47"/>
        <v>11.841959641421035</v>
      </c>
      <c r="AC569"/>
      <c r="AD569"/>
      <c r="AE569"/>
      <c r="AF569"/>
      <c r="AG569"/>
      <c r="AH569"/>
      <c r="AI569"/>
      <c r="AJ569"/>
    </row>
    <row r="570" spans="1:36" ht="15">
      <c r="A570" s="352" t="str">
        <f t="shared" si="43"/>
        <v>440314788</v>
      </c>
      <c r="B570" s="509" t="s">
        <v>110</v>
      </c>
      <c r="C570" s="69" t="str">
        <f>_xlfn.XLOOKUP(B:B,Master!A:A,Master!B:B)</f>
        <v>RPSPL-HY</v>
      </c>
      <c r="D570" s="509" t="s">
        <v>69</v>
      </c>
      <c r="E570" s="69" t="str">
        <f t="shared" si="44"/>
        <v>440314788</v>
      </c>
      <c r="F570" s="509" t="s">
        <v>70</v>
      </c>
      <c r="G570" s="70" t="str">
        <f>VLOOKUP(D570,Master!C:G,4,)</f>
        <v>T&amp;I</v>
      </c>
      <c r="H570" s="69" t="str">
        <f>VLOOKUP(D570,Master!C:G,5,)</f>
        <v>T&amp;I EX HP</v>
      </c>
      <c r="I570" s="549">
        <v>720.48</v>
      </c>
      <c r="J570" s="549">
        <v>84</v>
      </c>
      <c r="K570" s="71">
        <f t="shared" si="45"/>
        <v>0.11658894070619587</v>
      </c>
      <c r="L570" s="549">
        <v>0</v>
      </c>
      <c r="M570" s="511"/>
      <c r="N570" s="549">
        <v>1356</v>
      </c>
      <c r="O570" s="549">
        <v>1356</v>
      </c>
      <c r="P570" s="72">
        <f t="shared" si="46"/>
        <v>-719.52</v>
      </c>
      <c r="Q570" s="72">
        <f>IFERROR(IF(D570=20250,O570/(#REF!/30),O570/(I570/30)),0)</f>
        <v>56.462358427714854</v>
      </c>
      <c r="R570" s="72">
        <f t="shared" si="47"/>
        <v>56.462358427714854</v>
      </c>
      <c r="AC570"/>
      <c r="AD570"/>
      <c r="AE570"/>
      <c r="AF570"/>
      <c r="AG570"/>
      <c r="AH570"/>
      <c r="AI570"/>
      <c r="AJ570"/>
    </row>
    <row r="571" spans="1:36" ht="15">
      <c r="A571" s="352" t="str">
        <f t="shared" si="43"/>
        <v>440315536</v>
      </c>
      <c r="B571" s="509" t="s">
        <v>110</v>
      </c>
      <c r="C571" s="69" t="str">
        <f>_xlfn.XLOOKUP(B:B,Master!A:A,Master!B:B)</f>
        <v>RPSPL-HY</v>
      </c>
      <c r="D571" s="509" t="s">
        <v>71</v>
      </c>
      <c r="E571" s="69" t="str">
        <f t="shared" si="44"/>
        <v>440315536</v>
      </c>
      <c r="F571" s="509" t="s">
        <v>72</v>
      </c>
      <c r="G571" s="70" t="str">
        <f>VLOOKUP(D571,Master!C:G,4,)</f>
        <v>Ganache</v>
      </c>
      <c r="H571" s="69" t="str">
        <f>VLOOKUP(D571,Master!C:G,5,)</f>
        <v>Ganache- UF</v>
      </c>
      <c r="I571" s="549">
        <v>13850.28</v>
      </c>
      <c r="J571" s="549">
        <v>8532</v>
      </c>
      <c r="K571" s="71">
        <f t="shared" si="45"/>
        <v>0.61601642710472271</v>
      </c>
      <c r="L571" s="549">
        <v>2400</v>
      </c>
      <c r="M571" s="511">
        <v>46164</v>
      </c>
      <c r="N571" s="549">
        <v>7560</v>
      </c>
      <c r="O571" s="549">
        <v>9960</v>
      </c>
      <c r="P571" s="72">
        <f t="shared" si="46"/>
        <v>-4641.7199999999993</v>
      </c>
      <c r="Q571" s="72">
        <f>IFERROR(IF(D571=20250,O571/(#REF!/30),O571/(I571/30)),0)</f>
        <v>21.573571075819405</v>
      </c>
      <c r="R571" s="72">
        <f t="shared" si="47"/>
        <v>16.375120214176174</v>
      </c>
      <c r="AC571"/>
      <c r="AD571"/>
      <c r="AE571"/>
      <c r="AF571"/>
      <c r="AG571"/>
      <c r="AH571"/>
      <c r="AI571"/>
      <c r="AJ571"/>
    </row>
    <row r="572" spans="1:36" ht="15">
      <c r="A572" s="352" t="str">
        <f t="shared" si="43"/>
        <v>440315906</v>
      </c>
      <c r="B572" s="509" t="s">
        <v>110</v>
      </c>
      <c r="C572" s="69" t="str">
        <f>_xlfn.XLOOKUP(B:B,Master!A:A,Master!B:B)</f>
        <v>RPSPL-HY</v>
      </c>
      <c r="D572" s="509" t="s">
        <v>74</v>
      </c>
      <c r="E572" s="69" t="str">
        <f t="shared" si="44"/>
        <v>440315906</v>
      </c>
      <c r="F572" s="509" t="s">
        <v>75</v>
      </c>
      <c r="G572" s="70" t="str">
        <f>VLOOKUP(D572,Master!C:G,4,)</f>
        <v>T&amp;I</v>
      </c>
      <c r="H572" s="69" t="str">
        <f>VLOOKUP(D572,Master!C:G,5,)</f>
        <v>T&amp;I EX HP</v>
      </c>
      <c r="I572" s="549">
        <v>245.28</v>
      </c>
      <c r="J572" s="549">
        <v>0</v>
      </c>
      <c r="K572" s="71">
        <f t="shared" si="45"/>
        <v>0</v>
      </c>
      <c r="L572" s="549">
        <v>0</v>
      </c>
      <c r="M572" s="511"/>
      <c r="N572" s="549">
        <v>360</v>
      </c>
      <c r="O572" s="549">
        <v>360</v>
      </c>
      <c r="P572" s="72">
        <f t="shared" si="46"/>
        <v>-114.72</v>
      </c>
      <c r="Q572" s="72">
        <f>IFERROR(IF(D572=20250,O572/(#REF!/30),O572/(I572/30)),0)</f>
        <v>44.031311154598825</v>
      </c>
      <c r="R572" s="72">
        <f t="shared" si="47"/>
        <v>44.031311154598825</v>
      </c>
      <c r="AC572"/>
      <c r="AD572"/>
      <c r="AE572"/>
      <c r="AF572"/>
      <c r="AG572"/>
      <c r="AH572"/>
      <c r="AI572"/>
      <c r="AJ572"/>
    </row>
    <row r="573" spans="1:36" ht="15">
      <c r="A573" s="352" t="str">
        <f t="shared" si="43"/>
        <v>440316336</v>
      </c>
      <c r="B573" s="509" t="s">
        <v>110</v>
      </c>
      <c r="C573" s="69" t="str">
        <f>_xlfn.XLOOKUP(B:B,Master!A:A,Master!B:B)</f>
        <v>RPSPL-HY</v>
      </c>
      <c r="D573" s="509" t="s">
        <v>24</v>
      </c>
      <c r="E573" s="69" t="str">
        <f t="shared" si="44"/>
        <v>440316336</v>
      </c>
      <c r="F573" s="509" t="s">
        <v>25</v>
      </c>
      <c r="G573" s="70" t="str">
        <f>VLOOKUP(D573,Master!C:G,4,)</f>
        <v>T&amp;I</v>
      </c>
      <c r="H573" s="69" t="str">
        <f>VLOOKUP(D573,Master!C:G,5,)</f>
        <v>T&amp;I Comm-UF</v>
      </c>
      <c r="I573" s="549">
        <v>18945.240000000002</v>
      </c>
      <c r="J573" s="549">
        <v>13896</v>
      </c>
      <c r="K573" s="71">
        <f t="shared" si="45"/>
        <v>0.73348239452231789</v>
      </c>
      <c r="L573" s="549">
        <v>19200</v>
      </c>
      <c r="M573" s="511">
        <v>46163</v>
      </c>
      <c r="N573" s="549">
        <v>19392</v>
      </c>
      <c r="O573" s="549">
        <v>38592</v>
      </c>
      <c r="P573" s="72">
        <f t="shared" si="46"/>
        <v>-33542.759999999995</v>
      </c>
      <c r="Q573" s="72">
        <f>IFERROR(IF(D573=20250,O573/(#REF!/30),O573/(I573/30)),0)</f>
        <v>61.110864787144422</v>
      </c>
      <c r="R573" s="72">
        <f t="shared" si="47"/>
        <v>30.707449470157147</v>
      </c>
      <c r="AC573"/>
      <c r="AD573"/>
      <c r="AE573"/>
      <c r="AF573"/>
      <c r="AG573"/>
      <c r="AH573"/>
      <c r="AI573"/>
      <c r="AJ573"/>
    </row>
    <row r="574" spans="1:36" ht="15">
      <c r="A574" s="352" t="str">
        <f t="shared" si="43"/>
        <v>440316984</v>
      </c>
      <c r="B574" s="509" t="s">
        <v>110</v>
      </c>
      <c r="C574" s="69" t="str">
        <f>_xlfn.XLOOKUP(B:B,Master!A:A,Master!B:B)</f>
        <v>RPSPL-HY</v>
      </c>
      <c r="D574" s="509" t="s">
        <v>78</v>
      </c>
      <c r="E574" s="69" t="str">
        <f t="shared" si="44"/>
        <v>440316984</v>
      </c>
      <c r="F574" s="509" t="s">
        <v>79</v>
      </c>
      <c r="G574" s="70" t="str">
        <f>VLOOKUP(D574,Master!C:G,4,)</f>
        <v>T&amp;I</v>
      </c>
      <c r="H574" s="69" t="str">
        <f>VLOOKUP(D574,Master!C:G,5,)</f>
        <v>T&amp;I EX HP</v>
      </c>
      <c r="I574" s="549">
        <v>135.47999999999999</v>
      </c>
      <c r="J574" s="549">
        <v>84</v>
      </c>
      <c r="K574" s="71">
        <f t="shared" si="45"/>
        <v>0.62001771479185119</v>
      </c>
      <c r="L574" s="549">
        <v>0</v>
      </c>
      <c r="M574" s="511"/>
      <c r="N574" s="549">
        <v>432</v>
      </c>
      <c r="O574" s="549">
        <v>432</v>
      </c>
      <c r="P574" s="72">
        <f t="shared" si="46"/>
        <v>-380.52</v>
      </c>
      <c r="Q574" s="72">
        <f>IFERROR(IF(D574=20250,O574/(#REF!/30),O574/(I574/30)),0)</f>
        <v>95.659875996457046</v>
      </c>
      <c r="R574" s="72">
        <f t="shared" si="47"/>
        <v>95.659875996457046</v>
      </c>
      <c r="AC574"/>
      <c r="AD574"/>
      <c r="AE574"/>
      <c r="AF574"/>
      <c r="AG574"/>
      <c r="AH574"/>
      <c r="AI574"/>
      <c r="AJ574"/>
    </row>
    <row r="575" spans="1:36" ht="15">
      <c r="A575" s="352" t="str">
        <f t="shared" si="43"/>
        <v>440316998</v>
      </c>
      <c r="B575" s="509" t="s">
        <v>110</v>
      </c>
      <c r="C575" s="69" t="str">
        <f>_xlfn.XLOOKUP(B:B,Master!A:A,Master!B:B)</f>
        <v>RPSPL-HY</v>
      </c>
      <c r="D575" s="509" t="s">
        <v>80</v>
      </c>
      <c r="E575" s="69" t="str">
        <f t="shared" si="44"/>
        <v>440316998</v>
      </c>
      <c r="F575" s="509" t="s">
        <v>81</v>
      </c>
      <c r="G575" s="70" t="str">
        <f>VLOOKUP(D575,Master!C:G,4,)</f>
        <v>T&amp;I</v>
      </c>
      <c r="H575" s="69" t="str">
        <f>VLOOKUP(D575,Master!C:G,5,)</f>
        <v>T&amp;I EX UF</v>
      </c>
      <c r="I575" s="549">
        <v>24.72</v>
      </c>
      <c r="J575" s="549">
        <v>0</v>
      </c>
      <c r="K575" s="71">
        <f t="shared" si="45"/>
        <v>0</v>
      </c>
      <c r="L575" s="549">
        <v>0</v>
      </c>
      <c r="M575" s="511"/>
      <c r="N575" s="549">
        <v>108</v>
      </c>
      <c r="O575" s="549">
        <v>108</v>
      </c>
      <c r="P575" s="72">
        <f t="shared" si="46"/>
        <v>-83.28</v>
      </c>
      <c r="Q575" s="72">
        <f>IFERROR(IF(D575=20250,O575/(#REF!/30),O575/(I575/30)),0)</f>
        <v>131.06796116504856</v>
      </c>
      <c r="R575" s="72">
        <f t="shared" si="47"/>
        <v>131.06796116504856</v>
      </c>
      <c r="AC575"/>
      <c r="AD575"/>
      <c r="AE575"/>
      <c r="AF575"/>
      <c r="AG575"/>
      <c r="AH575"/>
      <c r="AI575"/>
      <c r="AJ575"/>
    </row>
    <row r="576" spans="1:36" ht="15">
      <c r="A576" s="352" t="str">
        <f t="shared" si="43"/>
        <v>440318098</v>
      </c>
      <c r="B576" s="509" t="s">
        <v>110</v>
      </c>
      <c r="C576" s="69" t="str">
        <f>_xlfn.XLOOKUP(B:B,Master!A:A,Master!B:B)</f>
        <v>RPSPL-HY</v>
      </c>
      <c r="D576" s="509" t="s">
        <v>84</v>
      </c>
      <c r="E576" s="69" t="str">
        <f t="shared" si="44"/>
        <v>440318098</v>
      </c>
      <c r="F576" s="509" t="s">
        <v>1222</v>
      </c>
      <c r="G576" s="70" t="str">
        <f>VLOOKUP(D576,Master!C:G,4,)</f>
        <v>T&amp;I</v>
      </c>
      <c r="H576" s="69" t="str">
        <f>VLOOKUP(D576,Master!C:G,5,)</f>
        <v>T&amp;I EX HP</v>
      </c>
      <c r="I576" s="549">
        <v>49.44</v>
      </c>
      <c r="J576" s="549">
        <v>0</v>
      </c>
      <c r="K576" s="71">
        <f t="shared" si="45"/>
        <v>0</v>
      </c>
      <c r="L576" s="549">
        <v>0</v>
      </c>
      <c r="M576" s="511"/>
      <c r="N576" s="549">
        <v>48</v>
      </c>
      <c r="O576" s="549">
        <v>48</v>
      </c>
      <c r="P576" s="72">
        <f t="shared" si="46"/>
        <v>1.4399999999999977</v>
      </c>
      <c r="Q576" s="72">
        <f>IFERROR(IF(D576=20250,O576/(#REF!/30),O576/(I576/30)),0)</f>
        <v>29.126213592233011</v>
      </c>
      <c r="R576" s="72">
        <f t="shared" si="47"/>
        <v>29.126213592233011</v>
      </c>
      <c r="AC576"/>
      <c r="AD576"/>
      <c r="AE576"/>
      <c r="AF576"/>
      <c r="AG576"/>
      <c r="AH576"/>
      <c r="AI576"/>
      <c r="AJ576"/>
    </row>
    <row r="577" spans="1:36" ht="15">
      <c r="A577" s="352" t="str">
        <f t="shared" si="43"/>
        <v>440320308</v>
      </c>
      <c r="B577" s="509" t="s">
        <v>110</v>
      </c>
      <c r="C577" s="69" t="str">
        <f>_xlfn.XLOOKUP(B:B,Master!A:A,Master!B:B)</f>
        <v>RPSPL-HY</v>
      </c>
      <c r="D577" s="509" t="s">
        <v>146</v>
      </c>
      <c r="E577" s="69" t="str">
        <f t="shared" si="44"/>
        <v>440320308</v>
      </c>
      <c r="F577" s="509" t="s">
        <v>902</v>
      </c>
      <c r="G577" s="70" t="str">
        <f>VLOOKUP(D577,Master!C:G,4,)</f>
        <v>T&amp;I</v>
      </c>
      <c r="H577" s="69" t="str">
        <f>VLOOKUP(D577,Master!C:G,5,)</f>
        <v>T&amp;I EX HP 2 KG</v>
      </c>
      <c r="I577" s="549">
        <v>15178.2</v>
      </c>
      <c r="J577" s="549">
        <v>7812</v>
      </c>
      <c r="K577" s="71">
        <f t="shared" si="45"/>
        <v>0.51468553583428867</v>
      </c>
      <c r="L577" s="549">
        <v>2400</v>
      </c>
      <c r="M577" s="511">
        <v>46162</v>
      </c>
      <c r="N577" s="549">
        <v>10632</v>
      </c>
      <c r="O577" s="549">
        <v>13032</v>
      </c>
      <c r="P577" s="72">
        <f t="shared" si="46"/>
        <v>-5665.7999999999993</v>
      </c>
      <c r="Q577" s="72">
        <f>IFERROR(IF(D577=20250,O577/(#REF!/30),O577/(I577/30)),0)</f>
        <v>25.757995019172235</v>
      </c>
      <c r="R577" s="72">
        <f t="shared" si="47"/>
        <v>21.014349527611969</v>
      </c>
      <c r="AC577"/>
      <c r="AD577"/>
      <c r="AE577"/>
      <c r="AF577"/>
      <c r="AG577"/>
      <c r="AH577"/>
      <c r="AI577"/>
      <c r="AJ577"/>
    </row>
    <row r="578" spans="1:36" ht="15">
      <c r="A578" s="352" t="str">
        <f t="shared" si="43"/>
        <v>440320827</v>
      </c>
      <c r="B578" s="509" t="s">
        <v>110</v>
      </c>
      <c r="C578" s="69" t="str">
        <f>_xlfn.XLOOKUP(B:B,Master!A:A,Master!B:B)</f>
        <v>RPSPL-HY</v>
      </c>
      <c r="D578" s="509" t="s">
        <v>149</v>
      </c>
      <c r="E578" s="69" t="str">
        <f t="shared" si="44"/>
        <v>440320827</v>
      </c>
      <c r="F578" s="509" t="s">
        <v>150</v>
      </c>
      <c r="G578" s="70" t="str">
        <f>VLOOKUP(D578,Master!C:G,4,)</f>
        <v>Ganache</v>
      </c>
      <c r="H578" s="69" t="str">
        <f>VLOOKUP(D578,Master!C:G,5,)</f>
        <v>Ganache- UF</v>
      </c>
      <c r="I578" s="549">
        <v>2199.96</v>
      </c>
      <c r="J578" s="549">
        <v>2160</v>
      </c>
      <c r="K578" s="71">
        <f t="shared" si="45"/>
        <v>0.98183603338242509</v>
      </c>
      <c r="L578" s="549">
        <v>0</v>
      </c>
      <c r="M578" s="511"/>
      <c r="N578" s="549">
        <v>1188</v>
      </c>
      <c r="O578" s="549">
        <v>1188</v>
      </c>
      <c r="P578" s="72">
        <f t="shared" si="46"/>
        <v>-1148.04</v>
      </c>
      <c r="Q578" s="72">
        <f>IFERROR(IF(D578=20250,O578/(#REF!/30),O578/(I578/30)),0)</f>
        <v>16.200294550810014</v>
      </c>
      <c r="R578" s="72">
        <f t="shared" si="47"/>
        <v>16.200294550810014</v>
      </c>
      <c r="AC578"/>
      <c r="AD578"/>
      <c r="AE578"/>
      <c r="AF578"/>
      <c r="AG578"/>
      <c r="AH578"/>
      <c r="AI578"/>
      <c r="AJ578"/>
    </row>
    <row r="579" spans="1:36" ht="15">
      <c r="A579" s="352" t="str">
        <f t="shared" si="43"/>
        <v>440321910</v>
      </c>
      <c r="B579" s="509" t="s">
        <v>110</v>
      </c>
      <c r="C579" s="69" t="str">
        <f>_xlfn.XLOOKUP(B:B,Master!A:A,Master!B:B)</f>
        <v>RPSPL-HY</v>
      </c>
      <c r="D579" s="509" t="s">
        <v>180</v>
      </c>
      <c r="E579" s="69" t="str">
        <f t="shared" si="44"/>
        <v>440321910</v>
      </c>
      <c r="F579" s="509" t="s">
        <v>181</v>
      </c>
      <c r="G579" s="70" t="str">
        <f>VLOOKUP(D579,Master!C:G,4,)</f>
        <v>T&amp;I</v>
      </c>
      <c r="H579" s="69" t="str">
        <f>VLOOKUP(D579,Master!C:G,5,)</f>
        <v>T&amp;I EX HP 2 KG</v>
      </c>
      <c r="I579" s="549">
        <v>36.6</v>
      </c>
      <c r="J579" s="549">
        <v>0</v>
      </c>
      <c r="K579" s="71">
        <f t="shared" si="45"/>
        <v>0</v>
      </c>
      <c r="L579" s="549">
        <v>0</v>
      </c>
      <c r="M579" s="511"/>
      <c r="N579" s="549">
        <v>96</v>
      </c>
      <c r="O579" s="549">
        <v>96</v>
      </c>
      <c r="P579" s="72">
        <f t="shared" si="46"/>
        <v>-59.4</v>
      </c>
      <c r="Q579" s="72">
        <f>IFERROR(IF(D579=20250,O579/(#REF!/30),O579/(I579/30)),0)</f>
        <v>78.688524590163937</v>
      </c>
      <c r="R579" s="72">
        <f t="shared" si="47"/>
        <v>78.688524590163937</v>
      </c>
      <c r="AC579"/>
      <c r="AD579"/>
      <c r="AE579"/>
      <c r="AF579"/>
      <c r="AG579"/>
      <c r="AH579"/>
      <c r="AI579"/>
      <c r="AJ579"/>
    </row>
    <row r="580" spans="1:36" ht="15">
      <c r="A580" s="352" t="str">
        <f t="shared" si="43"/>
        <v>440323081</v>
      </c>
      <c r="B580" s="509" t="s">
        <v>110</v>
      </c>
      <c r="C580" s="69" t="str">
        <f>_xlfn.XLOOKUP(B:B,Master!A:A,Master!B:B)</f>
        <v>RPSPL-HY</v>
      </c>
      <c r="D580" s="509" t="s">
        <v>189</v>
      </c>
      <c r="E580" s="69" t="str">
        <f t="shared" si="44"/>
        <v>440323081</v>
      </c>
      <c r="F580" s="509" t="s">
        <v>190</v>
      </c>
      <c r="G580" s="70" t="str">
        <f>VLOOKUP(D580,Master!C:G,4,)</f>
        <v>T&amp;I</v>
      </c>
      <c r="H580" s="69" t="str">
        <f>VLOOKUP(D580,Master!C:G,5,)</f>
        <v>T&amp;I EX HP</v>
      </c>
      <c r="I580" s="549">
        <v>744.24</v>
      </c>
      <c r="J580" s="549">
        <v>528</v>
      </c>
      <c r="K580" s="71">
        <f t="shared" si="45"/>
        <v>0.70944856497903896</v>
      </c>
      <c r="L580" s="549">
        <v>240</v>
      </c>
      <c r="M580" s="511">
        <v>46162</v>
      </c>
      <c r="N580" s="549">
        <v>276</v>
      </c>
      <c r="O580" s="549">
        <v>516</v>
      </c>
      <c r="P580" s="72">
        <f t="shared" si="46"/>
        <v>-299.76</v>
      </c>
      <c r="Q580" s="72">
        <f>IFERROR(IF(D580=20250,O580/(#REF!/30),O580/(I580/30)),0)</f>
        <v>20.799742018703643</v>
      </c>
      <c r="R580" s="72">
        <f t="shared" si="47"/>
        <v>11.125443405353112</v>
      </c>
      <c r="AC580"/>
      <c r="AD580"/>
      <c r="AE580"/>
      <c r="AF580"/>
      <c r="AG580"/>
      <c r="AH580"/>
      <c r="AI580"/>
      <c r="AJ580"/>
    </row>
    <row r="581" spans="1:36" ht="15">
      <c r="A581" s="352" t="str">
        <f t="shared" ref="A581:A627" si="48">B581&amp;D581</f>
        <v>440323401</v>
      </c>
      <c r="B581" s="509" t="s">
        <v>110</v>
      </c>
      <c r="C581" s="69" t="str">
        <f>_xlfn.XLOOKUP(B:B,Master!A:A,Master!B:B)</f>
        <v>RPSPL-HY</v>
      </c>
      <c r="D581" s="509" t="s">
        <v>194</v>
      </c>
      <c r="E581" s="69" t="str">
        <f t="shared" ref="E581:E627" si="49">B581&amp;D581</f>
        <v>440323401</v>
      </c>
      <c r="F581" s="509" t="s">
        <v>195</v>
      </c>
      <c r="G581" s="70" t="str">
        <f>VLOOKUP(D581,Master!C:G,4,)</f>
        <v>T&amp;I</v>
      </c>
      <c r="H581" s="69" t="str">
        <f>VLOOKUP(D581,Master!C:G,5,)</f>
        <v>T&amp;I EX UF</v>
      </c>
      <c r="I581" s="549">
        <v>13826.52</v>
      </c>
      <c r="J581" s="549">
        <v>6252</v>
      </c>
      <c r="K581" s="71">
        <f t="shared" ref="K581:K627" si="50">IFERROR(J581/I581,0)</f>
        <v>0.45217451679815313</v>
      </c>
      <c r="L581" s="549">
        <v>0</v>
      </c>
      <c r="M581" s="511"/>
      <c r="N581" s="549">
        <v>4500</v>
      </c>
      <c r="O581" s="549">
        <v>4500</v>
      </c>
      <c r="P581" s="72">
        <f t="shared" ref="P581:P618" si="51">I581-J581-O581</f>
        <v>3074.5200000000004</v>
      </c>
      <c r="Q581" s="72">
        <f>IFERROR(IF(D581=20250,O581/(#REF!/30),O581/(I581/30)),0)</f>
        <v>9.7638451323977389</v>
      </c>
      <c r="R581" s="72">
        <f t="shared" ref="R581:R618" si="52">IFERROR(N581/(I581/30),0)</f>
        <v>9.7638451323977389</v>
      </c>
      <c r="AC581"/>
      <c r="AD581"/>
      <c r="AE581"/>
      <c r="AF581"/>
      <c r="AG581"/>
      <c r="AH581"/>
      <c r="AI581"/>
      <c r="AJ581"/>
    </row>
    <row r="582" spans="1:36" ht="15">
      <c r="A582" s="352" t="str">
        <f t="shared" si="48"/>
        <v>440323890</v>
      </c>
      <c r="B582" s="509" t="s">
        <v>110</v>
      </c>
      <c r="C582" s="69" t="str">
        <f>_xlfn.XLOOKUP(B:B,Master!A:A,Master!B:B)</f>
        <v>RPSPL-HY</v>
      </c>
      <c r="D582" s="509" t="s">
        <v>778</v>
      </c>
      <c r="E582" s="69" t="str">
        <f t="shared" si="49"/>
        <v>440323890</v>
      </c>
      <c r="F582" s="509" t="s">
        <v>780</v>
      </c>
      <c r="G582" s="70" t="str">
        <f>VLOOKUP(D582,Master!C:G,4,)</f>
        <v>T&amp;I</v>
      </c>
      <c r="H582" s="69" t="str">
        <f>VLOOKUP(D582,Master!C:G,5,)</f>
        <v>T&amp;I EX HP</v>
      </c>
      <c r="I582" s="549">
        <v>0</v>
      </c>
      <c r="J582" s="549">
        <v>1128</v>
      </c>
      <c r="K582" s="71">
        <f t="shared" si="50"/>
        <v>0</v>
      </c>
      <c r="L582" s="549">
        <v>0</v>
      </c>
      <c r="M582" s="511"/>
      <c r="N582" s="549">
        <v>0</v>
      </c>
      <c r="O582" s="549">
        <v>0</v>
      </c>
      <c r="P582" s="72">
        <f t="shared" si="51"/>
        <v>-1128</v>
      </c>
      <c r="Q582" s="72">
        <f>IFERROR(IF(D582=20250,O582/(#REF!/30),O582/(I582/30)),0)</f>
        <v>0</v>
      </c>
      <c r="R582" s="72">
        <f t="shared" si="52"/>
        <v>0</v>
      </c>
      <c r="AC582"/>
      <c r="AD582"/>
      <c r="AE582"/>
      <c r="AF582"/>
      <c r="AG582"/>
      <c r="AH582"/>
      <c r="AI582"/>
      <c r="AJ582"/>
    </row>
    <row r="583" spans="1:36" ht="15">
      <c r="A583" s="352" t="str">
        <f t="shared" si="48"/>
        <v>440324768</v>
      </c>
      <c r="B583" s="509" t="s">
        <v>110</v>
      </c>
      <c r="C583" s="69" t="str">
        <f>_xlfn.XLOOKUP(B:B,Master!A:A,Master!B:B)</f>
        <v>RPSPL-HY</v>
      </c>
      <c r="D583" s="509" t="s">
        <v>906</v>
      </c>
      <c r="E583" s="69" t="str">
        <f t="shared" si="49"/>
        <v>440324768</v>
      </c>
      <c r="F583" s="509" t="s">
        <v>912</v>
      </c>
      <c r="G583" s="70" t="str">
        <f>VLOOKUP(D583,Master!C:G,4,)</f>
        <v>T&amp;I</v>
      </c>
      <c r="H583" s="69" t="str">
        <f>VLOOKUP(D583,Master!C:G,5,)</f>
        <v>T&amp;I EX UF</v>
      </c>
      <c r="I583" s="549">
        <v>1926</v>
      </c>
      <c r="J583" s="549">
        <v>2472</v>
      </c>
      <c r="K583" s="71">
        <f t="shared" si="50"/>
        <v>1.2834890965732086</v>
      </c>
      <c r="L583" s="549">
        <v>600</v>
      </c>
      <c r="M583" s="511">
        <v>46164</v>
      </c>
      <c r="N583" s="549">
        <v>1884</v>
      </c>
      <c r="O583" s="549">
        <v>2484</v>
      </c>
      <c r="P583" s="72">
        <f t="shared" si="51"/>
        <v>-3030</v>
      </c>
      <c r="Q583" s="72">
        <f>IFERROR(IF(D583=20250,O583/(#REF!/30),O583/(I583/30)),0)</f>
        <v>38.691588785046726</v>
      </c>
      <c r="R583" s="72">
        <f t="shared" si="52"/>
        <v>29.345794392523363</v>
      </c>
      <c r="AC583"/>
      <c r="AD583"/>
      <c r="AE583"/>
      <c r="AF583"/>
      <c r="AG583"/>
      <c r="AH583"/>
      <c r="AI583"/>
      <c r="AJ583"/>
    </row>
    <row r="584" spans="1:36" ht="15">
      <c r="A584" s="352" t="str">
        <f t="shared" si="48"/>
        <v>440325570</v>
      </c>
      <c r="B584" s="509" t="s">
        <v>110</v>
      </c>
      <c r="C584" s="69" t="str">
        <f>_xlfn.XLOOKUP(B:B,Master!A:A,Master!B:B)</f>
        <v>RPSPL-HY</v>
      </c>
      <c r="D584" s="509" t="s">
        <v>1006</v>
      </c>
      <c r="E584" s="69" t="str">
        <f t="shared" si="49"/>
        <v>440325570</v>
      </c>
      <c r="F584" s="509" t="s">
        <v>1008</v>
      </c>
      <c r="G584" s="70" t="str">
        <f>VLOOKUP(D584,Master!C:G,4,)</f>
        <v>T&amp;I</v>
      </c>
      <c r="H584" s="69" t="str">
        <f>VLOOKUP(D584,Master!C:G,5,)</f>
        <v>T&amp;I EX HP</v>
      </c>
      <c r="I584" s="549">
        <v>3625.44</v>
      </c>
      <c r="J584" s="549">
        <v>2712</v>
      </c>
      <c r="K584" s="71">
        <f t="shared" si="50"/>
        <v>0.7480471335893023</v>
      </c>
      <c r="L584" s="549">
        <v>0</v>
      </c>
      <c r="M584" s="511"/>
      <c r="N584" s="549">
        <v>3288</v>
      </c>
      <c r="O584" s="549">
        <v>3288</v>
      </c>
      <c r="P584" s="72">
        <f t="shared" si="51"/>
        <v>-2374.56</v>
      </c>
      <c r="Q584" s="72">
        <f>IFERROR(IF(D584=20250,O584/(#REF!/30),O584/(I584/30)),0)</f>
        <v>27.207732027009136</v>
      </c>
      <c r="R584" s="72">
        <f t="shared" si="52"/>
        <v>27.207732027009136</v>
      </c>
      <c r="AC584"/>
      <c r="AD584"/>
      <c r="AE584"/>
      <c r="AF584"/>
      <c r="AG584"/>
      <c r="AH584"/>
      <c r="AI584"/>
      <c r="AJ584"/>
    </row>
    <row r="585" spans="1:36" ht="15">
      <c r="A585" s="352" t="str">
        <f t="shared" si="48"/>
        <v>440325598</v>
      </c>
      <c r="B585" s="509" t="s">
        <v>110</v>
      </c>
      <c r="C585" s="69" t="str">
        <f>_xlfn.XLOOKUP(B:B,Master!A:A,Master!B:B)</f>
        <v>RPSPL-HY</v>
      </c>
      <c r="D585" s="509" t="s">
        <v>1007</v>
      </c>
      <c r="E585" s="69" t="str">
        <f t="shared" si="49"/>
        <v>440325598</v>
      </c>
      <c r="F585" s="509" t="s">
        <v>1009</v>
      </c>
      <c r="G585" s="70" t="str">
        <f>VLOOKUP(D585,Master!C:G,4,)</f>
        <v>T&amp;I</v>
      </c>
      <c r="H585" s="69" t="str">
        <f>VLOOKUP(D585,Master!C:G,5,)</f>
        <v>T&amp;I EX HP</v>
      </c>
      <c r="I585" s="549">
        <v>924.72</v>
      </c>
      <c r="J585" s="549">
        <v>408</v>
      </c>
      <c r="K585" s="71">
        <f t="shared" si="50"/>
        <v>0.44121463794445887</v>
      </c>
      <c r="L585" s="549">
        <v>0</v>
      </c>
      <c r="M585" s="511"/>
      <c r="N585" s="549">
        <v>84</v>
      </c>
      <c r="O585" s="549">
        <v>84</v>
      </c>
      <c r="P585" s="72">
        <f t="shared" si="51"/>
        <v>432.72</v>
      </c>
      <c r="Q585" s="72">
        <f>IFERROR(IF(D585=20250,O585/(#REF!/30),O585/(I585/30)),0)</f>
        <v>2.7251492343628341</v>
      </c>
      <c r="R585" s="72">
        <f t="shared" si="52"/>
        <v>2.7251492343628341</v>
      </c>
      <c r="AC585"/>
      <c r="AD585"/>
      <c r="AE585"/>
      <c r="AF585"/>
      <c r="AG585"/>
      <c r="AH585"/>
      <c r="AI585"/>
      <c r="AJ585"/>
    </row>
    <row r="586" spans="1:36" ht="15">
      <c r="A586" s="352" t="str">
        <f t="shared" si="48"/>
        <v>440406151</v>
      </c>
      <c r="B586" s="509" t="s">
        <v>112</v>
      </c>
      <c r="C586" s="69" t="str">
        <f>_xlfn.XLOOKUP(B:B,Master!A:A,Master!B:B)</f>
        <v>RPSPL-KER</v>
      </c>
      <c r="D586" s="509" t="s">
        <v>28</v>
      </c>
      <c r="E586" s="69" t="str">
        <f t="shared" si="49"/>
        <v>440406151</v>
      </c>
      <c r="F586" s="509" t="s">
        <v>29</v>
      </c>
      <c r="G586" s="70" t="str">
        <f>VLOOKUP(D586,Master!C:G,4,)</f>
        <v>DD</v>
      </c>
      <c r="H586" s="69" t="str">
        <f>VLOOKUP(D586,Master!C:G,5,)</f>
        <v>OS - Dry</v>
      </c>
      <c r="I586" s="549">
        <v>7999.92</v>
      </c>
      <c r="J586" s="549">
        <v>4404</v>
      </c>
      <c r="K586" s="71">
        <f t="shared" si="50"/>
        <v>0.55050550505505058</v>
      </c>
      <c r="L586" s="549">
        <v>300</v>
      </c>
      <c r="M586" s="511">
        <v>46165</v>
      </c>
      <c r="N586" s="549">
        <v>3300</v>
      </c>
      <c r="O586" s="549">
        <v>3600</v>
      </c>
      <c r="P586" s="72">
        <f t="shared" si="51"/>
        <v>-4.0799999999999272</v>
      </c>
      <c r="Q586" s="72">
        <f>IFERROR(IF(D586=20250,O586/(#REF!/30),O586/(I586/30)),0)</f>
        <v>13.500135001350014</v>
      </c>
      <c r="R586" s="72">
        <f t="shared" si="52"/>
        <v>12.375123751237513</v>
      </c>
      <c r="AC586"/>
      <c r="AD586"/>
      <c r="AE586"/>
      <c r="AF586"/>
      <c r="AG586"/>
      <c r="AH586"/>
      <c r="AI586"/>
      <c r="AJ586"/>
    </row>
    <row r="587" spans="1:36" ht="15">
      <c r="A587" s="352" t="str">
        <f t="shared" si="48"/>
        <v>440413490</v>
      </c>
      <c r="B587" s="509" t="s">
        <v>112</v>
      </c>
      <c r="C587" s="69" t="str">
        <f>_xlfn.XLOOKUP(B:B,Master!A:A,Master!B:B)</f>
        <v>RPSPL-KER</v>
      </c>
      <c r="D587" s="509" t="s">
        <v>37</v>
      </c>
      <c r="E587" s="69" t="str">
        <f t="shared" si="49"/>
        <v>440413490</v>
      </c>
      <c r="F587" s="509" t="s">
        <v>38</v>
      </c>
      <c r="G587" s="70" t="str">
        <f>VLOOKUP(D587,Master!C:G,4,)</f>
        <v>NGL</v>
      </c>
      <c r="H587" s="69" t="str">
        <f>VLOOKUP(D587,Master!C:G,5,)</f>
        <v>UF-Dry</v>
      </c>
      <c r="I587" s="549">
        <v>4108.5</v>
      </c>
      <c r="J587" s="549">
        <v>2770</v>
      </c>
      <c r="K587" s="71">
        <f t="shared" si="50"/>
        <v>0.67421199951320432</v>
      </c>
      <c r="L587" s="549">
        <v>0</v>
      </c>
      <c r="M587" s="511"/>
      <c r="N587" s="549">
        <v>3230</v>
      </c>
      <c r="O587" s="549">
        <v>3230</v>
      </c>
      <c r="P587" s="72">
        <f t="shared" si="51"/>
        <v>-1891.5</v>
      </c>
      <c r="Q587" s="72">
        <f>IFERROR(IF(D587=20250,O587/(#REF!/30),O587/(I587/30)),0)</f>
        <v>23.58525009127419</v>
      </c>
      <c r="R587" s="72">
        <f t="shared" si="52"/>
        <v>23.58525009127419</v>
      </c>
      <c r="AC587"/>
      <c r="AD587"/>
      <c r="AE587"/>
      <c r="AF587"/>
      <c r="AG587"/>
      <c r="AH587"/>
      <c r="AI587"/>
      <c r="AJ587"/>
    </row>
    <row r="588" spans="1:36" ht="15">
      <c r="A588" s="352" t="str">
        <f t="shared" si="48"/>
        <v>440415300</v>
      </c>
      <c r="B588" s="509" t="s">
        <v>112</v>
      </c>
      <c r="C588" s="69" t="str">
        <f>_xlfn.XLOOKUP(B:B,Master!A:A,Master!B:B)</f>
        <v>RPSPL-KER</v>
      </c>
      <c r="D588" s="509" t="s">
        <v>43</v>
      </c>
      <c r="E588" s="69" t="str">
        <f t="shared" si="49"/>
        <v>440415300</v>
      </c>
      <c r="F588" s="509" t="s">
        <v>44</v>
      </c>
      <c r="G588" s="70" t="str">
        <f>VLOOKUP(D588,Master!C:G,4,)</f>
        <v>NGL</v>
      </c>
      <c r="H588" s="69" t="str">
        <f>VLOOKUP(D588,Master!C:G,5,)</f>
        <v>UF-Dry</v>
      </c>
      <c r="I588" s="549">
        <v>4.8600000000000003</v>
      </c>
      <c r="J588" s="549">
        <v>0</v>
      </c>
      <c r="K588" s="71">
        <f t="shared" si="50"/>
        <v>0</v>
      </c>
      <c r="L588" s="549">
        <v>18</v>
      </c>
      <c r="M588" s="511">
        <v>46165</v>
      </c>
      <c r="N588" s="549">
        <v>0</v>
      </c>
      <c r="O588" s="549">
        <v>18</v>
      </c>
      <c r="P588" s="72">
        <f t="shared" si="51"/>
        <v>-13.14</v>
      </c>
      <c r="Q588" s="72">
        <f>IFERROR(IF(D588=20250,O588/(#REF!/30),O588/(I588/30)),0)</f>
        <v>111.11111111111111</v>
      </c>
      <c r="R588" s="72">
        <f t="shared" si="52"/>
        <v>0</v>
      </c>
      <c r="AC588"/>
      <c r="AD588"/>
      <c r="AE588"/>
      <c r="AF588"/>
      <c r="AG588"/>
      <c r="AH588"/>
      <c r="AI588"/>
      <c r="AJ588"/>
    </row>
    <row r="589" spans="1:36" ht="15">
      <c r="A589" s="352" t="str">
        <f t="shared" si="48"/>
        <v>440419690</v>
      </c>
      <c r="B589" s="509" t="s">
        <v>112</v>
      </c>
      <c r="C589" s="69" t="str">
        <f>_xlfn.XLOOKUP(B:B,Master!A:A,Master!B:B)</f>
        <v>RPSPL-KER</v>
      </c>
      <c r="D589" s="509" t="s">
        <v>88</v>
      </c>
      <c r="E589" s="69" t="str">
        <f t="shared" si="49"/>
        <v>440419690</v>
      </c>
      <c r="F589" s="509" t="s">
        <v>89</v>
      </c>
      <c r="G589" s="70" t="str">
        <f>VLOOKUP(D589,Master!C:G,4,)</f>
        <v>NFL</v>
      </c>
      <c r="H589" s="69" t="str">
        <f>VLOOKUP(D589,Master!C:G,5,)</f>
        <v>OS - Dry</v>
      </c>
      <c r="I589" s="549">
        <v>321.60000000000002</v>
      </c>
      <c r="J589" s="549">
        <v>72</v>
      </c>
      <c r="K589" s="71">
        <f t="shared" si="50"/>
        <v>0.22388059701492535</v>
      </c>
      <c r="L589" s="549">
        <v>0</v>
      </c>
      <c r="M589" s="511"/>
      <c r="N589" s="549">
        <v>36</v>
      </c>
      <c r="O589" s="549">
        <v>36</v>
      </c>
      <c r="P589" s="72">
        <f t="shared" si="51"/>
        <v>213.60000000000002</v>
      </c>
      <c r="Q589" s="72">
        <f>IFERROR(IF(D589=20250,O589/(#REF!/30),O589/(I589/30)),0)</f>
        <v>3.3582089552238803</v>
      </c>
      <c r="R589" s="72">
        <f t="shared" si="52"/>
        <v>3.3582089552238803</v>
      </c>
      <c r="AC589"/>
      <c r="AD589"/>
      <c r="AE589"/>
      <c r="AF589"/>
      <c r="AG589"/>
      <c r="AH589"/>
      <c r="AI589"/>
      <c r="AJ589"/>
    </row>
    <row r="590" spans="1:36" ht="15">
      <c r="A590" s="352" t="str">
        <f t="shared" si="48"/>
        <v>440420661</v>
      </c>
      <c r="B590" s="509" t="s">
        <v>112</v>
      </c>
      <c r="C590" s="69" t="str">
        <f>_xlfn.XLOOKUP(B:B,Master!A:A,Master!B:B)</f>
        <v>RPSPL-KER</v>
      </c>
      <c r="D590" s="509" t="s">
        <v>167</v>
      </c>
      <c r="E590" s="69" t="str">
        <f t="shared" si="49"/>
        <v>440420661</v>
      </c>
      <c r="F590" s="509" t="s">
        <v>168</v>
      </c>
      <c r="G590" s="70" t="str">
        <f>VLOOKUP(D590,Master!C:G,4,)</f>
        <v>UHT-Chill</v>
      </c>
      <c r="H590" s="69" t="str">
        <f>VLOOKUP(D590,Master!C:G,5,)</f>
        <v>OS-Chill</v>
      </c>
      <c r="I590" s="549">
        <v>8199.9599999999991</v>
      </c>
      <c r="J590" s="549">
        <v>2916</v>
      </c>
      <c r="K590" s="71">
        <f t="shared" si="50"/>
        <v>0.35561149078776</v>
      </c>
      <c r="L590" s="549">
        <v>384</v>
      </c>
      <c r="M590" s="511"/>
      <c r="N590" s="549">
        <v>600</v>
      </c>
      <c r="O590" s="549">
        <v>984</v>
      </c>
      <c r="P590" s="72">
        <f t="shared" si="51"/>
        <v>4299.9599999999991</v>
      </c>
      <c r="Q590" s="72">
        <f>IFERROR(IF(D590=20250,O590/(#REF!/30),O590/(I590/30)),0)</f>
        <v>3.6000175610612737</v>
      </c>
      <c r="R590" s="72">
        <f t="shared" si="52"/>
        <v>2.1951326591837033</v>
      </c>
      <c r="AC590"/>
      <c r="AD590"/>
      <c r="AE590"/>
      <c r="AF590"/>
      <c r="AG590"/>
      <c r="AH590"/>
      <c r="AI590"/>
      <c r="AJ590"/>
    </row>
    <row r="591" spans="1:36" ht="15">
      <c r="A591" s="352" t="str">
        <f t="shared" si="48"/>
        <v>440423638</v>
      </c>
      <c r="B591" s="509" t="s">
        <v>112</v>
      </c>
      <c r="C591" s="69" t="str">
        <f>_xlfn.XLOOKUP(B:B,Master!A:A,Master!B:B)</f>
        <v>RPSPL-KER</v>
      </c>
      <c r="D591" s="509" t="s">
        <v>198</v>
      </c>
      <c r="E591" s="69" t="str">
        <f t="shared" si="49"/>
        <v>440423638</v>
      </c>
      <c r="F591" s="509" t="s">
        <v>199</v>
      </c>
      <c r="G591" s="70" t="str">
        <f>VLOOKUP(D591,Master!C:G,4,)</f>
        <v>DD</v>
      </c>
      <c r="H591" s="69" t="str">
        <f>VLOOKUP(D591,Master!C:G,5,)</f>
        <v>OS - Dry</v>
      </c>
      <c r="I591" s="549">
        <v>4480.68</v>
      </c>
      <c r="J591" s="549">
        <v>768</v>
      </c>
      <c r="K591" s="71">
        <f t="shared" si="50"/>
        <v>0.17140255496933501</v>
      </c>
      <c r="L591" s="549">
        <v>0</v>
      </c>
      <c r="M591" s="511"/>
      <c r="N591" s="549">
        <v>0</v>
      </c>
      <c r="O591" s="549">
        <v>0</v>
      </c>
      <c r="P591" s="72">
        <f t="shared" si="51"/>
        <v>3712.6800000000003</v>
      </c>
      <c r="Q591" s="72">
        <f>IFERROR(IF(D591=20250,O591/(#REF!/30),O591/(I591/30)),0)</f>
        <v>0</v>
      </c>
      <c r="R591" s="72">
        <f t="shared" si="52"/>
        <v>0</v>
      </c>
      <c r="AC591"/>
      <c r="AD591"/>
      <c r="AE591"/>
      <c r="AF591"/>
      <c r="AG591"/>
      <c r="AH591"/>
      <c r="AI591"/>
      <c r="AJ591"/>
    </row>
    <row r="592" spans="1:36" ht="15">
      <c r="A592" s="352" t="str">
        <f t="shared" si="48"/>
        <v>440425885</v>
      </c>
      <c r="B592" s="509" t="s">
        <v>112</v>
      </c>
      <c r="C592" s="69" t="str">
        <f>_xlfn.XLOOKUP(B:B,Master!A:A,Master!B:B)</f>
        <v>RPSPL-KER</v>
      </c>
      <c r="D592" s="509" t="s">
        <v>1037</v>
      </c>
      <c r="E592" s="69" t="str">
        <f t="shared" si="49"/>
        <v>440425885</v>
      </c>
      <c r="F592" s="509" t="s">
        <v>1038</v>
      </c>
      <c r="G592" s="70" t="str">
        <f>VLOOKUP(D592,Master!C:G,4,)</f>
        <v>T&amp;I</v>
      </c>
      <c r="H592" s="69" t="str">
        <f>VLOOKUP(D592,Master!C:G,5,)</f>
        <v>T&amp;I EX UF</v>
      </c>
      <c r="I592" s="549">
        <v>2153.64</v>
      </c>
      <c r="J592" s="549">
        <v>1572</v>
      </c>
      <c r="K592" s="71">
        <f t="shared" si="50"/>
        <v>0.72992700729927007</v>
      </c>
      <c r="L592" s="549">
        <v>0</v>
      </c>
      <c r="M592" s="511"/>
      <c r="N592" s="549">
        <v>1248</v>
      </c>
      <c r="O592" s="549">
        <v>1248</v>
      </c>
      <c r="P592" s="72">
        <f t="shared" si="51"/>
        <v>-666.36000000000013</v>
      </c>
      <c r="Q592" s="72">
        <f>IFERROR(IF(D592=20250,O592/(#REF!/30),O592/(I592/30)),0)</f>
        <v>17.384521089875747</v>
      </c>
      <c r="R592" s="72">
        <f t="shared" si="52"/>
        <v>17.384521089875747</v>
      </c>
      <c r="AC592"/>
      <c r="AD592"/>
      <c r="AE592"/>
      <c r="AF592"/>
      <c r="AG592"/>
      <c r="AH592"/>
      <c r="AI592"/>
      <c r="AJ592"/>
    </row>
    <row r="593" spans="1:36" ht="15">
      <c r="A593" s="352" t="str">
        <f t="shared" si="48"/>
        <v>440426193</v>
      </c>
      <c r="B593" s="509" t="s">
        <v>112</v>
      </c>
      <c r="C593" s="69" t="str">
        <f>_xlfn.XLOOKUP(B:B,Master!A:A,Master!B:B)</f>
        <v>RPSPL-KER</v>
      </c>
      <c r="D593" s="509" t="s">
        <v>1194</v>
      </c>
      <c r="E593" s="69" t="str">
        <f t="shared" si="49"/>
        <v>440426193</v>
      </c>
      <c r="F593" s="509" t="s">
        <v>1225</v>
      </c>
      <c r="G593" s="70" t="str">
        <f>VLOOKUP(D593,Master!C:G,4,)</f>
        <v>DD</v>
      </c>
      <c r="H593" s="69" t="str">
        <f>VLOOKUP(D593,Master!C:G,5,)</f>
        <v>OS - Dry</v>
      </c>
      <c r="I593" s="549">
        <v>0</v>
      </c>
      <c r="J593" s="549">
        <v>180</v>
      </c>
      <c r="K593" s="71">
        <f t="shared" si="50"/>
        <v>0</v>
      </c>
      <c r="L593" s="549">
        <v>0</v>
      </c>
      <c r="M593" s="511"/>
      <c r="N593" s="549">
        <v>0</v>
      </c>
      <c r="O593" s="549">
        <v>0</v>
      </c>
      <c r="P593" s="72">
        <f t="shared" si="51"/>
        <v>-180</v>
      </c>
      <c r="Q593" s="72">
        <f>IFERROR(IF(D593=20250,O593/(#REF!/30),O593/(I593/30)),0)</f>
        <v>0</v>
      </c>
      <c r="R593" s="72">
        <f t="shared" si="52"/>
        <v>0</v>
      </c>
      <c r="AC593"/>
      <c r="AD593"/>
      <c r="AE593"/>
      <c r="AF593"/>
      <c r="AG593"/>
      <c r="AH593"/>
      <c r="AI593"/>
      <c r="AJ593"/>
    </row>
    <row r="594" spans="1:36" ht="15">
      <c r="A594" s="352" t="str">
        <f t="shared" si="48"/>
        <v>440426234</v>
      </c>
      <c r="B594" s="509" t="s">
        <v>112</v>
      </c>
      <c r="C594" s="69" t="str">
        <f>_xlfn.XLOOKUP(B:B,Master!A:A,Master!B:B)</f>
        <v>RPSPL-KER</v>
      </c>
      <c r="D594" s="509" t="s">
        <v>1176</v>
      </c>
      <c r="E594" s="69" t="str">
        <f t="shared" si="49"/>
        <v>440426234</v>
      </c>
      <c r="F594" s="509" t="s">
        <v>1182</v>
      </c>
      <c r="G594" s="70" t="str">
        <f>VLOOKUP(D594,Master!C:G,4,)</f>
        <v>T&amp;I</v>
      </c>
      <c r="H594" s="69" t="str">
        <f>VLOOKUP(D594,Master!C:G,5,)</f>
        <v>T&amp;I EX UF</v>
      </c>
      <c r="I594" s="549">
        <v>0</v>
      </c>
      <c r="J594" s="549">
        <v>0</v>
      </c>
      <c r="K594" s="71">
        <f t="shared" si="50"/>
        <v>0</v>
      </c>
      <c r="L594" s="549">
        <v>0</v>
      </c>
      <c r="M594" s="511"/>
      <c r="N594" s="549">
        <v>828</v>
      </c>
      <c r="O594" s="549">
        <v>828</v>
      </c>
      <c r="P594" s="72">
        <f t="shared" si="51"/>
        <v>-828</v>
      </c>
      <c r="Q594" s="72">
        <f>IFERROR(IF(D594=20250,O594/(#REF!/30),O594/(I594/30)),0)</f>
        <v>0</v>
      </c>
      <c r="R594" s="72">
        <f t="shared" si="52"/>
        <v>0</v>
      </c>
      <c r="AC594"/>
      <c r="AD594"/>
      <c r="AE594"/>
      <c r="AF594"/>
      <c r="AG594"/>
      <c r="AH594"/>
      <c r="AI594"/>
      <c r="AJ594"/>
    </row>
    <row r="595" spans="1:36" ht="15">
      <c r="A595" s="352" t="str">
        <f t="shared" si="48"/>
        <v>440426744</v>
      </c>
      <c r="B595" s="509" t="s">
        <v>112</v>
      </c>
      <c r="C595" s="69" t="str">
        <f>_xlfn.XLOOKUP(B:B,Master!A:A,Master!B:B)</f>
        <v>RPSPL-KER</v>
      </c>
      <c r="D595" s="509" t="s">
        <v>1231</v>
      </c>
      <c r="E595" s="69" t="str">
        <f t="shared" si="49"/>
        <v>440426744</v>
      </c>
      <c r="F595" s="509" t="s">
        <v>1236</v>
      </c>
      <c r="G595" s="70" t="str">
        <f>VLOOKUP(D595,Master!C:G,4,)</f>
        <v>NFL</v>
      </c>
      <c r="H595" s="69" t="str">
        <f>VLOOKUP(D595,Master!C:G,5,)</f>
        <v>PF MFG</v>
      </c>
      <c r="I595" s="549">
        <v>0</v>
      </c>
      <c r="J595" s="549">
        <v>0</v>
      </c>
      <c r="K595" s="71">
        <f t="shared" si="50"/>
        <v>0</v>
      </c>
      <c r="L595" s="549">
        <v>0</v>
      </c>
      <c r="M595" s="511"/>
      <c r="N595" s="549">
        <v>48</v>
      </c>
      <c r="O595" s="549">
        <v>48</v>
      </c>
      <c r="P595" s="72">
        <f t="shared" si="51"/>
        <v>-48</v>
      </c>
      <c r="Q595" s="72">
        <f>IFERROR(IF(D595=20250,O595/(#REF!/30),O595/(I595/30)),0)</f>
        <v>0</v>
      </c>
      <c r="R595" s="72">
        <f t="shared" si="52"/>
        <v>0</v>
      </c>
      <c r="AC595"/>
      <c r="AD595"/>
      <c r="AE595"/>
      <c r="AF595"/>
      <c r="AG595"/>
      <c r="AH595"/>
      <c r="AI595"/>
      <c r="AJ595"/>
    </row>
    <row r="596" spans="1:36" ht="15">
      <c r="A596" s="352" t="str">
        <f t="shared" si="48"/>
        <v>440426745</v>
      </c>
      <c r="B596" s="509" t="s">
        <v>112</v>
      </c>
      <c r="C596" s="69" t="str">
        <f>_xlfn.XLOOKUP(B:B,Master!A:A,Master!B:B)</f>
        <v>RPSPL-KER</v>
      </c>
      <c r="D596" s="509" t="s">
        <v>1232</v>
      </c>
      <c r="E596" s="69" t="str">
        <f t="shared" si="49"/>
        <v>440426745</v>
      </c>
      <c r="F596" s="509" t="s">
        <v>1237</v>
      </c>
      <c r="G596" s="70" t="str">
        <f>VLOOKUP(D596,Master!C:G,4,)</f>
        <v>NFL</v>
      </c>
      <c r="H596" s="69" t="str">
        <f>VLOOKUP(D596,Master!C:G,5,)</f>
        <v>PF MFG</v>
      </c>
      <c r="I596" s="549">
        <v>0</v>
      </c>
      <c r="J596" s="549">
        <v>0</v>
      </c>
      <c r="K596" s="71">
        <f t="shared" si="50"/>
        <v>0</v>
      </c>
      <c r="L596" s="549">
        <v>0</v>
      </c>
      <c r="M596" s="511"/>
      <c r="N596" s="549">
        <v>192</v>
      </c>
      <c r="O596" s="549">
        <v>192</v>
      </c>
      <c r="P596" s="72">
        <f t="shared" si="51"/>
        <v>-192</v>
      </c>
      <c r="Q596" s="72">
        <f>IFERROR(IF(D596=20250,O596/(#REF!/30),O596/(I596/30)),0)</f>
        <v>0</v>
      </c>
      <c r="R596" s="72">
        <f t="shared" si="52"/>
        <v>0</v>
      </c>
      <c r="AC596"/>
      <c r="AD596"/>
      <c r="AE596"/>
      <c r="AF596"/>
      <c r="AG596"/>
      <c r="AH596"/>
      <c r="AI596"/>
      <c r="AJ596"/>
    </row>
    <row r="597" spans="1:36" ht="15">
      <c r="A597" s="352" t="str">
        <f t="shared" si="48"/>
        <v>440427021</v>
      </c>
      <c r="B597" s="509" t="s">
        <v>112</v>
      </c>
      <c r="C597" s="69" t="str">
        <f>_xlfn.XLOOKUP(B:B,Master!A:A,Master!B:B)</f>
        <v>RPSPL-KER</v>
      </c>
      <c r="D597" s="509" t="s">
        <v>1243</v>
      </c>
      <c r="E597" s="69" t="str">
        <f t="shared" si="49"/>
        <v>440427021</v>
      </c>
      <c r="F597" s="509" t="s">
        <v>1244</v>
      </c>
      <c r="G597" s="70" t="e">
        <f>VLOOKUP(D597,Master!C:G,4,)</f>
        <v>#N/A</v>
      </c>
      <c r="H597" s="69" t="e">
        <f>VLOOKUP(D597,Master!C:G,5,)</f>
        <v>#N/A</v>
      </c>
      <c r="I597" s="549">
        <v>0</v>
      </c>
      <c r="J597" s="549">
        <v>0</v>
      </c>
      <c r="K597" s="71">
        <f t="shared" si="50"/>
        <v>0</v>
      </c>
      <c r="L597" s="549">
        <v>0</v>
      </c>
      <c r="M597" s="511"/>
      <c r="N597" s="549">
        <v>96</v>
      </c>
      <c r="O597" s="549">
        <v>96</v>
      </c>
      <c r="P597" s="72">
        <f t="shared" si="51"/>
        <v>-96</v>
      </c>
      <c r="Q597" s="72">
        <f>IFERROR(IF(D597=20250,O597/(#REF!/30),O597/(I597/30)),0)</f>
        <v>0</v>
      </c>
      <c r="R597" s="72">
        <f t="shared" si="52"/>
        <v>0</v>
      </c>
      <c r="AC597"/>
      <c r="AD597"/>
      <c r="AE597"/>
      <c r="AF597"/>
      <c r="AG597"/>
      <c r="AH597"/>
      <c r="AI597"/>
      <c r="AJ597"/>
    </row>
    <row r="598" spans="1:36" ht="15">
      <c r="A598" s="352" t="str">
        <f t="shared" si="48"/>
        <v>440404145</v>
      </c>
      <c r="B598" s="509" t="s">
        <v>112</v>
      </c>
      <c r="C598" s="69" t="str">
        <f>_xlfn.XLOOKUP(B:B,Master!A:A,Master!B:B)</f>
        <v>RPSPL-KER</v>
      </c>
      <c r="D598" s="509" t="s">
        <v>34</v>
      </c>
      <c r="E598" s="69" t="str">
        <f t="shared" si="49"/>
        <v>440404145</v>
      </c>
      <c r="F598" s="509" t="s">
        <v>35</v>
      </c>
      <c r="G598" s="70" t="str">
        <f>VLOOKUP(D598,Master!C:G,4,)</f>
        <v>NGL</v>
      </c>
      <c r="H598" s="69" t="str">
        <f>VLOOKUP(D598,Master!C:G,5,)</f>
        <v>UF-Dry</v>
      </c>
      <c r="I598" s="549">
        <v>152.37</v>
      </c>
      <c r="J598" s="549">
        <v>72</v>
      </c>
      <c r="K598" s="71">
        <f t="shared" si="50"/>
        <v>0.47253396337861781</v>
      </c>
      <c r="L598" s="549">
        <v>243</v>
      </c>
      <c r="M598" s="511">
        <v>46165</v>
      </c>
      <c r="N598" s="549">
        <v>0</v>
      </c>
      <c r="O598" s="549">
        <v>243</v>
      </c>
      <c r="P598" s="72">
        <f t="shared" si="51"/>
        <v>-162.63</v>
      </c>
      <c r="Q598" s="72">
        <f>IFERROR(IF(D598=20250,O598/(#REF!/30),O598/(I598/30)),0)</f>
        <v>47.844063792085059</v>
      </c>
      <c r="R598" s="72">
        <f t="shared" si="52"/>
        <v>0</v>
      </c>
      <c r="AC598"/>
      <c r="AD598"/>
      <c r="AE598"/>
      <c r="AF598"/>
      <c r="AG598"/>
      <c r="AH598"/>
      <c r="AI598"/>
      <c r="AJ598"/>
    </row>
    <row r="599" spans="1:36" ht="15">
      <c r="A599" s="352" t="str">
        <f t="shared" si="48"/>
        <v>440414248</v>
      </c>
      <c r="B599" s="509" t="s">
        <v>112</v>
      </c>
      <c r="C599" s="69" t="str">
        <f>_xlfn.XLOOKUP(B:B,Master!A:A,Master!B:B)</f>
        <v>RPSPL-KER</v>
      </c>
      <c r="D599" s="509" t="s">
        <v>41</v>
      </c>
      <c r="E599" s="69" t="str">
        <f t="shared" si="49"/>
        <v>440414248</v>
      </c>
      <c r="F599" s="509" t="s">
        <v>42</v>
      </c>
      <c r="G599" s="70" t="str">
        <f>VLOOKUP(D599,Master!C:G,4,)</f>
        <v>NGL</v>
      </c>
      <c r="H599" s="69" t="str">
        <f>VLOOKUP(D599,Master!C:G,5,)</f>
        <v>UF-Dry</v>
      </c>
      <c r="I599" s="549">
        <v>92</v>
      </c>
      <c r="J599" s="549">
        <v>0</v>
      </c>
      <c r="K599" s="71">
        <f t="shared" si="50"/>
        <v>0</v>
      </c>
      <c r="L599" s="549">
        <v>180</v>
      </c>
      <c r="M599" s="511">
        <v>46165</v>
      </c>
      <c r="N599" s="549">
        <v>0</v>
      </c>
      <c r="O599" s="549">
        <v>180</v>
      </c>
      <c r="P599" s="72">
        <f t="shared" si="51"/>
        <v>-88</v>
      </c>
      <c r="Q599" s="72">
        <f>IFERROR(IF(D599=20250,O599/(#REF!/30),O599/(I599/30)),0)</f>
        <v>58.695652173913039</v>
      </c>
      <c r="R599" s="72">
        <f t="shared" si="52"/>
        <v>0</v>
      </c>
      <c r="AC599"/>
      <c r="AD599"/>
      <c r="AE599"/>
      <c r="AF599"/>
      <c r="AG599"/>
      <c r="AH599"/>
      <c r="AI599"/>
      <c r="AJ599"/>
    </row>
    <row r="600" spans="1:36" ht="15">
      <c r="A600" s="352" t="str">
        <f t="shared" si="48"/>
        <v>440416407</v>
      </c>
      <c r="B600" s="509" t="s">
        <v>112</v>
      </c>
      <c r="C600" s="69" t="str">
        <f>_xlfn.XLOOKUP(B:B,Master!A:A,Master!B:B)</f>
        <v>RPSPL-KER</v>
      </c>
      <c r="D600" s="509" t="s">
        <v>49</v>
      </c>
      <c r="E600" s="69" t="str">
        <f t="shared" si="49"/>
        <v>440416407</v>
      </c>
      <c r="F600" s="509" t="s">
        <v>50</v>
      </c>
      <c r="G600" s="70" t="str">
        <f>VLOOKUP(D600,Master!C:G,4,)</f>
        <v>NGL</v>
      </c>
      <c r="H600" s="69" t="str">
        <f>VLOOKUP(D600,Master!C:G,5,)</f>
        <v>UF-Dry</v>
      </c>
      <c r="I600" s="549">
        <v>221.67</v>
      </c>
      <c r="J600" s="549">
        <v>0</v>
      </c>
      <c r="K600" s="71">
        <f t="shared" si="50"/>
        <v>0</v>
      </c>
      <c r="L600" s="549">
        <v>477</v>
      </c>
      <c r="M600" s="511">
        <v>46165</v>
      </c>
      <c r="N600" s="549">
        <v>0</v>
      </c>
      <c r="O600" s="549">
        <v>477</v>
      </c>
      <c r="P600" s="72">
        <f t="shared" si="51"/>
        <v>-255.33</v>
      </c>
      <c r="Q600" s="72">
        <f>IFERROR(IF(D600=20250,O600/(#REF!/30),O600/(I600/30)),0)</f>
        <v>64.555420219244823</v>
      </c>
      <c r="R600" s="72">
        <f t="shared" si="52"/>
        <v>0</v>
      </c>
      <c r="AC600"/>
      <c r="AD600"/>
      <c r="AE600"/>
      <c r="AF600"/>
      <c r="AG600"/>
      <c r="AH600"/>
      <c r="AI600"/>
      <c r="AJ600"/>
    </row>
    <row r="601" spans="1:36" ht="15">
      <c r="A601" s="352" t="str">
        <f t="shared" si="48"/>
        <v>440400189</v>
      </c>
      <c r="B601" s="509" t="s">
        <v>112</v>
      </c>
      <c r="C601" s="69" t="str">
        <f>_xlfn.XLOOKUP(B:B,Master!A:A,Master!B:B)</f>
        <v>RPSPL-KER</v>
      </c>
      <c r="D601" s="509" t="s">
        <v>51</v>
      </c>
      <c r="E601" s="69" t="str">
        <f t="shared" si="49"/>
        <v>440400189</v>
      </c>
      <c r="F601" s="509" t="s">
        <v>903</v>
      </c>
      <c r="G601" s="70" t="str">
        <f>VLOOKUP(D601,Master!C:G,4,)</f>
        <v>T&amp;I</v>
      </c>
      <c r="H601" s="69" t="str">
        <f>VLOOKUP(D601,Master!C:G,5,)</f>
        <v>T&amp;I Comm-UF</v>
      </c>
      <c r="I601" s="549">
        <v>39999.96</v>
      </c>
      <c r="J601" s="549">
        <v>20208</v>
      </c>
      <c r="K601" s="71">
        <f t="shared" si="50"/>
        <v>0.50520050520050519</v>
      </c>
      <c r="L601" s="549">
        <v>0</v>
      </c>
      <c r="M601" s="511"/>
      <c r="N601" s="549">
        <v>5700</v>
      </c>
      <c r="O601" s="549">
        <v>5700</v>
      </c>
      <c r="P601" s="72">
        <f t="shared" si="51"/>
        <v>14091.96</v>
      </c>
      <c r="Q601" s="72">
        <f>IFERROR(IF(D601=20250,O601/(#REF!/30),O601/(I601/30)),0)</f>
        <v>4.2750042750042754</v>
      </c>
      <c r="R601" s="72">
        <f t="shared" si="52"/>
        <v>4.2750042750042754</v>
      </c>
      <c r="AC601"/>
      <c r="AD601"/>
      <c r="AE601"/>
      <c r="AF601"/>
      <c r="AG601"/>
      <c r="AH601"/>
      <c r="AI601"/>
      <c r="AJ601"/>
    </row>
    <row r="602" spans="1:36" ht="15">
      <c r="A602" s="352" t="str">
        <f t="shared" si="48"/>
        <v>440401167</v>
      </c>
      <c r="B602" s="509" t="s">
        <v>112</v>
      </c>
      <c r="C602" s="69" t="str">
        <f>_xlfn.XLOOKUP(B:B,Master!A:A,Master!B:B)</f>
        <v>RPSPL-KER</v>
      </c>
      <c r="D602" s="509" t="s">
        <v>53</v>
      </c>
      <c r="E602" s="69" t="str">
        <f t="shared" si="49"/>
        <v>440401167</v>
      </c>
      <c r="F602" s="509" t="s">
        <v>54</v>
      </c>
      <c r="G602" s="70" t="str">
        <f>VLOOKUP(D602,Master!C:G,4,)</f>
        <v>T&amp;I</v>
      </c>
      <c r="H602" s="69" t="str">
        <f>VLOOKUP(D602,Master!C:G,5,)</f>
        <v>T&amp;I EX UF</v>
      </c>
      <c r="I602" s="549">
        <v>12000</v>
      </c>
      <c r="J602" s="549">
        <v>6612</v>
      </c>
      <c r="K602" s="71">
        <f t="shared" si="50"/>
        <v>0.55100000000000005</v>
      </c>
      <c r="L602" s="549">
        <v>0</v>
      </c>
      <c r="M602" s="511"/>
      <c r="N602" s="549">
        <v>7452</v>
      </c>
      <c r="O602" s="549">
        <v>7452</v>
      </c>
      <c r="P602" s="72">
        <f t="shared" si="51"/>
        <v>-2064</v>
      </c>
      <c r="Q602" s="72">
        <f>IFERROR(IF(D602=20250,O602/(#REF!/30),O602/(I602/30)),0)</f>
        <v>18.63</v>
      </c>
      <c r="R602" s="72">
        <f t="shared" si="52"/>
        <v>18.63</v>
      </c>
      <c r="AC602"/>
      <c r="AD602"/>
      <c r="AE602"/>
      <c r="AF602"/>
      <c r="AG602"/>
      <c r="AH602"/>
      <c r="AI602"/>
      <c r="AJ602"/>
    </row>
    <row r="603" spans="1:36" ht="15">
      <c r="A603" s="352" t="str">
        <f t="shared" si="48"/>
        <v>440401296</v>
      </c>
      <c r="B603" s="509" t="s">
        <v>112</v>
      </c>
      <c r="C603" s="69" t="str">
        <f>_xlfn.XLOOKUP(B:B,Master!A:A,Master!B:B)</f>
        <v>RPSPL-KER</v>
      </c>
      <c r="D603" s="509" t="s">
        <v>15</v>
      </c>
      <c r="E603" s="69" t="str">
        <f t="shared" si="49"/>
        <v>440401296</v>
      </c>
      <c r="F603" s="509" t="s">
        <v>16</v>
      </c>
      <c r="G603" s="70" t="str">
        <f>VLOOKUP(D603,Master!C:G,4,)</f>
        <v>T&amp;I</v>
      </c>
      <c r="H603" s="69" t="str">
        <f>VLOOKUP(D603,Master!C:G,5,)</f>
        <v>T&amp;I EX HP 2 KG</v>
      </c>
      <c r="I603" s="549">
        <v>5499.96</v>
      </c>
      <c r="J603" s="549">
        <v>3504</v>
      </c>
      <c r="K603" s="71">
        <f t="shared" si="50"/>
        <v>0.63709554251303646</v>
      </c>
      <c r="L603" s="549">
        <v>2100</v>
      </c>
      <c r="M603" s="511">
        <v>46163</v>
      </c>
      <c r="N603" s="549">
        <v>2772</v>
      </c>
      <c r="O603" s="549">
        <v>4872</v>
      </c>
      <c r="P603" s="72">
        <f t="shared" si="51"/>
        <v>-2876.04</v>
      </c>
      <c r="Q603" s="72">
        <f>IFERROR(IF(D603=20250,O603/(#REF!/30),O603/(I603/30)),0)</f>
        <v>26.574738725372548</v>
      </c>
      <c r="R603" s="72">
        <f t="shared" si="52"/>
        <v>15.120109964436105</v>
      </c>
      <c r="AC603"/>
      <c r="AD603"/>
      <c r="AE603"/>
      <c r="AF603"/>
      <c r="AG603"/>
      <c r="AH603"/>
      <c r="AI603"/>
      <c r="AJ603"/>
    </row>
    <row r="604" spans="1:36" ht="15">
      <c r="A604" s="352" t="str">
        <f t="shared" si="48"/>
        <v>440402122</v>
      </c>
      <c r="B604" s="509" t="s">
        <v>112</v>
      </c>
      <c r="C604" s="69" t="str">
        <f>_xlfn.XLOOKUP(B:B,Master!A:A,Master!B:B)</f>
        <v>RPSPL-KER</v>
      </c>
      <c r="D604" s="509" t="s">
        <v>55</v>
      </c>
      <c r="E604" s="69" t="str">
        <f t="shared" si="49"/>
        <v>440402122</v>
      </c>
      <c r="F604" s="509" t="s">
        <v>56</v>
      </c>
      <c r="G604" s="70" t="str">
        <f>VLOOKUP(D604,Master!C:G,4,)</f>
        <v>T&amp;I</v>
      </c>
      <c r="H604" s="69" t="str">
        <f>VLOOKUP(D604,Master!C:G,5,)</f>
        <v>T&amp;I EX HP 2 KG</v>
      </c>
      <c r="I604" s="549">
        <v>6192</v>
      </c>
      <c r="J604" s="549">
        <v>3972</v>
      </c>
      <c r="K604" s="71">
        <f t="shared" si="50"/>
        <v>0.64147286821705429</v>
      </c>
      <c r="L604" s="549">
        <v>504</v>
      </c>
      <c r="M604" s="511">
        <v>46163</v>
      </c>
      <c r="N604" s="549">
        <v>6084</v>
      </c>
      <c r="O604" s="549">
        <v>6588</v>
      </c>
      <c r="P604" s="72">
        <f t="shared" si="51"/>
        <v>-4368</v>
      </c>
      <c r="Q604" s="72">
        <f>IFERROR(IF(D604=20250,O604/(#REF!/30),O604/(I604/30)),0)</f>
        <v>31.918604651162791</v>
      </c>
      <c r="R604" s="72">
        <f t="shared" si="52"/>
        <v>29.47674418604651</v>
      </c>
      <c r="AC604"/>
      <c r="AD604"/>
      <c r="AE604"/>
      <c r="AF604"/>
      <c r="AG604"/>
      <c r="AH604"/>
      <c r="AI604"/>
      <c r="AJ604"/>
    </row>
    <row r="605" spans="1:36" ht="15">
      <c r="A605" s="352" t="str">
        <f t="shared" si="48"/>
        <v>440405159</v>
      </c>
      <c r="B605" s="509" t="s">
        <v>112</v>
      </c>
      <c r="C605" s="69" t="str">
        <f>_xlfn.XLOOKUP(B:B,Master!A:A,Master!B:B)</f>
        <v>RPSPL-KER</v>
      </c>
      <c r="D605" s="509" t="s">
        <v>57</v>
      </c>
      <c r="E605" s="69" t="str">
        <f t="shared" si="49"/>
        <v>440405159</v>
      </c>
      <c r="F605" s="509" t="s">
        <v>58</v>
      </c>
      <c r="G605" s="70" t="str">
        <f>VLOOKUP(D605,Master!C:G,4,)</f>
        <v>T&amp;I</v>
      </c>
      <c r="H605" s="69" t="str">
        <f>VLOOKUP(D605,Master!C:G,5,)</f>
        <v>T&amp;I EX HP</v>
      </c>
      <c r="I605" s="549">
        <v>9000</v>
      </c>
      <c r="J605" s="549">
        <v>5652</v>
      </c>
      <c r="K605" s="71">
        <f t="shared" si="50"/>
        <v>0.628</v>
      </c>
      <c r="L605" s="549">
        <v>6132</v>
      </c>
      <c r="M605" s="511">
        <v>46165</v>
      </c>
      <c r="N605" s="549">
        <v>0</v>
      </c>
      <c r="O605" s="549">
        <v>6132</v>
      </c>
      <c r="P605" s="72">
        <f t="shared" si="51"/>
        <v>-2784</v>
      </c>
      <c r="Q605" s="72">
        <f>IFERROR(IF(D605=20250,O605/(#REF!/30),O605/(I605/30)),0)</f>
        <v>20.440000000000001</v>
      </c>
      <c r="R605" s="72">
        <f t="shared" si="52"/>
        <v>0</v>
      </c>
      <c r="AC605"/>
      <c r="AD605"/>
      <c r="AE605"/>
      <c r="AF605"/>
      <c r="AG605"/>
      <c r="AH605"/>
      <c r="AI605"/>
      <c r="AJ605"/>
    </row>
    <row r="606" spans="1:36" ht="15">
      <c r="A606" s="352" t="str">
        <f t="shared" si="48"/>
        <v>440406982</v>
      </c>
      <c r="B606" s="509" t="s">
        <v>112</v>
      </c>
      <c r="C606" s="69" t="str">
        <f>_xlfn.XLOOKUP(B:B,Master!A:A,Master!B:B)</f>
        <v>RPSPL-KER</v>
      </c>
      <c r="D606" s="509" t="s">
        <v>59</v>
      </c>
      <c r="E606" s="69" t="str">
        <f t="shared" si="49"/>
        <v>440406982</v>
      </c>
      <c r="F606" s="509" t="s">
        <v>60</v>
      </c>
      <c r="G606" s="70" t="str">
        <f>VLOOKUP(D606,Master!C:G,4,)</f>
        <v>T&amp;I</v>
      </c>
      <c r="H606" s="69" t="str">
        <f>VLOOKUP(D606,Master!C:G,5,)</f>
        <v>T&amp;I Comm-UF</v>
      </c>
      <c r="I606" s="549">
        <v>24499.919999999998</v>
      </c>
      <c r="J606" s="549">
        <v>16368</v>
      </c>
      <c r="K606" s="71">
        <f t="shared" si="50"/>
        <v>0.66808381415122997</v>
      </c>
      <c r="L606" s="549">
        <v>0</v>
      </c>
      <c r="M606" s="511"/>
      <c r="N606" s="549">
        <v>15936</v>
      </c>
      <c r="O606" s="549">
        <v>15936</v>
      </c>
      <c r="P606" s="72">
        <f t="shared" si="51"/>
        <v>-7804.0800000000017</v>
      </c>
      <c r="Q606" s="72">
        <f>IFERROR(IF(D606=20250,O606/(#REF!/30),O606/(I606/30)),0)</f>
        <v>19.513533105414222</v>
      </c>
      <c r="R606" s="72">
        <f t="shared" si="52"/>
        <v>19.513533105414222</v>
      </c>
      <c r="AC606"/>
      <c r="AD606"/>
      <c r="AE606"/>
      <c r="AF606"/>
      <c r="AG606"/>
      <c r="AH606"/>
      <c r="AI606"/>
      <c r="AJ606"/>
    </row>
    <row r="607" spans="1:36" ht="15">
      <c r="A607" s="352" t="str">
        <f t="shared" si="48"/>
        <v>440407310</v>
      </c>
      <c r="B607" s="509" t="s">
        <v>112</v>
      </c>
      <c r="C607" s="69" t="str">
        <f>_xlfn.XLOOKUP(B:B,Master!A:A,Master!B:B)</f>
        <v>RPSPL-KER</v>
      </c>
      <c r="D607" s="509" t="s">
        <v>19</v>
      </c>
      <c r="E607" s="69" t="str">
        <f t="shared" si="49"/>
        <v>440407310</v>
      </c>
      <c r="F607" s="509" t="s">
        <v>20</v>
      </c>
      <c r="G607" s="70" t="str">
        <f>VLOOKUP(D607,Master!C:G,4,)</f>
        <v>T&amp;I</v>
      </c>
      <c r="H607" s="69" t="str">
        <f>VLOOKUP(D607,Master!C:G,5,)</f>
        <v>T&amp;I Comm -HP</v>
      </c>
      <c r="I607" s="549">
        <v>15989.76</v>
      </c>
      <c r="J607" s="549">
        <v>10452</v>
      </c>
      <c r="K607" s="71">
        <f t="shared" si="50"/>
        <v>0.65366834774255522</v>
      </c>
      <c r="L607" s="549">
        <v>4800</v>
      </c>
      <c r="M607" s="511">
        <v>46165</v>
      </c>
      <c r="N607" s="549">
        <v>19812</v>
      </c>
      <c r="O607" s="549">
        <v>24612</v>
      </c>
      <c r="P607" s="72">
        <f t="shared" si="51"/>
        <v>-19074.239999999998</v>
      </c>
      <c r="Q607" s="72">
        <f>IFERROR(IF(D607=20250,O607/(#REF!/30),O607/(I607/30)),0)</f>
        <v>46.177053314121039</v>
      </c>
      <c r="R607" s="72">
        <f t="shared" si="52"/>
        <v>37.171289625360231</v>
      </c>
      <c r="AC607"/>
      <c r="AD607"/>
      <c r="AE607"/>
      <c r="AF607"/>
      <c r="AG607"/>
      <c r="AH607"/>
      <c r="AI607"/>
      <c r="AJ607"/>
    </row>
    <row r="608" spans="1:36" ht="15">
      <c r="A608" s="352" t="str">
        <f t="shared" si="48"/>
        <v>440408529</v>
      </c>
      <c r="B608" s="509" t="s">
        <v>112</v>
      </c>
      <c r="C608" s="69" t="str">
        <f>_xlfn.XLOOKUP(B:B,Master!A:A,Master!B:B)</f>
        <v>RPSPL-KER</v>
      </c>
      <c r="D608" s="509" t="s">
        <v>61</v>
      </c>
      <c r="E608" s="69" t="str">
        <f t="shared" si="49"/>
        <v>440408529</v>
      </c>
      <c r="F608" s="509" t="s">
        <v>62</v>
      </c>
      <c r="G608" s="70" t="str">
        <f>VLOOKUP(D608,Master!C:G,4,)</f>
        <v>T&amp;I</v>
      </c>
      <c r="H608" s="69" t="str">
        <f>VLOOKUP(D608,Master!C:G,5,)</f>
        <v>T&amp;I EX HP 2 KG</v>
      </c>
      <c r="I608" s="549">
        <v>7500</v>
      </c>
      <c r="J608" s="549">
        <v>4116</v>
      </c>
      <c r="K608" s="71">
        <f t="shared" si="50"/>
        <v>0.54879999999999995</v>
      </c>
      <c r="L608" s="549">
        <v>504</v>
      </c>
      <c r="M608" s="511">
        <v>46163</v>
      </c>
      <c r="N608" s="549">
        <v>3528</v>
      </c>
      <c r="O608" s="549">
        <v>4032</v>
      </c>
      <c r="P608" s="72">
        <f t="shared" si="51"/>
        <v>-648</v>
      </c>
      <c r="Q608" s="72">
        <f>IFERROR(IF(D608=20250,O608/(#REF!/30),O608/(I608/30)),0)</f>
        <v>16.128</v>
      </c>
      <c r="R608" s="72">
        <f t="shared" si="52"/>
        <v>14.112</v>
      </c>
      <c r="AC608"/>
      <c r="AD608"/>
      <c r="AE608"/>
      <c r="AF608"/>
      <c r="AG608"/>
      <c r="AH608"/>
      <c r="AI608"/>
      <c r="AJ608"/>
    </row>
    <row r="609" spans="1:36" ht="15">
      <c r="A609" s="352" t="str">
        <f t="shared" si="48"/>
        <v>440413179</v>
      </c>
      <c r="B609" s="509" t="s">
        <v>112</v>
      </c>
      <c r="C609" s="69" t="str">
        <f>_xlfn.XLOOKUP(B:B,Master!A:A,Master!B:B)</f>
        <v>RPSPL-KER</v>
      </c>
      <c r="D609" s="509" t="s">
        <v>22</v>
      </c>
      <c r="E609" s="69" t="str">
        <f t="shared" si="49"/>
        <v>440413179</v>
      </c>
      <c r="F609" s="509" t="s">
        <v>23</v>
      </c>
      <c r="G609" s="70" t="str">
        <f>VLOOKUP(D609,Master!C:G,4,)</f>
        <v>T&amp;I</v>
      </c>
      <c r="H609" s="69" t="str">
        <f>VLOOKUP(D609,Master!C:G,5,)</f>
        <v>T&amp;I EX HP 2 KG</v>
      </c>
      <c r="I609" s="549">
        <v>219999.96</v>
      </c>
      <c r="J609" s="549">
        <v>149916</v>
      </c>
      <c r="K609" s="71">
        <f t="shared" si="50"/>
        <v>0.68143648753390684</v>
      </c>
      <c r="L609" s="549">
        <v>80616</v>
      </c>
      <c r="M609" s="511">
        <v>46165</v>
      </c>
      <c r="N609" s="549">
        <v>91956</v>
      </c>
      <c r="O609" s="549">
        <v>172572</v>
      </c>
      <c r="P609" s="72">
        <f t="shared" si="51"/>
        <v>-102488.04000000001</v>
      </c>
      <c r="Q609" s="72">
        <f>IFERROR(IF(D609=20250,O609/(#REF!/30),O609/(I609/30)),0)</f>
        <v>23.532549733190862</v>
      </c>
      <c r="R609" s="72">
        <f t="shared" si="52"/>
        <v>12.539456825355787</v>
      </c>
      <c r="AC609"/>
      <c r="AD609"/>
      <c r="AE609"/>
      <c r="AF609"/>
      <c r="AG609"/>
      <c r="AH609"/>
      <c r="AI609"/>
      <c r="AJ609"/>
    </row>
    <row r="610" spans="1:36" ht="15">
      <c r="A610" s="352" t="str">
        <f t="shared" si="48"/>
        <v>440413678</v>
      </c>
      <c r="B610" s="509" t="s">
        <v>112</v>
      </c>
      <c r="C610" s="69" t="str">
        <f>_xlfn.XLOOKUP(B:B,Master!A:A,Master!B:B)</f>
        <v>RPSPL-KER</v>
      </c>
      <c r="D610" s="509" t="s">
        <v>65</v>
      </c>
      <c r="E610" s="69" t="str">
        <f t="shared" si="49"/>
        <v>440413678</v>
      </c>
      <c r="F610" s="509" t="s">
        <v>66</v>
      </c>
      <c r="G610" s="70" t="str">
        <f>VLOOKUP(D610,Master!C:G,4,)</f>
        <v>T&amp;I</v>
      </c>
      <c r="H610" s="69" t="str">
        <f>VLOOKUP(D610,Master!C:G,5,)</f>
        <v>T&amp;I EX HP</v>
      </c>
      <c r="I610" s="549">
        <v>1815.24</v>
      </c>
      <c r="J610" s="549">
        <v>888</v>
      </c>
      <c r="K610" s="71">
        <f t="shared" si="50"/>
        <v>0.48919151186619952</v>
      </c>
      <c r="L610" s="549">
        <v>108</v>
      </c>
      <c r="M610" s="511">
        <v>46161</v>
      </c>
      <c r="N610" s="549">
        <v>1656</v>
      </c>
      <c r="O610" s="549">
        <v>1764</v>
      </c>
      <c r="P610" s="72">
        <f t="shared" si="51"/>
        <v>-836.76</v>
      </c>
      <c r="Q610" s="72">
        <f>IFERROR(IF(D610=20250,O610/(#REF!/30),O610/(I610/30)),0)</f>
        <v>29.153169828782971</v>
      </c>
      <c r="R610" s="72">
        <f t="shared" si="52"/>
        <v>27.368281880081973</v>
      </c>
      <c r="AC610"/>
      <c r="AD610"/>
      <c r="AE610"/>
      <c r="AF610"/>
      <c r="AG610"/>
      <c r="AH610"/>
      <c r="AI610"/>
      <c r="AJ610"/>
    </row>
    <row r="611" spans="1:36" ht="15">
      <c r="A611" s="352" t="str">
        <f t="shared" si="48"/>
        <v>440414654</v>
      </c>
      <c r="B611" s="509" t="s">
        <v>112</v>
      </c>
      <c r="C611" s="69" t="str">
        <f>_xlfn.XLOOKUP(B:B,Master!A:A,Master!B:B)</f>
        <v>RPSPL-KER</v>
      </c>
      <c r="D611" s="509" t="s">
        <v>67</v>
      </c>
      <c r="E611" s="69" t="str">
        <f t="shared" si="49"/>
        <v>440414654</v>
      </c>
      <c r="F611" s="509" t="s">
        <v>68</v>
      </c>
      <c r="G611" s="70" t="str">
        <f>VLOOKUP(D611,Master!C:G,4,)</f>
        <v>T&amp;I</v>
      </c>
      <c r="H611" s="69" t="str">
        <f>VLOOKUP(D611,Master!C:G,5,)</f>
        <v>T&amp;I Comm-UF</v>
      </c>
      <c r="I611" s="549">
        <v>2147.7600000000002</v>
      </c>
      <c r="J611" s="549">
        <v>2436</v>
      </c>
      <c r="K611" s="71">
        <f t="shared" si="50"/>
        <v>1.1342049390993405</v>
      </c>
      <c r="L611" s="549">
        <v>0</v>
      </c>
      <c r="M611" s="511"/>
      <c r="N611" s="549">
        <v>2616</v>
      </c>
      <c r="O611" s="549">
        <v>2616</v>
      </c>
      <c r="P611" s="72">
        <f t="shared" si="51"/>
        <v>-2904.24</v>
      </c>
      <c r="Q611" s="72">
        <f>IFERROR(IF(D611=20250,O611/(#REF!/30),O611/(I611/30)),0)</f>
        <v>36.540395574924567</v>
      </c>
      <c r="R611" s="72">
        <f t="shared" si="52"/>
        <v>36.540395574924567</v>
      </c>
      <c r="AC611"/>
      <c r="AD611"/>
      <c r="AE611"/>
      <c r="AF611"/>
      <c r="AG611"/>
      <c r="AH611"/>
      <c r="AI611"/>
      <c r="AJ611"/>
    </row>
    <row r="612" spans="1:36" ht="15">
      <c r="A612" s="352" t="str">
        <f t="shared" si="48"/>
        <v>440414788</v>
      </c>
      <c r="B612" s="509" t="s">
        <v>112</v>
      </c>
      <c r="C612" s="69" t="str">
        <f>_xlfn.XLOOKUP(B:B,Master!A:A,Master!B:B)</f>
        <v>RPSPL-KER</v>
      </c>
      <c r="D612" s="509" t="s">
        <v>69</v>
      </c>
      <c r="E612" s="69" t="str">
        <f t="shared" si="49"/>
        <v>440414788</v>
      </c>
      <c r="F612" s="509" t="s">
        <v>70</v>
      </c>
      <c r="G612" s="70" t="str">
        <f>VLOOKUP(D612,Master!C:G,4,)</f>
        <v>T&amp;I</v>
      </c>
      <c r="H612" s="69" t="str">
        <f>VLOOKUP(D612,Master!C:G,5,)</f>
        <v>T&amp;I EX HP</v>
      </c>
      <c r="I612" s="549">
        <v>54999.96</v>
      </c>
      <c r="J612" s="549">
        <v>33696</v>
      </c>
      <c r="K612" s="71">
        <f t="shared" si="50"/>
        <v>0.61265499102181165</v>
      </c>
      <c r="L612" s="549">
        <v>1200</v>
      </c>
      <c r="M612" s="511">
        <v>46165</v>
      </c>
      <c r="N612" s="549">
        <v>47196</v>
      </c>
      <c r="O612" s="549">
        <v>48396</v>
      </c>
      <c r="P612" s="72">
        <f t="shared" si="51"/>
        <v>-27092.04</v>
      </c>
      <c r="Q612" s="72">
        <f>IFERROR(IF(D612=20250,O612/(#REF!/30),O612/(I612/30)),0)</f>
        <v>26.39783738024537</v>
      </c>
      <c r="R612" s="72">
        <f t="shared" si="52"/>
        <v>25.743291449666511</v>
      </c>
      <c r="AC612"/>
      <c r="AD612"/>
      <c r="AE612"/>
      <c r="AF612"/>
      <c r="AG612"/>
      <c r="AH612"/>
      <c r="AI612"/>
      <c r="AJ612"/>
    </row>
    <row r="613" spans="1:36" ht="15">
      <c r="A613" s="352" t="str">
        <f t="shared" si="48"/>
        <v>440415459</v>
      </c>
      <c r="B613" s="509" t="s">
        <v>112</v>
      </c>
      <c r="C613" s="69" t="str">
        <f>_xlfn.XLOOKUP(B:B,Master!A:A,Master!B:B)</f>
        <v>RPSPL-KER</v>
      </c>
      <c r="D613" s="509" t="s">
        <v>90</v>
      </c>
      <c r="E613" s="69" t="str">
        <f t="shared" si="49"/>
        <v>440415459</v>
      </c>
      <c r="F613" s="509" t="s">
        <v>91</v>
      </c>
      <c r="G613" s="70" t="str">
        <f>VLOOKUP(D613,Master!C:G,4,)</f>
        <v>T&amp;I</v>
      </c>
      <c r="H613" s="69" t="str">
        <f>VLOOKUP(D613,Master!C:G,5,)</f>
        <v>T&amp;I EX HP</v>
      </c>
      <c r="I613" s="549">
        <v>10725.2</v>
      </c>
      <c r="J613" s="549">
        <v>10000</v>
      </c>
      <c r="K613" s="71">
        <f t="shared" si="50"/>
        <v>0.93238354529519252</v>
      </c>
      <c r="L613" s="549">
        <v>0</v>
      </c>
      <c r="M613" s="511"/>
      <c r="N613" s="549">
        <v>13980</v>
      </c>
      <c r="O613" s="549">
        <v>13980</v>
      </c>
      <c r="P613" s="72">
        <f t="shared" si="51"/>
        <v>-13254.8</v>
      </c>
      <c r="Q613" s="72">
        <f>IFERROR(IF(D613=20250,O613/(#REF!/30),O613/(I613/30)),0)</f>
        <v>39.104165889680374</v>
      </c>
      <c r="R613" s="72">
        <f t="shared" si="52"/>
        <v>39.104165889680374</v>
      </c>
      <c r="AC613"/>
      <c r="AD613"/>
      <c r="AE613"/>
      <c r="AF613"/>
      <c r="AG613"/>
      <c r="AH613"/>
      <c r="AI613"/>
      <c r="AJ613"/>
    </row>
    <row r="614" spans="1:36" ht="15">
      <c r="A614" s="352" t="str">
        <f t="shared" si="48"/>
        <v>440415536</v>
      </c>
      <c r="B614" s="509" t="s">
        <v>112</v>
      </c>
      <c r="C614" s="69" t="str">
        <f>_xlfn.XLOOKUP(B:B,Master!A:A,Master!B:B)</f>
        <v>RPSPL-KER</v>
      </c>
      <c r="D614" s="509" t="s">
        <v>71</v>
      </c>
      <c r="E614" s="69" t="str">
        <f t="shared" si="49"/>
        <v>440415536</v>
      </c>
      <c r="F614" s="509" t="s">
        <v>72</v>
      </c>
      <c r="G614" s="70" t="str">
        <f>VLOOKUP(D614,Master!C:G,4,)</f>
        <v>Ganache</v>
      </c>
      <c r="H614" s="69" t="str">
        <f>VLOOKUP(D614,Master!C:G,5,)</f>
        <v>Ganache- UF</v>
      </c>
      <c r="I614" s="549">
        <v>1800</v>
      </c>
      <c r="J614" s="549">
        <v>1104</v>
      </c>
      <c r="K614" s="71">
        <f t="shared" si="50"/>
        <v>0.61333333333333329</v>
      </c>
      <c r="L614" s="549">
        <v>0</v>
      </c>
      <c r="M614" s="511"/>
      <c r="N614" s="549">
        <v>1920</v>
      </c>
      <c r="O614" s="549">
        <v>1920</v>
      </c>
      <c r="P614" s="72">
        <f t="shared" si="51"/>
        <v>-1224</v>
      </c>
      <c r="Q614" s="72">
        <f>IFERROR(IF(D614=20250,O614/(#REF!/30),O614/(I614/30)),0)</f>
        <v>32</v>
      </c>
      <c r="R614" s="72">
        <f t="shared" si="52"/>
        <v>32</v>
      </c>
      <c r="AC614"/>
      <c r="AD614"/>
      <c r="AE614"/>
      <c r="AF614"/>
      <c r="AG614"/>
      <c r="AH614"/>
      <c r="AI614"/>
      <c r="AJ614"/>
    </row>
    <row r="615" spans="1:36" ht="15">
      <c r="A615" s="352" t="str">
        <f t="shared" si="48"/>
        <v>440415906</v>
      </c>
      <c r="B615" s="509" t="s">
        <v>112</v>
      </c>
      <c r="C615" s="69" t="str">
        <f>_xlfn.XLOOKUP(B:B,Master!A:A,Master!B:B)</f>
        <v>RPSPL-KER</v>
      </c>
      <c r="D615" s="509" t="s">
        <v>74</v>
      </c>
      <c r="E615" s="69" t="str">
        <f t="shared" si="49"/>
        <v>440415906</v>
      </c>
      <c r="F615" s="509" t="s">
        <v>75</v>
      </c>
      <c r="G615" s="70" t="str">
        <f>VLOOKUP(D615,Master!C:G,4,)</f>
        <v>T&amp;I</v>
      </c>
      <c r="H615" s="69" t="str">
        <f>VLOOKUP(D615,Master!C:G,5,)</f>
        <v>T&amp;I EX HP</v>
      </c>
      <c r="I615" s="549">
        <v>61.32</v>
      </c>
      <c r="J615" s="549">
        <v>0</v>
      </c>
      <c r="K615" s="71">
        <f t="shared" si="50"/>
        <v>0</v>
      </c>
      <c r="L615" s="549">
        <v>0</v>
      </c>
      <c r="M615" s="511"/>
      <c r="N615" s="549">
        <v>120</v>
      </c>
      <c r="O615" s="549">
        <v>120</v>
      </c>
      <c r="P615" s="72">
        <f t="shared" si="51"/>
        <v>-58.68</v>
      </c>
      <c r="Q615" s="72">
        <f>IFERROR(IF(D615=20250,O615/(#REF!/30),O615/(I615/30)),0)</f>
        <v>58.708414872798436</v>
      </c>
      <c r="R615" s="72">
        <f t="shared" si="52"/>
        <v>58.708414872798436</v>
      </c>
      <c r="AC615"/>
      <c r="AD615"/>
      <c r="AE615"/>
      <c r="AF615"/>
      <c r="AG615"/>
      <c r="AH615"/>
      <c r="AI615"/>
      <c r="AJ615"/>
    </row>
    <row r="616" spans="1:36" ht="15">
      <c r="A616" s="352" t="str">
        <f t="shared" si="48"/>
        <v>440416336</v>
      </c>
      <c r="B616" s="509" t="s">
        <v>112</v>
      </c>
      <c r="C616" s="69" t="str">
        <f>_xlfn.XLOOKUP(B:B,Master!A:A,Master!B:B)</f>
        <v>RPSPL-KER</v>
      </c>
      <c r="D616" s="509" t="s">
        <v>24</v>
      </c>
      <c r="E616" s="69" t="str">
        <f t="shared" si="49"/>
        <v>440416336</v>
      </c>
      <c r="F616" s="509" t="s">
        <v>25</v>
      </c>
      <c r="G616" s="70" t="str">
        <f>VLOOKUP(D616,Master!C:G,4,)</f>
        <v>T&amp;I</v>
      </c>
      <c r="H616" s="69" t="str">
        <f>VLOOKUP(D616,Master!C:G,5,)</f>
        <v>T&amp;I Comm-UF</v>
      </c>
      <c r="I616" s="549">
        <v>27999.96</v>
      </c>
      <c r="J616" s="549">
        <v>21240</v>
      </c>
      <c r="K616" s="71">
        <f t="shared" si="50"/>
        <v>0.75857251224644606</v>
      </c>
      <c r="L616" s="549">
        <v>5460</v>
      </c>
      <c r="M616" s="511">
        <v>46165</v>
      </c>
      <c r="N616" s="549">
        <v>22200</v>
      </c>
      <c r="O616" s="549">
        <v>27660</v>
      </c>
      <c r="P616" s="72">
        <f t="shared" si="51"/>
        <v>-20900.04</v>
      </c>
      <c r="Q616" s="72">
        <f>IFERROR(IF(D616=20250,O616/(#REF!/30),O616/(I616/30)),0)</f>
        <v>29.635756622509462</v>
      </c>
      <c r="R616" s="72">
        <f t="shared" si="52"/>
        <v>23.785748265354666</v>
      </c>
      <c r="AC616"/>
      <c r="AD616"/>
      <c r="AE616"/>
      <c r="AF616"/>
      <c r="AG616"/>
      <c r="AH616"/>
      <c r="AI616"/>
      <c r="AJ616"/>
    </row>
    <row r="617" spans="1:36" ht="15">
      <c r="A617" s="352" t="str">
        <f t="shared" si="48"/>
        <v>440416984</v>
      </c>
      <c r="B617" s="509" t="s">
        <v>112</v>
      </c>
      <c r="C617" s="69" t="str">
        <f>_xlfn.XLOOKUP(B:B,Master!A:A,Master!B:B)</f>
        <v>RPSPL-KER</v>
      </c>
      <c r="D617" s="509" t="s">
        <v>78</v>
      </c>
      <c r="E617" s="69" t="str">
        <f t="shared" si="49"/>
        <v>440416984</v>
      </c>
      <c r="F617" s="509" t="s">
        <v>79</v>
      </c>
      <c r="G617" s="70" t="str">
        <f>VLOOKUP(D617,Master!C:G,4,)</f>
        <v>T&amp;I</v>
      </c>
      <c r="H617" s="69" t="str">
        <f>VLOOKUP(D617,Master!C:G,5,)</f>
        <v>T&amp;I EX HP</v>
      </c>
      <c r="I617" s="549">
        <v>49.44</v>
      </c>
      <c r="J617" s="549">
        <v>264</v>
      </c>
      <c r="K617" s="71">
        <f t="shared" si="50"/>
        <v>5.3398058252427187</v>
      </c>
      <c r="L617" s="549">
        <v>0</v>
      </c>
      <c r="M617" s="511"/>
      <c r="N617" s="549">
        <v>312</v>
      </c>
      <c r="O617" s="549">
        <v>312</v>
      </c>
      <c r="P617" s="72">
        <f t="shared" si="51"/>
        <v>-526.55999999999995</v>
      </c>
      <c r="Q617" s="72">
        <f>IFERROR(IF(D617=20250,O617/(#REF!/30),O617/(I617/30)),0)</f>
        <v>189.32038834951459</v>
      </c>
      <c r="R617" s="72">
        <f t="shared" si="52"/>
        <v>189.32038834951459</v>
      </c>
      <c r="AC617"/>
      <c r="AD617"/>
      <c r="AE617"/>
      <c r="AF617"/>
      <c r="AG617"/>
      <c r="AH617"/>
      <c r="AI617"/>
      <c r="AJ617"/>
    </row>
    <row r="618" spans="1:36" ht="15">
      <c r="A618" s="352" t="str">
        <f t="shared" si="48"/>
        <v>440416998</v>
      </c>
      <c r="B618" s="509" t="s">
        <v>112</v>
      </c>
      <c r="C618" s="69" t="str">
        <f>_xlfn.XLOOKUP(B:B,Master!A:A,Master!B:B)</f>
        <v>RPSPL-KER</v>
      </c>
      <c r="D618" s="509" t="s">
        <v>80</v>
      </c>
      <c r="E618" s="69" t="str">
        <f t="shared" si="49"/>
        <v>440416998</v>
      </c>
      <c r="F618" s="509" t="s">
        <v>81</v>
      </c>
      <c r="G618" s="70" t="str">
        <f>VLOOKUP(D618,Master!C:G,4,)</f>
        <v>T&amp;I</v>
      </c>
      <c r="H618" s="69" t="str">
        <f>VLOOKUP(D618,Master!C:G,5,)</f>
        <v>T&amp;I EX UF</v>
      </c>
      <c r="I618" s="549">
        <v>1072.8</v>
      </c>
      <c r="J618" s="549">
        <v>0</v>
      </c>
      <c r="K618" s="71">
        <f t="shared" si="50"/>
        <v>0</v>
      </c>
      <c r="L618" s="549">
        <v>1200</v>
      </c>
      <c r="M618" s="511">
        <v>46165</v>
      </c>
      <c r="N618" s="549">
        <v>1092</v>
      </c>
      <c r="O618" s="549">
        <v>2292</v>
      </c>
      <c r="P618" s="72">
        <f t="shared" si="51"/>
        <v>-1219.2</v>
      </c>
      <c r="Q618" s="72">
        <f>IFERROR(IF(D618=20250,O618/(#REF!/30),O618/(I618/30)),0)</f>
        <v>64.093959731543634</v>
      </c>
      <c r="R618" s="72">
        <f t="shared" si="52"/>
        <v>30.536912751677853</v>
      </c>
      <c r="AC618"/>
      <c r="AD618"/>
      <c r="AE618"/>
      <c r="AF618"/>
      <c r="AG618"/>
      <c r="AH618"/>
      <c r="AI618"/>
      <c r="AJ618"/>
    </row>
    <row r="619" spans="1:36" ht="15">
      <c r="A619" s="352" t="str">
        <f t="shared" si="48"/>
        <v>440418098</v>
      </c>
      <c r="B619" s="509" t="s">
        <v>112</v>
      </c>
      <c r="C619" s="69" t="str">
        <f>_xlfn.XLOOKUP(B:B,Master!A:A,Master!B:B)</f>
        <v>RPSPL-KER</v>
      </c>
      <c r="D619" s="509" t="s">
        <v>84</v>
      </c>
      <c r="E619" s="69" t="str">
        <f t="shared" si="49"/>
        <v>440418098</v>
      </c>
      <c r="F619" s="509" t="s">
        <v>1222</v>
      </c>
      <c r="G619" s="70" t="str">
        <f>VLOOKUP(D619,Master!C:G,4,)</f>
        <v>T&amp;I</v>
      </c>
      <c r="H619" s="69" t="str">
        <f>VLOOKUP(D619,Master!C:G,5,)</f>
        <v>T&amp;I EX HP</v>
      </c>
      <c r="I619" s="549">
        <v>536.4</v>
      </c>
      <c r="J619" s="549">
        <v>0</v>
      </c>
      <c r="K619" s="71">
        <f t="shared" si="50"/>
        <v>0</v>
      </c>
      <c r="L619" s="549">
        <v>0</v>
      </c>
      <c r="M619" s="511"/>
      <c r="N619" s="549">
        <v>792</v>
      </c>
      <c r="O619" s="549">
        <v>792</v>
      </c>
      <c r="P619" s="72">
        <f t="shared" ref="P619:P620" si="53">I619-J619-O619</f>
        <v>-255.60000000000002</v>
      </c>
      <c r="Q619" s="72">
        <f>IFERROR(IF(D619=20250,O619/(#REF!/30),O619/(I619/30)),0)</f>
        <v>44.29530201342282</v>
      </c>
      <c r="R619" s="72">
        <f t="shared" ref="R619:R620" si="54">IFERROR(N619/(I619/30),0)</f>
        <v>44.29530201342282</v>
      </c>
      <c r="AC619"/>
      <c r="AD619"/>
      <c r="AE619"/>
      <c r="AF619"/>
      <c r="AG619"/>
      <c r="AH619"/>
      <c r="AI619"/>
      <c r="AJ619"/>
    </row>
    <row r="620" spans="1:36" ht="15">
      <c r="A620" s="352" t="str">
        <f t="shared" si="48"/>
        <v>440420308</v>
      </c>
      <c r="B620" s="509" t="s">
        <v>112</v>
      </c>
      <c r="C620" s="69" t="str">
        <f>_xlfn.XLOOKUP(B:B,Master!A:A,Master!B:B)</f>
        <v>RPSPL-KER</v>
      </c>
      <c r="D620" s="509" t="s">
        <v>146</v>
      </c>
      <c r="E620" s="69" t="str">
        <f t="shared" si="49"/>
        <v>440420308</v>
      </c>
      <c r="F620" s="509" t="s">
        <v>902</v>
      </c>
      <c r="G620" s="70" t="str">
        <f>VLOOKUP(D620,Master!C:G,4,)</f>
        <v>T&amp;I</v>
      </c>
      <c r="H620" s="69" t="str">
        <f>VLOOKUP(D620,Master!C:G,5,)</f>
        <v>T&amp;I EX HP 2 KG</v>
      </c>
      <c r="I620" s="549">
        <v>5976.24</v>
      </c>
      <c r="J620" s="549">
        <v>10932</v>
      </c>
      <c r="K620" s="71">
        <f t="shared" si="50"/>
        <v>1.8292438054696598</v>
      </c>
      <c r="L620" s="549">
        <v>1008</v>
      </c>
      <c r="M620" s="511">
        <v>46163</v>
      </c>
      <c r="N620" s="549">
        <v>4968</v>
      </c>
      <c r="O620" s="549">
        <v>5976</v>
      </c>
      <c r="P620" s="72">
        <f t="shared" si="53"/>
        <v>-10931.76</v>
      </c>
      <c r="Q620" s="72">
        <f>IFERROR(IF(D620=20250,O620/(#REF!/30),O620/(I620/30)),0)</f>
        <v>29.998795229107266</v>
      </c>
      <c r="R620" s="72">
        <f t="shared" si="54"/>
        <v>24.938757479619294</v>
      </c>
      <c r="AC620"/>
      <c r="AD620"/>
      <c r="AE620"/>
      <c r="AF620"/>
      <c r="AG620"/>
      <c r="AH620"/>
      <c r="AI620"/>
      <c r="AJ620"/>
    </row>
    <row r="621" spans="1:36" ht="15">
      <c r="A621" s="352" t="str">
        <f t="shared" si="48"/>
        <v>440420827</v>
      </c>
      <c r="B621" s="509" t="s">
        <v>112</v>
      </c>
      <c r="C621" s="69" t="str">
        <f>_xlfn.XLOOKUP(B:B,Master!A:A,Master!B:B)</f>
        <v>RPSPL-KER</v>
      </c>
      <c r="D621" s="509" t="s">
        <v>149</v>
      </c>
      <c r="E621" s="69" t="str">
        <f t="shared" si="49"/>
        <v>440420827</v>
      </c>
      <c r="F621" s="509" t="s">
        <v>150</v>
      </c>
      <c r="G621" s="70" t="str">
        <f>VLOOKUP(D621,Master!C:G,4,)</f>
        <v>Ganache</v>
      </c>
      <c r="H621" s="69" t="str">
        <f>VLOOKUP(D621,Master!C:G,5,)</f>
        <v>Ganache- UF</v>
      </c>
      <c r="I621" s="549">
        <v>2100</v>
      </c>
      <c r="J621" s="549">
        <v>1320</v>
      </c>
      <c r="K621" s="71">
        <f t="shared" si="50"/>
        <v>0.62857142857142856</v>
      </c>
      <c r="L621" s="549">
        <v>1200</v>
      </c>
      <c r="M621" s="511">
        <v>46165</v>
      </c>
      <c r="N621" s="549">
        <v>2148</v>
      </c>
      <c r="O621" s="549">
        <v>3348</v>
      </c>
      <c r="P621" s="72">
        <f t="shared" ref="P621:P624" si="55">I621-J621-O621</f>
        <v>-2568</v>
      </c>
      <c r="Q621" s="72">
        <f>IFERROR(IF(D621=20250,O621/(#REF!/30),O621/(I621/30)),0)</f>
        <v>47.828571428571429</v>
      </c>
      <c r="R621" s="72">
        <f t="shared" ref="R621:R627" si="56">IFERROR(N621/(I621/30),0)</f>
        <v>30.685714285714287</v>
      </c>
      <c r="AC621"/>
      <c r="AD621"/>
      <c r="AE621"/>
      <c r="AF621"/>
      <c r="AG621"/>
      <c r="AH621"/>
      <c r="AI621"/>
      <c r="AJ621"/>
    </row>
    <row r="622" spans="1:36" ht="15">
      <c r="A622" s="352" t="str">
        <f t="shared" si="48"/>
        <v>440421910</v>
      </c>
      <c r="B622" s="509" t="s">
        <v>112</v>
      </c>
      <c r="C622" s="69" t="str">
        <f>_xlfn.XLOOKUP(B:B,Master!A:A,Master!B:B)</f>
        <v>RPSPL-KER</v>
      </c>
      <c r="D622" s="509" t="s">
        <v>180</v>
      </c>
      <c r="E622" s="69" t="str">
        <f t="shared" si="49"/>
        <v>440421910</v>
      </c>
      <c r="F622" s="509" t="s">
        <v>181</v>
      </c>
      <c r="G622" s="70" t="str">
        <f>VLOOKUP(D622,Master!C:G,4,)</f>
        <v>T&amp;I</v>
      </c>
      <c r="H622" s="69" t="str">
        <f>VLOOKUP(D622,Master!C:G,5,)</f>
        <v>T&amp;I EX HP 2 KG</v>
      </c>
      <c r="I622" s="549">
        <v>1076.76</v>
      </c>
      <c r="J622" s="549">
        <v>300</v>
      </c>
      <c r="K622" s="71">
        <f t="shared" si="50"/>
        <v>0.27861361863367884</v>
      </c>
      <c r="L622" s="549">
        <v>408</v>
      </c>
      <c r="M622" s="511">
        <v>46163</v>
      </c>
      <c r="N622" s="549">
        <v>948</v>
      </c>
      <c r="O622" s="549">
        <v>1356</v>
      </c>
      <c r="P622" s="72">
        <f t="shared" si="55"/>
        <v>-579.24</v>
      </c>
      <c r="Q622" s="72">
        <f>IFERROR(IF(D622=20250,O622/(#REF!/30),O622/(I622/30)),0)</f>
        <v>37.780006686726843</v>
      </c>
      <c r="R622" s="72">
        <f t="shared" si="56"/>
        <v>26.412571046472749</v>
      </c>
      <c r="AC622"/>
      <c r="AD622"/>
      <c r="AE622"/>
      <c r="AF622"/>
      <c r="AG622"/>
      <c r="AH622"/>
      <c r="AI622"/>
      <c r="AJ622"/>
    </row>
    <row r="623" spans="1:36" ht="15">
      <c r="A623" s="352" t="str">
        <f t="shared" si="48"/>
        <v>440423081</v>
      </c>
      <c r="B623" s="509" t="s">
        <v>112</v>
      </c>
      <c r="C623" s="69" t="str">
        <f>_xlfn.XLOOKUP(B:B,Master!A:A,Master!B:B)</f>
        <v>RPSPL-KER</v>
      </c>
      <c r="D623" s="509" t="s">
        <v>189</v>
      </c>
      <c r="E623" s="69" t="str">
        <f t="shared" si="49"/>
        <v>440423081</v>
      </c>
      <c r="F623" s="509" t="s">
        <v>190</v>
      </c>
      <c r="G623" s="70" t="str">
        <f>VLOOKUP(D623,Master!C:G,4,)</f>
        <v>T&amp;I</v>
      </c>
      <c r="H623" s="69" t="str">
        <f>VLOOKUP(D623,Master!C:G,5,)</f>
        <v>T&amp;I EX HP</v>
      </c>
      <c r="I623" s="549">
        <v>2144.7600000000002</v>
      </c>
      <c r="J623" s="549">
        <v>552</v>
      </c>
      <c r="K623" s="71">
        <f t="shared" si="50"/>
        <v>0.25737145414871593</v>
      </c>
      <c r="L623" s="549">
        <v>504</v>
      </c>
      <c r="M623" s="511">
        <v>46163</v>
      </c>
      <c r="N623" s="549">
        <v>720</v>
      </c>
      <c r="O623" s="549">
        <v>1224</v>
      </c>
      <c r="P623" s="72">
        <f t="shared" si="55"/>
        <v>368.76000000000022</v>
      </c>
      <c r="Q623" s="72">
        <f>IFERROR(IF(D623=20250,O623/(#REF!/30),O623/(I623/30)),0)</f>
        <v>17.120796732501539</v>
      </c>
      <c r="R623" s="72">
        <f t="shared" si="56"/>
        <v>10.071056901471493</v>
      </c>
      <c r="AC623"/>
      <c r="AD623"/>
      <c r="AE623"/>
      <c r="AF623"/>
      <c r="AG623"/>
      <c r="AH623"/>
      <c r="AI623"/>
      <c r="AJ623"/>
    </row>
    <row r="624" spans="1:36" ht="15">
      <c r="A624" s="352" t="str">
        <f t="shared" si="48"/>
        <v>440423401</v>
      </c>
      <c r="B624" s="509" t="s">
        <v>112</v>
      </c>
      <c r="C624" s="69" t="str">
        <f>_xlfn.XLOOKUP(B:B,Master!A:A,Master!B:B)</f>
        <v>RPSPL-KER</v>
      </c>
      <c r="D624" s="509" t="s">
        <v>194</v>
      </c>
      <c r="E624" s="69" t="str">
        <f t="shared" si="49"/>
        <v>440423401</v>
      </c>
      <c r="F624" s="509" t="s">
        <v>195</v>
      </c>
      <c r="G624" s="70" t="str">
        <f>VLOOKUP(D624,Master!C:G,4,)</f>
        <v>T&amp;I</v>
      </c>
      <c r="H624" s="69" t="str">
        <f>VLOOKUP(D624,Master!C:G,5,)</f>
        <v>T&amp;I EX UF</v>
      </c>
      <c r="I624" s="549">
        <v>14499.96</v>
      </c>
      <c r="J624" s="549">
        <v>10848</v>
      </c>
      <c r="K624" s="71">
        <f t="shared" si="50"/>
        <v>0.74813999486895144</v>
      </c>
      <c r="L624" s="549">
        <v>6000</v>
      </c>
      <c r="M624" s="511">
        <v>46165</v>
      </c>
      <c r="N624" s="549">
        <v>2388</v>
      </c>
      <c r="O624" s="549">
        <v>8388</v>
      </c>
      <c r="P624" s="72">
        <f t="shared" si="55"/>
        <v>-4736.0400000000009</v>
      </c>
      <c r="Q624" s="72">
        <f>IFERROR(IF(D624=20250,O624/(#REF!/30),O624/(I624/30)),0)</f>
        <v>17.354530633187952</v>
      </c>
      <c r="R624" s="72">
        <f t="shared" si="56"/>
        <v>4.9407032846987162</v>
      </c>
      <c r="AC624"/>
      <c r="AD624"/>
      <c r="AE624"/>
      <c r="AF624"/>
      <c r="AG624"/>
      <c r="AH624"/>
      <c r="AI624"/>
      <c r="AJ624"/>
    </row>
    <row r="625" spans="1:36" ht="15">
      <c r="A625" s="352" t="str">
        <f t="shared" si="48"/>
        <v>440424768</v>
      </c>
      <c r="B625" s="509" t="s">
        <v>112</v>
      </c>
      <c r="C625" s="69" t="str">
        <f>_xlfn.XLOOKUP(B:B,Master!A:A,Master!B:B)</f>
        <v>RPSPL-KER</v>
      </c>
      <c r="D625" s="509" t="s">
        <v>906</v>
      </c>
      <c r="E625" s="69" t="str">
        <f t="shared" si="49"/>
        <v>440424768</v>
      </c>
      <c r="F625" s="509" t="s">
        <v>912</v>
      </c>
      <c r="G625" s="70" t="str">
        <f>VLOOKUP(D625,Master!C:G,4,)</f>
        <v>T&amp;I</v>
      </c>
      <c r="H625" s="69" t="str">
        <f>VLOOKUP(D625,Master!C:G,5,)</f>
        <v>T&amp;I EX UF</v>
      </c>
      <c r="I625" s="549">
        <v>3000</v>
      </c>
      <c r="J625" s="549">
        <v>1224</v>
      </c>
      <c r="K625" s="71">
        <f t="shared" si="50"/>
        <v>0.40799999999999997</v>
      </c>
      <c r="L625" s="549">
        <v>2400</v>
      </c>
      <c r="M625" s="511">
        <v>46165</v>
      </c>
      <c r="N625" s="549">
        <v>708</v>
      </c>
      <c r="O625" s="549">
        <v>3108</v>
      </c>
      <c r="P625" s="72">
        <f t="shared" ref="P625:P627" si="57">I625-J625-O625</f>
        <v>-1332</v>
      </c>
      <c r="Q625" s="72">
        <f>IFERROR(IF(D625=20250,O625/(#REF!/30),O625/(I625/30)),0)</f>
        <v>31.08</v>
      </c>
      <c r="R625" s="72">
        <f t="shared" si="56"/>
        <v>7.08</v>
      </c>
      <c r="AC625"/>
      <c r="AD625"/>
      <c r="AE625"/>
      <c r="AF625"/>
      <c r="AG625"/>
      <c r="AH625"/>
      <c r="AI625"/>
      <c r="AJ625"/>
    </row>
    <row r="626" spans="1:36" ht="15">
      <c r="A626" s="352" t="str">
        <f t="shared" si="48"/>
        <v>440425570</v>
      </c>
      <c r="B626" s="509" t="s">
        <v>112</v>
      </c>
      <c r="C626" s="69" t="str">
        <f>_xlfn.XLOOKUP(B:B,Master!A:A,Master!B:B)</f>
        <v>RPSPL-KER</v>
      </c>
      <c r="D626" s="509" t="s">
        <v>1006</v>
      </c>
      <c r="E626" s="69" t="str">
        <f t="shared" si="49"/>
        <v>440425570</v>
      </c>
      <c r="F626" s="509" t="s">
        <v>1008</v>
      </c>
      <c r="G626" s="70" t="str">
        <f>VLOOKUP(D626,Master!C:G,4,)</f>
        <v>T&amp;I</v>
      </c>
      <c r="H626" s="69" t="str">
        <f>VLOOKUP(D626,Master!C:G,5,)</f>
        <v>T&amp;I EX HP</v>
      </c>
      <c r="I626" s="549">
        <v>1072.8</v>
      </c>
      <c r="J626" s="549">
        <v>168</v>
      </c>
      <c r="K626" s="71">
        <f t="shared" si="50"/>
        <v>0.15659955257270694</v>
      </c>
      <c r="L626" s="549">
        <v>0</v>
      </c>
      <c r="M626" s="511"/>
      <c r="N626" s="549">
        <v>1332</v>
      </c>
      <c r="O626" s="549">
        <v>1332</v>
      </c>
      <c r="P626" s="72">
        <f t="shared" si="57"/>
        <v>-427.20000000000005</v>
      </c>
      <c r="Q626" s="72">
        <f>IFERROR(IF(D626=20250,O626/(#REF!/30),O626/(I626/30)),0)</f>
        <v>37.24832214765101</v>
      </c>
      <c r="R626" s="72">
        <f t="shared" si="56"/>
        <v>37.24832214765101</v>
      </c>
      <c r="AC626"/>
      <c r="AD626"/>
      <c r="AE626"/>
      <c r="AF626"/>
      <c r="AG626"/>
      <c r="AH626"/>
      <c r="AI626"/>
      <c r="AJ626"/>
    </row>
    <row r="627" spans="1:36" ht="15">
      <c r="A627" s="352" t="str">
        <f t="shared" si="48"/>
        <v>440425598</v>
      </c>
      <c r="B627" s="509" t="s">
        <v>112</v>
      </c>
      <c r="C627" s="69" t="str">
        <f>_xlfn.XLOOKUP(B:B,Master!A:A,Master!B:B)</f>
        <v>RPSPL-KER</v>
      </c>
      <c r="D627" s="509" t="s">
        <v>1007</v>
      </c>
      <c r="E627" s="69" t="str">
        <f t="shared" si="49"/>
        <v>440425598</v>
      </c>
      <c r="F627" s="509" t="s">
        <v>1009</v>
      </c>
      <c r="G627" s="70" t="str">
        <f>VLOOKUP(D627,Master!C:G,4,)</f>
        <v>T&amp;I</v>
      </c>
      <c r="H627" s="69" t="str">
        <f>VLOOKUP(D627,Master!C:G,5,)</f>
        <v>T&amp;I EX HP</v>
      </c>
      <c r="I627" s="549">
        <v>3999.96</v>
      </c>
      <c r="J627" s="549">
        <v>1932</v>
      </c>
      <c r="K627" s="71">
        <f t="shared" si="50"/>
        <v>0.48300483004830047</v>
      </c>
      <c r="L627" s="549">
        <v>0</v>
      </c>
      <c r="M627" s="511"/>
      <c r="N627" s="549">
        <v>768</v>
      </c>
      <c r="O627" s="549">
        <v>768</v>
      </c>
      <c r="P627" s="72">
        <f t="shared" si="57"/>
        <v>1299.96</v>
      </c>
      <c r="Q627" s="72">
        <f>IFERROR(IF(D627=20250,O627/(#REF!/30),O627/(I627/30)),0)</f>
        <v>5.7600576005760065</v>
      </c>
      <c r="R627" s="72">
        <f t="shared" si="56"/>
        <v>5.7600576005760065</v>
      </c>
      <c r="AC627"/>
      <c r="AD627"/>
      <c r="AE627"/>
      <c r="AF627"/>
      <c r="AG627"/>
      <c r="AH627"/>
      <c r="AI627"/>
      <c r="AJ627"/>
    </row>
  </sheetData>
  <autoFilter ref="A2:R624" xr:uid="{00000000-0001-0000-0000-000000000000}"/>
  <phoneticPr fontId="12" type="noConversion"/>
  <conditionalFormatting sqref="K1:K1048576">
    <cfRule type="cellIs" dxfId="2190" priority="1" operator="greaterThan">
      <formula>$X$2</formula>
    </cfRule>
    <cfRule type="cellIs" dxfId="2189" priority="2" operator="lessThan">
      <formula>$W$2</formula>
    </cfRule>
    <cfRule type="cellIs" dxfId="2188" priority="3" operator="between">
      <formula>$W$2</formula>
      <formula>$X$2</formula>
    </cfRule>
  </conditionalFormatting>
  <pageMargins left="0.7" right="0.7" top="0.75" bottom="0.75" header="0.3" footer="0.3"/>
  <pageSetup orientation="portrait" r:id="rId1"/>
  <ignoredErrors>
    <ignoredError sqref="Q2" evalError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8987-2513-4D21-BCB1-DDAFC4C83613}">
  <sheetPr>
    <tabColor rgb="FF00B0F0"/>
  </sheetPr>
  <dimension ref="A1:AD31"/>
  <sheetViews>
    <sheetView showGridLines="0" topLeftCell="B1" zoomScale="98" zoomScaleNormal="70" workbookViewId="0">
      <selection activeCell="H5" sqref="H5"/>
    </sheetView>
  </sheetViews>
  <sheetFormatPr defaultColWidth="9.140625" defaultRowHeight="12.75"/>
  <cols>
    <col min="1" max="1" width="9.140625" style="124" hidden="1" customWidth="1"/>
    <col min="2" max="2" width="4" style="254" customWidth="1"/>
    <col min="3" max="3" width="3.28515625" style="124" customWidth="1"/>
    <col min="4" max="4" width="8.140625" style="124" customWidth="1"/>
    <col min="5" max="5" width="28.85546875" style="124" customWidth="1"/>
    <col min="6" max="6" width="6.42578125" style="124" hidden="1" customWidth="1"/>
    <col min="7" max="7" width="8.140625" style="42" bestFit="1" customWidth="1"/>
    <col min="8" max="8" width="7" style="42" bestFit="1" customWidth="1"/>
    <col min="9" max="9" width="6.5703125" style="42" bestFit="1" customWidth="1"/>
    <col min="10" max="10" width="7.7109375" style="42" bestFit="1" customWidth="1"/>
    <col min="11" max="11" width="7.42578125" style="42" bestFit="1" customWidth="1"/>
    <col min="12" max="12" width="9" style="42" bestFit="1" customWidth="1"/>
    <col min="13" max="14" width="7.140625" style="42" bestFit="1" customWidth="1"/>
    <col min="15" max="15" width="8.140625" style="42" bestFit="1" customWidth="1"/>
    <col min="16" max="16" width="2.85546875" style="42" customWidth="1"/>
    <col min="17" max="17" width="7.42578125" style="42" customWidth="1"/>
    <col min="18" max="18" width="9" style="42" bestFit="1" customWidth="1"/>
    <col min="19" max="19" width="7.140625" style="42" bestFit="1" customWidth="1"/>
    <col min="20" max="21" width="7" style="42" bestFit="1" customWidth="1"/>
    <col min="22" max="22" width="8.140625" style="42" bestFit="1" customWidth="1"/>
    <col min="23" max="23" width="7" style="42" bestFit="1" customWidth="1"/>
    <col min="24" max="24" width="6.42578125" style="42" customWidth="1"/>
    <col min="25" max="25" width="7.140625" style="42" bestFit="1" customWidth="1"/>
    <col min="26" max="26" width="10.5703125" style="124" customWidth="1"/>
    <col min="27" max="27" width="9.42578125" style="42" customWidth="1"/>
    <col min="28" max="28" width="8.85546875" style="42" bestFit="1" customWidth="1"/>
    <col min="29" max="29" width="9.7109375" style="42" customWidth="1"/>
    <col min="30" max="16384" width="9.140625" style="124"/>
  </cols>
  <sheetData>
    <row r="1" spans="1:30">
      <c r="E1" s="124" t="s">
        <v>822</v>
      </c>
      <c r="Q1" s="124" t="s">
        <v>1000</v>
      </c>
    </row>
    <row r="2" spans="1:30">
      <c r="Q2" s="124"/>
    </row>
    <row r="3" spans="1:30" s="125" customFormat="1" ht="26.25" thickBot="1">
      <c r="A3" s="124"/>
      <c r="B3" s="254"/>
      <c r="G3" s="126">
        <v>14</v>
      </c>
      <c r="H3" s="126">
        <v>6</v>
      </c>
      <c r="I3" s="126">
        <v>7</v>
      </c>
      <c r="J3" s="126">
        <v>12</v>
      </c>
      <c r="K3" s="126">
        <v>19</v>
      </c>
      <c r="L3" s="126">
        <v>16</v>
      </c>
      <c r="M3" s="126">
        <v>18</v>
      </c>
      <c r="N3" s="126">
        <v>21</v>
      </c>
      <c r="O3" s="126"/>
      <c r="P3" s="126"/>
      <c r="Q3" s="126">
        <v>4</v>
      </c>
      <c r="R3" s="126">
        <v>5</v>
      </c>
      <c r="S3" s="126">
        <v>8</v>
      </c>
      <c r="T3" s="126">
        <v>10</v>
      </c>
      <c r="U3" s="126">
        <v>11</v>
      </c>
      <c r="V3" s="126">
        <v>13</v>
      </c>
      <c r="W3" s="126">
        <v>15</v>
      </c>
      <c r="X3" s="126">
        <v>20</v>
      </c>
      <c r="Y3" s="126">
        <v>17</v>
      </c>
      <c r="AA3" s="126"/>
      <c r="AB3" s="235" t="s">
        <v>897</v>
      </c>
      <c r="AC3" s="235" t="s">
        <v>897</v>
      </c>
    </row>
    <row r="4" spans="1:30" ht="39" thickBot="1">
      <c r="D4" s="494" t="s">
        <v>2</v>
      </c>
      <c r="E4" s="467" t="s">
        <v>4</v>
      </c>
      <c r="F4" s="467" t="s">
        <v>6</v>
      </c>
      <c r="G4" s="468" t="s">
        <v>121</v>
      </c>
      <c r="H4" s="468" t="s">
        <v>122</v>
      </c>
      <c r="I4" s="468" t="s">
        <v>123</v>
      </c>
      <c r="J4" s="468" t="s">
        <v>124</v>
      </c>
      <c r="K4" s="468" t="s">
        <v>717</v>
      </c>
      <c r="L4" s="468" t="s">
        <v>125</v>
      </c>
      <c r="M4" s="468" t="s">
        <v>176</v>
      </c>
      <c r="N4" s="468" t="s">
        <v>962</v>
      </c>
      <c r="O4" s="469" t="s">
        <v>126</v>
      </c>
      <c r="Q4" s="211" t="s">
        <v>127</v>
      </c>
      <c r="R4" s="212" t="s">
        <v>128</v>
      </c>
      <c r="S4" s="212" t="s">
        <v>129</v>
      </c>
      <c r="T4" s="212" t="s">
        <v>130</v>
      </c>
      <c r="U4" s="212" t="s">
        <v>131</v>
      </c>
      <c r="V4" s="212" t="s">
        <v>132</v>
      </c>
      <c r="W4" s="212" t="s">
        <v>133</v>
      </c>
      <c r="X4" s="212" t="s">
        <v>187</v>
      </c>
      <c r="Y4" s="213" t="s">
        <v>155</v>
      </c>
      <c r="Z4" s="210" t="s">
        <v>1002</v>
      </c>
      <c r="AA4" s="89" t="s">
        <v>135</v>
      </c>
      <c r="AB4" s="282" t="s">
        <v>1003</v>
      </c>
      <c r="AC4" s="283" t="s">
        <v>137</v>
      </c>
    </row>
    <row r="5" spans="1:30" ht="14.45" customHeight="1">
      <c r="A5" s="124" t="str">
        <f t="shared" ref="A5:A16" si="0">$AB$4&amp;$D5</f>
        <v>UF00189</v>
      </c>
      <c r="B5" s="254" t="str">
        <f t="shared" ref="B5:B16" si="1">$AC$4&amp;$D5</f>
        <v>HP00189</v>
      </c>
      <c r="D5" s="185" t="s">
        <v>51</v>
      </c>
      <c r="E5" s="40" t="s">
        <v>52</v>
      </c>
      <c r="G5" s="132">
        <f>IFERROR(VLOOKUP($D5,'RF Pendency Pivot'!$A:$T,14,0),"")</f>
        <v>-893.39999999999418</v>
      </c>
      <c r="H5" s="132">
        <f>IFERROR(VLOOKUP($D5,'RF Pendency Pivot'!$A:$T,6,0),"")</f>
        <v>0</v>
      </c>
      <c r="I5" s="132">
        <f>IFERROR(VLOOKUP($D5,'RF Pendency Pivot'!$A:$T,7,0),"")</f>
        <v>-14290.919999999998</v>
      </c>
      <c r="J5" s="132">
        <f>IFERROR(VLOOKUP($D5,'RF Pendency Pivot'!$A:$T,12,0),"")</f>
        <v>0</v>
      </c>
      <c r="K5" s="132">
        <f>IFERROR(VLOOKUP($D5,'RF Pendency Pivot'!$A:$T,19,0),"")</f>
        <v>-10200.959999999999</v>
      </c>
      <c r="L5" s="132">
        <f>IFERROR(VLOOKUP($D5,'RF Pendency Pivot'!$A:$T,16,0),"")</f>
        <v>-6212.0400000000009</v>
      </c>
      <c r="M5" s="132">
        <f>IFERROR(VLOOKUP($D5,'RF Pendency Pivot'!$A:$T,18,0),"")</f>
        <v>-70.559999999997672</v>
      </c>
      <c r="N5" s="132">
        <f>IFERROR(VLOOKUP($D5,'RF Pendency Pivot'!$A:$U,21,0),"")</f>
        <v>-1256.0400000000009</v>
      </c>
      <c r="O5" s="457">
        <f>IF(G5&lt;0,G5+SUMIF(G5:N5,"&gt;0"),SUMIF(G5:N5,"&gt;0"))</f>
        <v>-893.39999999999418</v>
      </c>
      <c r="Q5" s="214">
        <f>IFERROR(VLOOKUP($D5,'RF Pendency Pivot'!$A:$T,4,0),"")</f>
        <v>13663.200000000012</v>
      </c>
      <c r="R5" s="215">
        <f>IFERROR(VLOOKUP($D5,'RF Pendency Pivot'!$A:$T,5,0),"")</f>
        <v>-15716.04</v>
      </c>
      <c r="S5" s="215">
        <f>IFERROR(VLOOKUP($D5,'RF Pendency Pivot'!$A:$T,8,0),"")</f>
        <v>2520.4800000000032</v>
      </c>
      <c r="T5" s="215">
        <f>IFERROR(VLOOKUP($D5,'RF Pendency Pivot'!$A:$T,10,0),"")</f>
        <v>11456.040000000008</v>
      </c>
      <c r="U5" s="215">
        <f>IFERROR(VLOOKUP($D5,'RF Pendency Pivot'!$A:$T,11,0),"")</f>
        <v>14091.96</v>
      </c>
      <c r="V5" s="215">
        <f>IFERROR(VLOOKUP($D5,'RF Pendency Pivot'!$A:$T,13,0),"")</f>
        <v>-17594.64</v>
      </c>
      <c r="W5" s="215">
        <f>IFERROR(VLOOKUP($D5,'RF Pendency Pivot'!$A:$T,15,0),"")</f>
        <v>-8828.7600000000093</v>
      </c>
      <c r="X5" s="215">
        <f>IFERROR(VLOOKUP($D5,'RF Pendency Pivot'!$A:$T,20,0),"")</f>
        <v>0</v>
      </c>
      <c r="Y5" s="215">
        <f>IFERROR(VLOOKUP($D5,'RF Pendency Pivot'!$A:$T,17,0),"")</f>
        <v>-3748.7999999999993</v>
      </c>
      <c r="Z5" s="292">
        <f>IF(W5&lt;0,W5+SUMIF(Q5:Y5,"&gt;0"),SUMIF(Q5:Y5,"&gt;0"))</f>
        <v>32902.920000000013</v>
      </c>
      <c r="AA5" s="209">
        <f t="shared" ref="AA5:AA7" si="2">O5+Z5</f>
        <v>32009.520000000019</v>
      </c>
      <c r="AB5" s="236" t="str">
        <f>IFERROR(VLOOKUP($A5,#REF!,2,0),"")</f>
        <v/>
      </c>
      <c r="AC5" s="238" t="str">
        <f>IFERROR(VLOOKUP($B5,#REF!,2,0),"")</f>
        <v/>
      </c>
      <c r="AD5" s="131"/>
    </row>
    <row r="6" spans="1:30" ht="15.6" customHeight="1">
      <c r="A6" s="124" t="str">
        <f t="shared" si="0"/>
        <v>UF07310</v>
      </c>
      <c r="B6" s="254" t="str">
        <f t="shared" si="1"/>
        <v>HP07310</v>
      </c>
      <c r="D6" s="185" t="s">
        <v>19</v>
      </c>
      <c r="E6" s="40" t="s">
        <v>20</v>
      </c>
      <c r="G6" s="132">
        <f>IFERROR(VLOOKUP($D6,'RF Pendency Pivot'!$A:$T,14,0),"")</f>
        <v>-73307.16</v>
      </c>
      <c r="H6" s="132">
        <f>IFERROR(VLOOKUP($D6,'RF Pendency Pivot'!$A:$T,6,0),"")</f>
        <v>0</v>
      </c>
      <c r="I6" s="132">
        <f>IFERROR(VLOOKUP($D6,'RF Pendency Pivot'!$A:$T,7,0),"")</f>
        <v>-2489.64</v>
      </c>
      <c r="J6" s="132">
        <f>IFERROR(VLOOKUP($D6,'RF Pendency Pivot'!$A:$T,12,0),"")</f>
        <v>-15092.400000000001</v>
      </c>
      <c r="K6" s="132">
        <f>IFERROR(VLOOKUP($D6,'RF Pendency Pivot'!$A:$T,19,0),"")</f>
        <v>-11014.8</v>
      </c>
      <c r="L6" s="132">
        <f>IFERROR(VLOOKUP($D6,'RF Pendency Pivot'!$A:$T,16,0),"")</f>
        <v>-19792.080000000002</v>
      </c>
      <c r="M6" s="132">
        <f>IFERROR(VLOOKUP($D6,'RF Pendency Pivot'!$A:$T,18,0),"")</f>
        <v>-2316.2399999999998</v>
      </c>
      <c r="N6" s="132">
        <f>IFERROR(VLOOKUP($D6,'RF Pendency Pivot'!$A:$U,21,0),"")</f>
        <v>-33936</v>
      </c>
      <c r="O6" s="457">
        <f t="shared" ref="O6:O7" si="3">IF(G6&lt;0,G6+SUMIF(G6:N6,"&gt;0"),SUMIF(G6:N6,"&gt;0"))</f>
        <v>-73307.16</v>
      </c>
      <c r="Q6" s="130">
        <f>IFERROR(VLOOKUP($D6,'RF Pendency Pivot'!$A:$T,4,0),"")</f>
        <v>-32952</v>
      </c>
      <c r="R6" s="208">
        <f>IFERROR(VLOOKUP($D6,'RF Pendency Pivot'!$A:$T,5,0),"")</f>
        <v>-15032.64</v>
      </c>
      <c r="S6" s="208">
        <f>IFERROR(VLOOKUP($D6,'RF Pendency Pivot'!$A:$T,8,0),"")</f>
        <v>-17929.559999999998</v>
      </c>
      <c r="T6" s="208">
        <f>IFERROR(VLOOKUP($D6,'RF Pendency Pivot'!$A:$T,10,0),"")</f>
        <v>-21795</v>
      </c>
      <c r="U6" s="208">
        <f>IFERROR(VLOOKUP($D6,'RF Pendency Pivot'!$A:$T,11,0),"")</f>
        <v>-19074.239999999998</v>
      </c>
      <c r="V6" s="208">
        <f>IFERROR(VLOOKUP($D6,'RF Pendency Pivot'!$A:$T,13,0),"")</f>
        <v>-30022.800000000003</v>
      </c>
      <c r="W6" s="208">
        <f>IFERROR(VLOOKUP($D6,'RF Pendency Pivot'!$A:$T,15,0),"")</f>
        <v>-26913</v>
      </c>
      <c r="X6" s="208">
        <f>IFERROR(VLOOKUP($D6,'RF Pendency Pivot'!$A:$T,20,0),"")</f>
        <v>0</v>
      </c>
      <c r="Y6" s="208">
        <f>IFERROR(VLOOKUP($D6,'RF Pendency Pivot'!$A:$T,17,0),"")</f>
        <v>-14590.68</v>
      </c>
      <c r="Z6" s="293">
        <f t="shared" ref="Z6:Z7" si="4">IF(W6&lt;0,W6+SUMIF(Q6:Y6,"&gt;0"),SUMIF(Q6:Y6,"&gt;0"))</f>
        <v>-26913</v>
      </c>
      <c r="AA6" s="143">
        <f t="shared" si="2"/>
        <v>-100220.16</v>
      </c>
      <c r="AB6" s="237" t="str">
        <f>IFERROR(VLOOKUP($A6,#REF!,2,0),"")</f>
        <v/>
      </c>
      <c r="AC6" s="178" t="str">
        <f>IFERROR(VLOOKUP($B6,#REF!,2,0),"")</f>
        <v/>
      </c>
      <c r="AD6" s="131"/>
    </row>
    <row r="7" spans="1:30" ht="15" customHeight="1" thickBot="1">
      <c r="A7" s="124" t="str">
        <f t="shared" si="0"/>
        <v>UF16336</v>
      </c>
      <c r="B7" s="254" t="str">
        <f t="shared" si="1"/>
        <v>HP16336</v>
      </c>
      <c r="D7" s="185" t="s">
        <v>24</v>
      </c>
      <c r="E7" s="40" t="s">
        <v>25</v>
      </c>
      <c r="G7" s="132">
        <f>IFERROR(VLOOKUP($D7,'RF Pendency Pivot'!$A:$T,14,0),"")</f>
        <v>447.11999999999534</v>
      </c>
      <c r="H7" s="132">
        <f>IFERROR(VLOOKUP($D7,'RF Pendency Pivot'!$A:$T,6,0),"")</f>
        <v>0</v>
      </c>
      <c r="I7" s="132">
        <f>IFERROR(VLOOKUP($D7,'RF Pendency Pivot'!$A:$T,7,0),"")</f>
        <v>-6255.1200000000008</v>
      </c>
      <c r="J7" s="132">
        <f>IFERROR(VLOOKUP($D7,'RF Pendency Pivot'!$A:$T,12,0),"")</f>
        <v>-27810.720000000001</v>
      </c>
      <c r="K7" s="132">
        <f>IFERROR(VLOOKUP($D7,'RF Pendency Pivot'!$A:$T,19,0),"")</f>
        <v>-18895.559999999998</v>
      </c>
      <c r="L7" s="132">
        <f>IFERROR(VLOOKUP($D7,'RF Pendency Pivot'!$A:$T,16,0),"")</f>
        <v>-15248.04</v>
      </c>
      <c r="M7" s="132">
        <f>IFERROR(VLOOKUP($D7,'RF Pendency Pivot'!$A:$T,18,0),"")</f>
        <v>-8062.8000000000029</v>
      </c>
      <c r="N7" s="132">
        <f>IFERROR(VLOOKUP($D7,'RF Pendency Pivot'!$A:$U,21,0),"")</f>
        <v>-3120</v>
      </c>
      <c r="O7" s="457">
        <f t="shared" si="3"/>
        <v>447.11999999999534</v>
      </c>
      <c r="Q7" s="138">
        <f>IFERROR(VLOOKUP($D7,'RF Pendency Pivot'!$A:$T,4,0),"")</f>
        <v>-36207.72</v>
      </c>
      <c r="R7" s="139">
        <f>IFERROR(VLOOKUP($D7,'RF Pendency Pivot'!$A:$T,5,0),"")</f>
        <v>-5017.32</v>
      </c>
      <c r="S7" s="139">
        <f>IFERROR(VLOOKUP($D7,'RF Pendency Pivot'!$A:$T,8,0),"")</f>
        <v>-16716.120000000003</v>
      </c>
      <c r="T7" s="139">
        <f>IFERROR(VLOOKUP($D7,'RF Pendency Pivot'!$A:$T,10,0),"")</f>
        <v>-33542.759999999995</v>
      </c>
      <c r="U7" s="139">
        <f>IFERROR(VLOOKUP($D7,'RF Pendency Pivot'!$A:$T,11,0),"")</f>
        <v>-20900.04</v>
      </c>
      <c r="V7" s="139">
        <f>IFERROR(VLOOKUP($D7,'RF Pendency Pivot'!$A:$T,13,0),"")</f>
        <v>-40515.479999999996</v>
      </c>
      <c r="W7" s="139">
        <f>IFERROR(VLOOKUP($D7,'RF Pendency Pivot'!$A:$T,15,0),"")</f>
        <v>-37991.64</v>
      </c>
      <c r="X7" s="139">
        <f>IFERROR(VLOOKUP($D7,'RF Pendency Pivot'!$A:$T,20,0),"")</f>
        <v>0</v>
      </c>
      <c r="Y7" s="139">
        <f>IFERROR(VLOOKUP($D7,'RF Pendency Pivot'!$A:$T,17,0),"")</f>
        <v>-33036.120000000003</v>
      </c>
      <c r="Z7" s="294">
        <f t="shared" si="4"/>
        <v>-37991.64</v>
      </c>
      <c r="AA7" s="145">
        <f t="shared" si="2"/>
        <v>-37544.520000000004</v>
      </c>
      <c r="AB7" s="161" t="str">
        <f>IFERROR(VLOOKUP($A7,#REF!,2,0),"")</f>
        <v/>
      </c>
      <c r="AC7" s="180" t="str">
        <f>IFERROR(VLOOKUP($B7,#REF!,2,0),"")</f>
        <v/>
      </c>
      <c r="AD7" s="131"/>
    </row>
    <row r="8" spans="1:30" ht="15" customHeight="1" thickBot="1">
      <c r="D8" s="421" t="s">
        <v>69</v>
      </c>
      <c r="E8" s="407" t="s">
        <v>70</v>
      </c>
      <c r="G8" s="132">
        <f>IFERROR(VLOOKUP($D8,'RF Pendency Pivot'!$A:$T,14,0),"")</f>
        <v>-4129.5599999999995</v>
      </c>
      <c r="H8" s="132">
        <f>IFERROR(VLOOKUP($D8,'RF Pendency Pivot'!$A:$T,6,0),"")</f>
        <v>0</v>
      </c>
      <c r="I8" s="132">
        <f>IFERROR(VLOOKUP($D8,'RF Pendency Pivot'!$A:$T,7,0),"")</f>
        <v>-9168</v>
      </c>
      <c r="J8" s="132">
        <f>IFERROR(VLOOKUP($D8,'RF Pendency Pivot'!$A:$T,12,0),"")</f>
        <v>-1681.6800000000003</v>
      </c>
      <c r="K8" s="132">
        <f>IFERROR(VLOOKUP($D8,'RF Pendency Pivot'!$A:$T,19,0),"")</f>
        <v>0</v>
      </c>
      <c r="L8" s="132">
        <f>IFERROR(VLOOKUP($D8,'RF Pendency Pivot'!$A:$T,16,0),"")</f>
        <v>4515.9599999999991</v>
      </c>
      <c r="M8" s="132">
        <f>IFERROR(VLOOKUP($D8,'RF Pendency Pivot'!$A:$T,18,0),"")</f>
        <v>-6466.7999999999993</v>
      </c>
      <c r="N8" s="132">
        <f>IFERROR(VLOOKUP($D8,'RF Pendency Pivot'!$A:$U,21,0),"")</f>
        <v>-324</v>
      </c>
      <c r="O8" s="457">
        <f t="shared" ref="O8" si="5">IF(G8&lt;0,G8+SUMIF(G8:N8,"&gt;0"),SUMIF(G8:N8,"&gt;0"))</f>
        <v>386.39999999999964</v>
      </c>
      <c r="Q8" s="138">
        <f>IFERROR(VLOOKUP($D8,'RF Pendency Pivot'!$A:$T,4,0),"")</f>
        <v>-4152.4799999999996</v>
      </c>
      <c r="R8" s="139">
        <f>IFERROR(VLOOKUP($D8,'RF Pendency Pivot'!$A:$T,5,0),"")</f>
        <v>-1410.4799999999996</v>
      </c>
      <c r="S8" s="139">
        <f>IFERROR(VLOOKUP($D8,'RF Pendency Pivot'!$A:$T,8,0),"")</f>
        <v>891.59999999999854</v>
      </c>
      <c r="T8" s="139">
        <f>IFERROR(VLOOKUP($D8,'RF Pendency Pivot'!$A:$T,10,0),"")</f>
        <v>-719.52</v>
      </c>
      <c r="U8" s="139">
        <f>IFERROR(VLOOKUP($D8,'RF Pendency Pivot'!$A:$T,11,0),"")</f>
        <v>-27092.04</v>
      </c>
      <c r="V8" s="139">
        <f>IFERROR(VLOOKUP($D8,'RF Pendency Pivot'!$A:$T,13,0),"")</f>
        <v>-4450.08</v>
      </c>
      <c r="W8" s="139">
        <f>IFERROR(VLOOKUP($D8,'RF Pendency Pivot'!$A:$T,15,0),"")</f>
        <v>-20747.160000000003</v>
      </c>
      <c r="X8" s="139">
        <f>IFERROR(VLOOKUP($D8,'RF Pendency Pivot'!$A:$T,20,0),"")</f>
        <v>0</v>
      </c>
      <c r="Y8" s="139">
        <f>IFERROR(VLOOKUP($D8,'RF Pendency Pivot'!$A:$T,17,0),"")</f>
        <v>-6007.32</v>
      </c>
      <c r="Z8" s="294">
        <f t="shared" ref="Z8" si="6">IF(W8&lt;0,W8+SUMIF(Q8:Y8,"&gt;0"),SUMIF(Q8:Y8,"&gt;0"))</f>
        <v>-19855.560000000005</v>
      </c>
      <c r="AA8" s="145">
        <f t="shared" ref="AA8" si="7">O8+Z8</f>
        <v>-19469.160000000003</v>
      </c>
      <c r="AB8" s="124"/>
      <c r="AC8" s="124"/>
      <c r="AD8" s="131"/>
    </row>
    <row r="9" spans="1:30" ht="15" customHeight="1" thickBot="1">
      <c r="D9" s="437" t="s">
        <v>67</v>
      </c>
      <c r="E9" s="424" t="s">
        <v>68</v>
      </c>
      <c r="F9" s="171"/>
      <c r="G9" s="172">
        <f>IFERROR(VLOOKUP($D9,'RF Pendency Pivot'!$A:$T,14,0),"")</f>
        <v>-12846.48</v>
      </c>
      <c r="H9" s="172">
        <f>IFERROR(VLOOKUP($D9,'RF Pendency Pivot'!$A:$T,6,0),"")</f>
        <v>0</v>
      </c>
      <c r="I9" s="172">
        <f>IFERROR(VLOOKUP($D9,'RF Pendency Pivot'!$A:$T,7,0),"")</f>
        <v>-907.92000000000007</v>
      </c>
      <c r="J9" s="172">
        <f>IFERROR(VLOOKUP($D9,'RF Pendency Pivot'!$A:$T,12,0),"")</f>
        <v>-1011.1200000000008</v>
      </c>
      <c r="K9" s="172">
        <f>IFERROR(VLOOKUP($D9,'RF Pendency Pivot'!$A:$T,19,0),"")</f>
        <v>947.76000000000022</v>
      </c>
      <c r="L9" s="172">
        <f>IFERROR(VLOOKUP($D9,'RF Pendency Pivot'!$A:$T,16,0),"")</f>
        <v>-12</v>
      </c>
      <c r="M9" s="172">
        <f>IFERROR(VLOOKUP($D9,'RF Pendency Pivot'!$A:$T,18,0),"")</f>
        <v>-18.7199999999998</v>
      </c>
      <c r="N9" s="172">
        <f>IFERROR(VLOOKUP($D9,'RF Pendency Pivot'!$A:$U,21,0),"")</f>
        <v>583.92000000000007</v>
      </c>
      <c r="O9" s="460">
        <f t="shared" ref="O9" si="8">IF(G9&lt;0,G9+SUMIF(G9:N9,"&gt;0"),SUMIF(G9:N9,"&gt;0"))</f>
        <v>-11314.8</v>
      </c>
      <c r="Q9" s="138">
        <f>IFERROR(VLOOKUP($D9,'RF Pendency Pivot'!$A:$T,4,0),"")</f>
        <v>-635.88000000000011</v>
      </c>
      <c r="R9" s="139">
        <f>IFERROR(VLOOKUP($D9,'RF Pendency Pivot'!$A:$T,5,0),"")</f>
        <v>118.68000000000006</v>
      </c>
      <c r="S9" s="139">
        <f>IFERROR(VLOOKUP($D9,'RF Pendency Pivot'!$A:$T,8,0),"")</f>
        <v>-0.11999999999989086</v>
      </c>
      <c r="T9" s="139">
        <f>IFERROR(VLOOKUP($D9,'RF Pendency Pivot'!$A:$T,10,0),"")</f>
        <v>-58.319999999999709</v>
      </c>
      <c r="U9" s="139">
        <f>IFERROR(VLOOKUP($D9,'RF Pendency Pivot'!$A:$T,11,0),"")</f>
        <v>-2904.24</v>
      </c>
      <c r="V9" s="139">
        <f>IFERROR(VLOOKUP($D9,'RF Pendency Pivot'!$A:$T,13,0),"")</f>
        <v>-861.48</v>
      </c>
      <c r="W9" s="139">
        <f>IFERROR(VLOOKUP($D9,'RF Pendency Pivot'!$A:$T,15,0),"")</f>
        <v>-2589.9599999999991</v>
      </c>
      <c r="X9" s="139">
        <f>IFERROR(VLOOKUP($D9,'RF Pendency Pivot'!$A:$T,20,0),"")</f>
        <v>0</v>
      </c>
      <c r="Y9" s="139">
        <f>IFERROR(VLOOKUP($D9,'RF Pendency Pivot'!$A:$T,17,0),"")</f>
        <v>-417.48</v>
      </c>
      <c r="Z9" s="294">
        <f t="shared" ref="Z9" si="9">IF(W9&lt;0,W9+SUMIF(Q9:Y9,"&gt;0"),SUMIF(Q9:Y9,"&gt;0"))</f>
        <v>-2471.2799999999988</v>
      </c>
      <c r="AA9" s="145">
        <f t="shared" ref="AA9" si="10">O9+Z9</f>
        <v>-13786.079999999998</v>
      </c>
      <c r="AB9" s="124"/>
      <c r="AC9" s="124"/>
      <c r="AD9" s="131"/>
    </row>
    <row r="10" spans="1:30">
      <c r="AB10" s="235"/>
      <c r="AC10" s="235"/>
    </row>
    <row r="11" spans="1:30">
      <c r="A11" s="124" t="str">
        <f t="shared" si="0"/>
        <v>UF</v>
      </c>
      <c r="B11" s="254" t="s">
        <v>148</v>
      </c>
      <c r="C11" s="124" t="s">
        <v>148</v>
      </c>
      <c r="AA11" s="132"/>
    </row>
    <row r="12" spans="1:30" ht="25.5">
      <c r="A12" s="124" t="str">
        <f t="shared" si="0"/>
        <v>UF</v>
      </c>
      <c r="B12" s="254" t="str">
        <f t="shared" si="1"/>
        <v>HP</v>
      </c>
      <c r="AB12" s="235" t="s">
        <v>897</v>
      </c>
      <c r="AC12" s="235" t="s">
        <v>897</v>
      </c>
    </row>
    <row r="13" spans="1:30" ht="26.25" thickBot="1">
      <c r="A13" s="124" t="str">
        <f t="shared" si="0"/>
        <v>UFMaterial Code</v>
      </c>
      <c r="B13" s="254" t="str">
        <f t="shared" si="1"/>
        <v>HPMaterial Code</v>
      </c>
      <c r="D13" s="433" t="s">
        <v>2</v>
      </c>
      <c r="E13" s="434" t="s">
        <v>4</v>
      </c>
      <c r="F13" s="434" t="s">
        <v>6</v>
      </c>
      <c r="G13" s="435" t="s">
        <v>121</v>
      </c>
      <c r="H13" s="435" t="s">
        <v>122</v>
      </c>
      <c r="I13" s="435" t="s">
        <v>123</v>
      </c>
      <c r="J13" s="435" t="s">
        <v>124</v>
      </c>
      <c r="K13" s="435" t="s">
        <v>717</v>
      </c>
      <c r="L13" s="435" t="s">
        <v>125</v>
      </c>
      <c r="M13" s="435" t="s">
        <v>176</v>
      </c>
      <c r="N13" s="436" t="s">
        <v>962</v>
      </c>
      <c r="O13" s="88" t="s">
        <v>126</v>
      </c>
      <c r="P13" s="140"/>
      <c r="Q13" s="117" t="s">
        <v>127</v>
      </c>
      <c r="R13" s="118" t="s">
        <v>128</v>
      </c>
      <c r="S13" s="118" t="s">
        <v>129</v>
      </c>
      <c r="T13" s="118" t="s">
        <v>130</v>
      </c>
      <c r="U13" s="118" t="s">
        <v>131</v>
      </c>
      <c r="V13" s="118" t="s">
        <v>132</v>
      </c>
      <c r="W13" s="118" t="s">
        <v>133</v>
      </c>
      <c r="X13" s="118" t="s">
        <v>187</v>
      </c>
      <c r="Y13" s="119" t="s">
        <v>155</v>
      </c>
      <c r="Z13" s="88" t="s">
        <v>134</v>
      </c>
      <c r="AA13" s="88" t="s">
        <v>135</v>
      </c>
      <c r="AB13" s="284" t="s">
        <v>1003</v>
      </c>
      <c r="AC13" s="285" t="s">
        <v>137</v>
      </c>
    </row>
    <row r="14" spans="1:30">
      <c r="A14" s="124" t="str">
        <f t="shared" si="0"/>
        <v>UF00189</v>
      </c>
      <c r="B14" s="254" t="str">
        <f t="shared" si="1"/>
        <v>HP00189</v>
      </c>
      <c r="D14" s="318" t="s">
        <v>51</v>
      </c>
      <c r="E14" s="432" t="s">
        <v>52</v>
      </c>
      <c r="G14" s="112">
        <f>IFERROR(VLOOKUP($D14,'INV Days Pivot'!$A:$T,14,0),"")</f>
        <v>15.850345964088271</v>
      </c>
      <c r="H14" s="87">
        <f>IFERROR(VLOOKUP($D14,'INV Days Pivot'!$A:$T,6,0),"")</f>
        <v>0</v>
      </c>
      <c r="I14" s="87">
        <f>IFERROR(VLOOKUP($D14,'INV Days Pivot'!$A:$T,7,0),"")</f>
        <v>29.539740307452092</v>
      </c>
      <c r="J14" s="87">
        <f>IFERROR(VLOOKUP($D14,'INV Days Pivot'!$A:$T,12,0),"")</f>
        <v>9.57</v>
      </c>
      <c r="K14" s="87">
        <f>IFERROR(VLOOKUP($D14,'INV Days Pivot'!$A:$T,19,0),"")</f>
        <v>20.714059265613635</v>
      </c>
      <c r="L14" s="87">
        <f>IFERROR(VLOOKUP($D14,'INV Days Pivot'!$A:$T,16,0),"")</f>
        <v>30.960107687331085</v>
      </c>
      <c r="M14" s="87">
        <f>IFERROR(VLOOKUP($D14,'INV Days Pivot'!$A:$T,18,0),"")</f>
        <v>15.089686885706262</v>
      </c>
      <c r="N14" s="113">
        <f>IFERROR(VLOOKUP($D14,'INV Days Pivot'!$A:$U,21,0),"")</f>
        <v>10.260012070602437</v>
      </c>
      <c r="O14" s="317"/>
      <c r="P14" s="87"/>
      <c r="Q14" s="111">
        <f>IFERROR(VLOOKUP($D14,'INV Days Pivot'!$A:$T,4,0),"")</f>
        <v>10.290835084033612</v>
      </c>
      <c r="R14" s="87">
        <f>IFERROR(VLOOKUP($D14,'INV Days Pivot'!$A:$T,5,0),"")</f>
        <v>25.093915868560732</v>
      </c>
      <c r="S14" s="87">
        <f>IFERROR(VLOOKUP($D14,'INV Days Pivot'!$A:$T,8,0),"")</f>
        <v>16.785467923660612</v>
      </c>
      <c r="T14" s="87">
        <f>IFERROR(VLOOKUP($D14,'INV Days Pivot'!$A:$T,10,0),"")</f>
        <v>8.6427633304919134</v>
      </c>
      <c r="U14" s="87">
        <f>IFERROR(VLOOKUP($D14,'INV Days Pivot'!$A:$T,11,0),"")</f>
        <v>4.2750042750042754</v>
      </c>
      <c r="V14" s="87">
        <f>IFERROR(VLOOKUP($D14,'INV Days Pivot'!$A:$T,13,0),"")</f>
        <v>4.4662588103933558</v>
      </c>
      <c r="W14" s="112">
        <f>IFERROR(VLOOKUP($D14,'INV Days Pivot'!$A:$T,15,0),"")</f>
        <v>14.783060166301709</v>
      </c>
      <c r="X14" s="87">
        <f>IFERROR(VLOOKUP($D14,'INV Days Pivot'!$A:$T,20,0),"")</f>
        <v>0</v>
      </c>
      <c r="Y14" s="113">
        <f>IFERROR(VLOOKUP($D14,'INV Days Pivot'!$A:$T,17,0),"")</f>
        <v>13.025948516489196</v>
      </c>
      <c r="Z14" s="141"/>
      <c r="AA14" s="129"/>
      <c r="AB14" s="239" t="str">
        <f>IFERROR(VLOOKUP($A14,#REF!,2,0),"")</f>
        <v/>
      </c>
      <c r="AC14" s="240" t="str">
        <f>IFERROR(VLOOKUP($B14,#REF!,2,0),"")</f>
        <v/>
      </c>
      <c r="AD14" s="142"/>
    </row>
    <row r="15" spans="1:30" ht="15.6" customHeight="1">
      <c r="A15" s="124" t="str">
        <f t="shared" si="0"/>
        <v>UF07310</v>
      </c>
      <c r="B15" s="254" t="str">
        <f t="shared" si="1"/>
        <v>HP07310</v>
      </c>
      <c r="D15" s="318" t="s">
        <v>19</v>
      </c>
      <c r="E15" s="432" t="s">
        <v>20</v>
      </c>
      <c r="G15" s="112">
        <f>IFERROR(VLOOKUP($D15,'INV Days Pivot'!$A:$T,14,0),"")</f>
        <v>45.236674944302251</v>
      </c>
      <c r="H15" s="87">
        <f>IFERROR(VLOOKUP($D15,'INV Days Pivot'!$A:$T,6,0),"")</f>
        <v>0</v>
      </c>
      <c r="I15" s="87">
        <f>IFERROR(VLOOKUP($D15,'INV Days Pivot'!$A:$T,7,0),"")</f>
        <v>49.503565934834292</v>
      </c>
      <c r="J15" s="87">
        <f>IFERROR(VLOOKUP($D15,'INV Days Pivot'!$A:$T,12,0),"")</f>
        <v>31.481216969004429</v>
      </c>
      <c r="K15" s="87">
        <f>IFERROR(VLOOKUP($D15,'INV Days Pivot'!$A:$T,19,0),"")</f>
        <v>27.066075144281733</v>
      </c>
      <c r="L15" s="87">
        <f>IFERROR(VLOOKUP($D15,'INV Days Pivot'!$A:$T,16,0),"")</f>
        <v>39.024156096624388</v>
      </c>
      <c r="M15" s="87">
        <f>IFERROR(VLOOKUP($D15,'INV Days Pivot'!$A:$T,18,0),"")</f>
        <v>34.966665112592658</v>
      </c>
      <c r="N15" s="113">
        <f>IFERROR(VLOOKUP($D15,'INV Days Pivot'!$A:$U,21,0),"")</f>
        <v>18.41076923076923</v>
      </c>
      <c r="O15" s="159"/>
      <c r="P15" s="87"/>
      <c r="Q15" s="111">
        <f>IFERROR(VLOOKUP($D15,'INV Days Pivot'!$A:$T,4,0),"")</f>
        <v>25.819706498951781</v>
      </c>
      <c r="R15" s="87">
        <f>IFERROR(VLOOKUP($D15,'INV Days Pivot'!$A:$T,5,0),"")</f>
        <v>40.672002207810131</v>
      </c>
      <c r="S15" s="87">
        <f>IFERROR(VLOOKUP($D15,'INV Days Pivot'!$A:$T,8,0),"")</f>
        <v>24.09838893404218</v>
      </c>
      <c r="T15" s="87">
        <f>IFERROR(VLOOKUP($D15,'INV Days Pivot'!$A:$T,10,0),"")</f>
        <v>37.610927932171457</v>
      </c>
      <c r="U15" s="87">
        <f>IFERROR(VLOOKUP($D15,'INV Days Pivot'!$A:$T,11,0),"")</f>
        <v>46.177053314121039</v>
      </c>
      <c r="V15" s="87">
        <f>IFERROR(VLOOKUP($D15,'INV Days Pivot'!$A:$T,13,0),"")</f>
        <v>44.020331830823821</v>
      </c>
      <c r="W15" s="112">
        <f>IFERROR(VLOOKUP($D15,'INV Days Pivot'!$A:$T,15,0),"")</f>
        <v>18.872088144337908</v>
      </c>
      <c r="X15" s="87">
        <f>IFERROR(VLOOKUP($D15,'INV Days Pivot'!$A:$T,20,0),"")</f>
        <v>0</v>
      </c>
      <c r="Y15" s="113">
        <f>IFERROR(VLOOKUP($D15,'INV Days Pivot'!$A:$T,17,0),"")</f>
        <v>47.712923249060928</v>
      </c>
      <c r="Z15" s="143"/>
      <c r="AA15" s="133"/>
      <c r="AB15" s="241" t="str">
        <f>IFERROR(VLOOKUP($A15,#REF!,2,0),"")</f>
        <v/>
      </c>
      <c r="AC15" s="134" t="str">
        <f>IFERROR(VLOOKUP($B15,#REF!,2,0),"")</f>
        <v/>
      </c>
    </row>
    <row r="16" spans="1:30" s="144" customFormat="1" ht="13.5" thickBot="1">
      <c r="A16" s="124" t="str">
        <f t="shared" si="0"/>
        <v>UF16336</v>
      </c>
      <c r="B16" s="254" t="str">
        <f t="shared" si="1"/>
        <v>HP16336</v>
      </c>
      <c r="C16" s="124"/>
      <c r="D16" s="318" t="s">
        <v>24</v>
      </c>
      <c r="E16" s="432" t="s">
        <v>25</v>
      </c>
      <c r="F16" s="124"/>
      <c r="G16" s="112">
        <f>IFERROR(VLOOKUP($D16,'INV Days Pivot'!$A:$T,14,0),"")</f>
        <v>8.6804140516749531</v>
      </c>
      <c r="H16" s="87">
        <f>IFERROR(VLOOKUP($D16,'INV Days Pivot'!$A:$T,6,0),"")</f>
        <v>0</v>
      </c>
      <c r="I16" s="87">
        <f>IFERROR(VLOOKUP($D16,'INV Days Pivot'!$A:$T,7,0),"")</f>
        <v>37.243253323387592</v>
      </c>
      <c r="J16" s="206">
        <f>IFERROR(VLOOKUP($D16,'INV Days Pivot'!$A:$T,12,0),"")</f>
        <v>27.921990735560676</v>
      </c>
      <c r="K16" s="87">
        <f>IFERROR(VLOOKUP($D16,'INV Days Pivot'!$A:$T,19,0),"")</f>
        <v>19.362139283363284</v>
      </c>
      <c r="L16" s="87">
        <f>IFERROR(VLOOKUP($D16,'INV Days Pivot'!$A:$T,16,0),"")</f>
        <v>26.84702684702685</v>
      </c>
      <c r="M16" s="87">
        <f>IFERROR(VLOOKUP($D16,'INV Days Pivot'!$A:$T,18,0),"")</f>
        <v>13.714330987310349</v>
      </c>
      <c r="N16" s="113">
        <f>IFERROR(VLOOKUP($D16,'INV Days Pivot'!$A:$U,21,0),"")</f>
        <v>12.310344827586206</v>
      </c>
      <c r="O16" s="163"/>
      <c r="P16" s="55"/>
      <c r="Q16" s="114">
        <f>IFERROR(VLOOKUP($D16,'INV Days Pivot'!$A:$T,4,0),"")</f>
        <v>24.491938462826901</v>
      </c>
      <c r="R16" s="55">
        <f>IFERROR(VLOOKUP($D16,'INV Days Pivot'!$A:$T,5,0),"")</f>
        <v>21.391306000525834</v>
      </c>
      <c r="S16" s="55">
        <f>IFERROR(VLOOKUP($D16,'INV Days Pivot'!$A:$T,8,0),"")</f>
        <v>24.149009360423651</v>
      </c>
      <c r="T16" s="55">
        <f>IFERROR(VLOOKUP($D16,'INV Days Pivot'!$A:$T,10,0),"")</f>
        <v>61.110864787144422</v>
      </c>
      <c r="U16" s="55">
        <f>IFERROR(VLOOKUP($D16,'INV Days Pivot'!$A:$T,11,0),"")</f>
        <v>29.635756622509462</v>
      </c>
      <c r="V16" s="55">
        <f>IFERROR(VLOOKUP($D16,'INV Days Pivot'!$A:$T,13,0),"")</f>
        <v>96.965924731088535</v>
      </c>
      <c r="W16" s="115">
        <f>IFERROR(VLOOKUP($D16,'INV Days Pivot'!$A:$T,15,0),"")</f>
        <v>16.171572078556643</v>
      </c>
      <c r="X16" s="55">
        <f>IFERROR(VLOOKUP($D16,'INV Days Pivot'!$A:$T,20,0),"")</f>
        <v>0</v>
      </c>
      <c r="Y16" s="116">
        <f>IFERROR(VLOOKUP($D16,'INV Days Pivot'!$A:$T,17,0),"")</f>
        <v>29.67816048424255</v>
      </c>
      <c r="Z16" s="145"/>
      <c r="AA16" s="137"/>
      <c r="AB16" s="242" t="str">
        <f>IFERROR(VLOOKUP($A16,#REF!,2,0),"")</f>
        <v/>
      </c>
      <c r="AC16" s="179" t="str">
        <f>IFERROR(VLOOKUP($B16,#REF!,2,0),"")</f>
        <v/>
      </c>
    </row>
    <row r="17" spans="1:29" s="144" customFormat="1" ht="13.5" thickBot="1">
      <c r="A17" s="124"/>
      <c r="B17" s="254"/>
      <c r="C17" s="124"/>
      <c r="D17" s="421" t="s">
        <v>69</v>
      </c>
      <c r="E17" s="407" t="s">
        <v>70</v>
      </c>
      <c r="F17" s="124"/>
      <c r="G17" s="112">
        <f>IFERROR(VLOOKUP($D17,'INV Days Pivot'!$A:$T,14,0),"")</f>
        <v>28.468991420888639</v>
      </c>
      <c r="H17" s="87">
        <f>IFERROR(VLOOKUP($D17,'INV Days Pivot'!$A:$T,6,0),"")</f>
        <v>0</v>
      </c>
      <c r="I17" s="87">
        <f>IFERROR(VLOOKUP($D17,'INV Days Pivot'!$A:$T,7,0),"")</f>
        <v>34.426666666666669</v>
      </c>
      <c r="J17" s="206">
        <f>IFERROR(VLOOKUP($D17,'INV Days Pivot'!$A:$T,12,0),"")</f>
        <v>15.152968255490553</v>
      </c>
      <c r="K17" s="87">
        <f>IFERROR(VLOOKUP($D17,'INV Days Pivot'!$A:$T,19,0),"")</f>
        <v>0</v>
      </c>
      <c r="L17" s="87">
        <f>IFERROR(VLOOKUP($D17,'INV Days Pivot'!$A:$T,16,0),"")</f>
        <v>15.578210142200259</v>
      </c>
      <c r="M17" s="87">
        <f>IFERROR(VLOOKUP($D17,'INV Days Pivot'!$A:$T,18,0),"")</f>
        <v>25.747854345471211</v>
      </c>
      <c r="N17" s="113">
        <f>IFERROR(VLOOKUP($D17,'INV Days Pivot'!$A:$U,21,0),"")</f>
        <v>50.25</v>
      </c>
      <c r="O17" s="163"/>
      <c r="P17" s="55"/>
      <c r="Q17" s="114">
        <f>IFERROR(VLOOKUP($D17,'INV Days Pivot'!$A:$T,4,0),"")</f>
        <v>21.264967861920454</v>
      </c>
      <c r="R17" s="55">
        <f>IFERROR(VLOOKUP($D17,'INV Days Pivot'!$A:$T,5,0),"")</f>
        <v>23.401815197832835</v>
      </c>
      <c r="S17" s="55">
        <f>IFERROR(VLOOKUP($D17,'INV Days Pivot'!$A:$T,8,0),"")</f>
        <v>16.411422457032035</v>
      </c>
      <c r="T17" s="55">
        <f>IFERROR(VLOOKUP($D17,'INV Days Pivot'!$A:$T,10,0),"")</f>
        <v>56.462358427714854</v>
      </c>
      <c r="U17" s="55">
        <f>IFERROR(VLOOKUP($D17,'INV Days Pivot'!$A:$T,11,0),"")</f>
        <v>26.39783738024537</v>
      </c>
      <c r="V17" s="55">
        <f>IFERROR(VLOOKUP($D17,'INV Days Pivot'!$A:$T,13,0),"")</f>
        <v>29.992662345603524</v>
      </c>
      <c r="W17" s="115">
        <f>IFERROR(VLOOKUP($D17,'INV Days Pivot'!$A:$T,15,0),"")</f>
        <v>23.526916948601869</v>
      </c>
      <c r="X17" s="55">
        <f>IFERROR(VLOOKUP($D17,'INV Days Pivot'!$A:$T,20,0),"")</f>
        <v>0</v>
      </c>
      <c r="Y17" s="116">
        <f>IFERROR(VLOOKUP($D17,'INV Days Pivot'!$A:$T,17,0),"")</f>
        <v>20.797154073653079</v>
      </c>
      <c r="Z17" s="145"/>
      <c r="AA17" s="137"/>
      <c r="AB17" s="42"/>
      <c r="AC17" s="42"/>
    </row>
    <row r="18" spans="1:29">
      <c r="D18" s="437" t="s">
        <v>67</v>
      </c>
      <c r="E18" s="424" t="s">
        <v>68</v>
      </c>
      <c r="F18" s="171"/>
      <c r="G18" s="115">
        <f>IFERROR(VLOOKUP($D18,'INV Days Pivot'!$A:$T,14,0),"")</f>
        <v>39.047760371398894</v>
      </c>
      <c r="H18" s="55">
        <f>IFERROR(VLOOKUP($D18,'INV Days Pivot'!$A:$T,6,0),"")</f>
        <v>0</v>
      </c>
      <c r="I18" s="55">
        <f>IFERROR(VLOOKUP($D18,'INV Days Pivot'!$A:$T,7,0),"")</f>
        <v>19.764647385431342</v>
      </c>
      <c r="J18" s="207">
        <f>IFERROR(VLOOKUP($D18,'INV Days Pivot'!$A:$T,12,0),"")</f>
        <v>27.8924794203053</v>
      </c>
      <c r="K18" s="55">
        <f>IFERROR(VLOOKUP($D18,'INV Days Pivot'!$A:$T,19,0),"")</f>
        <v>5.9443330691407521</v>
      </c>
      <c r="L18" s="55">
        <f>IFERROR(VLOOKUP($D18,'INV Days Pivot'!$A:$T,16,0),"")</f>
        <v>17.88</v>
      </c>
      <c r="M18" s="55">
        <f>IFERROR(VLOOKUP($D18,'INV Days Pivot'!$A:$T,18,0),"")</f>
        <v>27.420257414661439</v>
      </c>
      <c r="N18" s="116">
        <f>IFERROR(VLOOKUP($D18,'INV Days Pivot'!$A:$U,21,0),"")</f>
        <v>11.567288965829285</v>
      </c>
      <c r="Q18" s="114">
        <f>IFERROR(VLOOKUP($D18,'INV Days Pivot'!$A:$T,4,0),"")</f>
        <v>11.224643881814064</v>
      </c>
      <c r="R18" s="55">
        <f>IFERROR(VLOOKUP($D18,'INV Days Pivot'!$A:$T,5,0),"")</f>
        <v>7.5724606145008266</v>
      </c>
      <c r="S18" s="55">
        <f>IFERROR(VLOOKUP($D18,'INV Days Pivot'!$A:$T,8,0),"")</f>
        <v>16.262778781653012</v>
      </c>
      <c r="T18" s="55">
        <f>IFERROR(VLOOKUP($D18,'INV Days Pivot'!$A:$T,10,0),"")</f>
        <v>11.841959641421035</v>
      </c>
      <c r="U18" s="55">
        <f>IFERROR(VLOOKUP($D18,'INV Days Pivot'!$A:$T,11,0),"")</f>
        <v>36.540395574924567</v>
      </c>
      <c r="V18" s="55">
        <f>IFERROR(VLOOKUP($D18,'INV Days Pivot'!$A:$T,13,0),"")</f>
        <v>25.461807289066403</v>
      </c>
      <c r="W18" s="115">
        <f>IFERROR(VLOOKUP($D18,'INV Days Pivot'!$A:$T,15,0),"")</f>
        <v>20.303635820758398</v>
      </c>
      <c r="X18" s="55">
        <f>IFERROR(VLOOKUP($D18,'INV Days Pivot'!$A:$T,20,0),"")</f>
        <v>0</v>
      </c>
      <c r="Y18" s="116">
        <f>IFERROR(VLOOKUP($D18,'INV Days Pivot'!$A:$T,17,0),"")</f>
        <v>23.750089151986309</v>
      </c>
    </row>
    <row r="19" spans="1:29">
      <c r="E19" s="40"/>
      <c r="Q19" s="132"/>
    </row>
    <row r="20" spans="1:29">
      <c r="E20" s="40"/>
    </row>
    <row r="21" spans="1:29">
      <c r="H21" s="124"/>
      <c r="Z21" s="124" t="s">
        <v>148</v>
      </c>
    </row>
    <row r="22" spans="1:29">
      <c r="H22" s="124"/>
    </row>
    <row r="23" spans="1:29">
      <c r="L23" s="132"/>
      <c r="O23" s="132"/>
      <c r="R23" s="132"/>
    </row>
    <row r="30" spans="1:29" ht="13.5" thickBot="1">
      <c r="D30" s="301" t="s">
        <v>24</v>
      </c>
      <c r="E30" s="302" t="s">
        <v>25</v>
      </c>
      <c r="F30" s="303"/>
      <c r="G30" s="304"/>
      <c r="H30" s="304" t="s">
        <v>803</v>
      </c>
    </row>
    <row r="31" spans="1:29" ht="25.5">
      <c r="D31" s="305" t="s">
        <v>19</v>
      </c>
      <c r="E31" s="306" t="s">
        <v>20</v>
      </c>
      <c r="F31" s="303"/>
      <c r="G31" s="304"/>
      <c r="H31" s="304" t="s">
        <v>803</v>
      </c>
    </row>
  </sheetData>
  <phoneticPr fontId="12" type="noConversion"/>
  <conditionalFormatting sqref="G5:O9 Q5:AA9 O14:O17 Z14:AA17">
    <cfRule type="cellIs" dxfId="2187" priority="4" operator="lessThanOrEqual">
      <formula>0</formula>
    </cfRule>
  </conditionalFormatting>
  <conditionalFormatting sqref="P14:Y17 G14:N18 Q18:Y18">
    <cfRule type="cellIs" dxfId="2186" priority="5" operator="lessThan">
      <formula>10</formula>
    </cfRule>
    <cfRule type="cellIs" dxfId="2185" priority="6" operator="lessThan">
      <formula>10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65D2-31BB-4F14-ADEC-C22D810E9577}">
  <sheetPr>
    <tabColor rgb="FF00B0F0"/>
  </sheetPr>
  <dimension ref="A3:AF46"/>
  <sheetViews>
    <sheetView showGridLines="0" topLeftCell="B1" zoomScale="80" zoomScaleNormal="80" workbookViewId="0">
      <pane xSplit="6" ySplit="4" topLeftCell="H5" activePane="bottomRight" state="frozen"/>
      <selection activeCell="B3" sqref="B3"/>
      <selection pane="topRight" activeCell="B3" sqref="B3"/>
      <selection pane="bottomLeft" activeCell="B3" sqref="B3"/>
      <selection pane="bottomRight" activeCell="G29" sqref="G29"/>
    </sheetView>
  </sheetViews>
  <sheetFormatPr defaultColWidth="8.7109375" defaultRowHeight="12.75"/>
  <cols>
    <col min="1" max="1" width="4.5703125" style="10" customWidth="1"/>
    <col min="2" max="2" width="7.140625" style="253" hidden="1" customWidth="1"/>
    <col min="3" max="3" width="10" style="10" hidden="1" customWidth="1"/>
    <col min="4" max="4" width="2.7109375" style="253" customWidth="1"/>
    <col min="5" max="5" width="7.85546875" style="10" bestFit="1" customWidth="1"/>
    <col min="6" max="6" width="34.28515625" style="10" bestFit="1" customWidth="1"/>
    <col min="7" max="7" width="9.85546875" style="10" customWidth="1"/>
    <col min="8" max="8" width="8.140625" style="11" bestFit="1" customWidth="1"/>
    <col min="9" max="9" width="7.140625" style="11" bestFit="1" customWidth="1"/>
    <col min="10" max="10" width="6" style="11" bestFit="1" customWidth="1"/>
    <col min="11" max="11" width="7.140625" style="11" bestFit="1" customWidth="1"/>
    <col min="12" max="12" width="9.7109375" style="11" bestFit="1" customWidth="1"/>
    <col min="13" max="14" width="6" style="11" bestFit="1" customWidth="1"/>
    <col min="15" max="15" width="7.140625" style="11" bestFit="1" customWidth="1"/>
    <col min="16" max="16" width="8.85546875" style="11" bestFit="1" customWidth="1"/>
    <col min="17" max="17" width="1.42578125" style="11" customWidth="1"/>
    <col min="18" max="18" width="7.140625" style="11" bestFit="1" customWidth="1"/>
    <col min="19" max="19" width="6.5703125" style="11" bestFit="1" customWidth="1"/>
    <col min="20" max="20" width="6" style="11" bestFit="1" customWidth="1"/>
    <col min="21" max="24" width="7.140625" style="11" bestFit="1" customWidth="1"/>
    <col min="25" max="25" width="6" style="11" bestFit="1" customWidth="1"/>
    <col min="26" max="26" width="6.5703125" style="11" bestFit="1" customWidth="1"/>
    <col min="27" max="27" width="8.85546875" style="11" bestFit="1" customWidth="1"/>
    <col min="28" max="28" width="8.5703125" style="11" bestFit="1" customWidth="1"/>
    <col min="29" max="29" width="11.42578125" style="11" customWidth="1"/>
    <col min="30" max="30" width="10.42578125" style="10" customWidth="1"/>
    <col min="31" max="16384" width="8.7109375" style="10"/>
  </cols>
  <sheetData>
    <row r="3" spans="1:32" ht="26.25" thickBot="1">
      <c r="H3" s="126">
        <v>14</v>
      </c>
      <c r="I3" s="126">
        <v>6</v>
      </c>
      <c r="J3" s="126">
        <v>7</v>
      </c>
      <c r="K3" s="126">
        <v>12</v>
      </c>
      <c r="L3" s="126">
        <v>19</v>
      </c>
      <c r="M3" s="126">
        <v>16</v>
      </c>
      <c r="N3" s="126">
        <v>18</v>
      </c>
      <c r="O3" s="126">
        <v>21</v>
      </c>
      <c r="P3" s="126"/>
      <c r="Q3" s="126"/>
      <c r="R3" s="126">
        <v>4</v>
      </c>
      <c r="S3" s="126">
        <v>5</v>
      </c>
      <c r="T3" s="126">
        <v>8</v>
      </c>
      <c r="U3" s="126">
        <v>10</v>
      </c>
      <c r="V3" s="126">
        <v>11</v>
      </c>
      <c r="W3" s="126">
        <v>13</v>
      </c>
      <c r="X3" s="126">
        <v>15</v>
      </c>
      <c r="Y3" s="126">
        <v>20</v>
      </c>
      <c r="Z3" s="126">
        <v>17</v>
      </c>
      <c r="AC3" s="235" t="s">
        <v>897</v>
      </c>
      <c r="AD3" s="235" t="s">
        <v>897</v>
      </c>
    </row>
    <row r="4" spans="1:32" ht="26.25" thickBot="1">
      <c r="A4" s="146"/>
      <c r="B4" s="253" t="s">
        <v>898</v>
      </c>
      <c r="C4" s="10" t="s">
        <v>899</v>
      </c>
      <c r="E4" s="415" t="s">
        <v>2</v>
      </c>
      <c r="F4" s="416" t="s">
        <v>4</v>
      </c>
      <c r="G4" s="416" t="s">
        <v>6</v>
      </c>
      <c r="H4" s="417" t="s">
        <v>121</v>
      </c>
      <c r="I4" s="417" t="s">
        <v>122</v>
      </c>
      <c r="J4" s="417" t="s">
        <v>123</v>
      </c>
      <c r="K4" s="417" t="s">
        <v>124</v>
      </c>
      <c r="L4" s="417" t="s">
        <v>717</v>
      </c>
      <c r="M4" s="417" t="s">
        <v>125</v>
      </c>
      <c r="N4" s="417" t="s">
        <v>176</v>
      </c>
      <c r="O4" s="438" t="s">
        <v>962</v>
      </c>
      <c r="P4" s="485" t="s">
        <v>126</v>
      </c>
      <c r="Q4" s="90"/>
      <c r="R4" s="442" t="s">
        <v>127</v>
      </c>
      <c r="S4" s="419" t="s">
        <v>128</v>
      </c>
      <c r="T4" s="419" t="s">
        <v>129</v>
      </c>
      <c r="U4" s="419" t="s">
        <v>130</v>
      </c>
      <c r="V4" s="419" t="s">
        <v>131</v>
      </c>
      <c r="W4" s="419" t="s">
        <v>132</v>
      </c>
      <c r="X4" s="419" t="s">
        <v>133</v>
      </c>
      <c r="Y4" s="419" t="s">
        <v>187</v>
      </c>
      <c r="Z4" s="419" t="s">
        <v>155</v>
      </c>
      <c r="AA4" s="449" t="s">
        <v>134</v>
      </c>
      <c r="AB4" s="451" t="s">
        <v>135</v>
      </c>
      <c r="AC4" s="445" t="s">
        <v>136</v>
      </c>
      <c r="AD4" s="283" t="s">
        <v>137</v>
      </c>
      <c r="AF4" s="10" t="s">
        <v>166</v>
      </c>
    </row>
    <row r="5" spans="1:32">
      <c r="A5" s="147"/>
      <c r="B5" s="253" t="str">
        <f>$AC$4&amp;$E5</f>
        <v>PF01296</v>
      </c>
      <c r="C5" s="10" t="str">
        <f>$AD$4&amp;$E5</f>
        <v>HP01296</v>
      </c>
      <c r="E5" s="486" t="s">
        <v>15</v>
      </c>
      <c r="F5" s="487" t="s">
        <v>16</v>
      </c>
      <c r="G5" s="487" t="s">
        <v>18</v>
      </c>
      <c r="H5" s="488">
        <f>IFERROR(VLOOKUP($E5,'RF Pendency Pivot'!$A:$U,14,0),"")</f>
        <v>-711.36000000000013</v>
      </c>
      <c r="I5" s="488">
        <f>IFERROR(VLOOKUP($E5,'RF Pendency Pivot'!$A:$U,6,0),"")</f>
        <v>0</v>
      </c>
      <c r="J5" s="488">
        <f>IFERROR(VLOOKUP($E5,'RF Pendency Pivot'!$A:$U,7,0),"")</f>
        <v>-253.32000000000005</v>
      </c>
      <c r="K5" s="488">
        <f>IFERROR(VLOOKUP($E5,'RF Pendency Pivot'!$A:$U,12,0),"")</f>
        <v>-3005.76</v>
      </c>
      <c r="L5" s="488">
        <f>IFERROR(VLOOKUP($E5,'RF Pendency Pivot'!$A:$U,19,0),"")</f>
        <v>-1351.92</v>
      </c>
      <c r="M5" s="488">
        <f>IFERROR(VLOOKUP($E5,'RF Pendency Pivot'!$A:$U,16,0),"")</f>
        <v>-840</v>
      </c>
      <c r="N5" s="489">
        <f>IFERROR(VLOOKUP($E5,'RF Pendency Pivot'!$A:$U,18,0),"")</f>
        <v>-5.0399999999999636</v>
      </c>
      <c r="O5" s="489">
        <f>IFERROR(VLOOKUP($E5,'RF Pendency Pivot'!$A:$U,21,0),"")</f>
        <v>-816</v>
      </c>
      <c r="P5" s="490">
        <f>IF(H5&lt;0,H5+SUMIF(H5:O5,"&gt;0"),SUMIF(H5:O5,"&gt;0"))</f>
        <v>-711.36000000000013</v>
      </c>
      <c r="Q5" s="6"/>
      <c r="R5" s="491">
        <f>IFERROR(VLOOKUP($E5,'RF Pendency Pivot'!$A:$U,4,0),"")</f>
        <v>-1051.3199999999997</v>
      </c>
      <c r="S5" s="489">
        <f>IFERROR(VLOOKUP($E5,'RF Pendency Pivot'!$A:$U,5,0),"")</f>
        <v>-704.52</v>
      </c>
      <c r="T5" s="489">
        <f>IFERROR(VLOOKUP($E5,'RF Pendency Pivot'!$A:$U,8,0),"")</f>
        <v>-392.64000000000033</v>
      </c>
      <c r="U5" s="489">
        <f>IFERROR(VLOOKUP($E5,'RF Pendency Pivot'!$A:$U,10,0),"")</f>
        <v>-918.11999999999989</v>
      </c>
      <c r="V5" s="489">
        <f>IFERROR(VLOOKUP($E5,'RF Pendency Pivot'!$A:$U,11,0),"")</f>
        <v>-2876.04</v>
      </c>
      <c r="W5" s="489">
        <f>IFERROR(VLOOKUP($E5,'RF Pendency Pivot'!$A:$U,13,0),"")</f>
        <v>-1317.12</v>
      </c>
      <c r="X5" s="489">
        <f>IFERROR(VLOOKUP($E5,'RF Pendency Pivot'!$A:$U,15,0),"")</f>
        <v>-4966.7999999999993</v>
      </c>
      <c r="Y5" s="489">
        <f>IFERROR(VLOOKUP($E5,'RF Pendency Pivot'!$A:$U,20,0),"")</f>
        <v>0</v>
      </c>
      <c r="Z5" s="489">
        <f>IFERROR(VLOOKUP($E5,'RF Pendency Pivot'!$A:$U,17,0),"")</f>
        <v>-1965</v>
      </c>
      <c r="AA5" s="492">
        <f>IF(X5&lt;0,X5+SUMIF(R5:Z5,"&gt;0"),SUMIF(R5:Z5,"&gt;0"))</f>
        <v>-4966.7999999999993</v>
      </c>
      <c r="AB5" s="490">
        <f t="shared" ref="AB5:AB11" si="0">P5+AA5</f>
        <v>-5678.16</v>
      </c>
      <c r="AC5" s="446" t="str">
        <f>IFERROR(VLOOKUP(B5,#REF!,2,0),"")</f>
        <v/>
      </c>
      <c r="AD5" s="244" t="str">
        <f>IFERROR(VLOOKUP(C5,#REF!,2,0),"")</f>
        <v/>
      </c>
    </row>
    <row r="6" spans="1:32">
      <c r="A6" s="147"/>
      <c r="B6" s="253" t="str">
        <f>$AC$4&amp;$E6</f>
        <v>PF02122</v>
      </c>
      <c r="C6" s="10" t="str">
        <f>$AD$4&amp;$E6</f>
        <v>HP02122</v>
      </c>
      <c r="E6" s="421" t="s">
        <v>55</v>
      </c>
      <c r="F6" s="407" t="s">
        <v>56</v>
      </c>
      <c r="G6" s="407" t="s">
        <v>18</v>
      </c>
      <c r="H6" s="408">
        <f>IFERROR(VLOOKUP($E6,'RF Pendency Pivot'!$A:$U,14,0),"")</f>
        <v>-110868</v>
      </c>
      <c r="I6" s="408">
        <f>IFERROR(VLOOKUP($E6,'RF Pendency Pivot'!$A:$U,6,0),"")</f>
        <v>0</v>
      </c>
      <c r="J6" s="408">
        <f>IFERROR(VLOOKUP($E6,'RF Pendency Pivot'!$A:$U,7,0),"")</f>
        <v>-1263.96</v>
      </c>
      <c r="K6" s="408">
        <f>IFERROR(VLOOKUP($E6,'RF Pendency Pivot'!$A:$U,12,0),"")</f>
        <v>-1063.7999999999993</v>
      </c>
      <c r="L6" s="408">
        <f>IFERROR(VLOOKUP($E6,'RF Pendency Pivot'!$A:$U,19,0),"")</f>
        <v>-3088.92</v>
      </c>
      <c r="M6" s="408">
        <f>IFERROR(VLOOKUP($E6,'RF Pendency Pivot'!$A:$U,16,0),"")</f>
        <v>-3132</v>
      </c>
      <c r="N6" s="409">
        <f>IFERROR(VLOOKUP($E6,'RF Pendency Pivot'!$A:$U,18,0),"")</f>
        <v>-210.72000000000003</v>
      </c>
      <c r="O6" s="409">
        <f>IFERROR(VLOOKUP($E6,'RF Pendency Pivot'!$A:$U,21,0),"")</f>
        <v>-11096.039999999994</v>
      </c>
      <c r="P6" s="148">
        <f>IF(H6&lt;0,H6+SUMIF(H6:O6,"&gt;0"),SUMIF(H6:O6,"&gt;0"))</f>
        <v>-110868</v>
      </c>
      <c r="Q6" s="6"/>
      <c r="R6" s="443">
        <f>IFERROR(VLOOKUP($E6,'RF Pendency Pivot'!$A:$U,4,0),"")</f>
        <v>-32178.959999999999</v>
      </c>
      <c r="S6" s="409">
        <f>IFERROR(VLOOKUP($E6,'RF Pendency Pivot'!$A:$U,5,0),"")</f>
        <v>-5392.7999999999993</v>
      </c>
      <c r="T6" s="409">
        <f>IFERROR(VLOOKUP($E6,'RF Pendency Pivot'!$A:$U,8,0),"")</f>
        <v>-8620.68</v>
      </c>
      <c r="U6" s="409">
        <f>IFERROR(VLOOKUP($E6,'RF Pendency Pivot'!$A:$U,10,0),"")</f>
        <v>-2409.9599999999991</v>
      </c>
      <c r="V6" s="409">
        <f>IFERROR(VLOOKUP($E6,'RF Pendency Pivot'!$A:$U,11,0),"")</f>
        <v>-4368</v>
      </c>
      <c r="W6" s="409">
        <f>IFERROR(VLOOKUP($E6,'RF Pendency Pivot'!$A:$U,13,0),"")</f>
        <v>-2501.16</v>
      </c>
      <c r="X6" s="409">
        <f>IFERROR(VLOOKUP($E6,'RF Pendency Pivot'!$A:$U,15,0),"")</f>
        <v>-16238.279999999999</v>
      </c>
      <c r="Y6" s="409">
        <f>IFERROR(VLOOKUP($E6,'RF Pendency Pivot'!$A:$U,20,0),"")</f>
        <v>0</v>
      </c>
      <c r="Z6" s="409">
        <f>IFERROR(VLOOKUP($E6,'RF Pendency Pivot'!$A:$U,17,0),"")</f>
        <v>-2682.12</v>
      </c>
      <c r="AA6" s="410">
        <f>IF(X6&lt;0,X6+SUMIF(R6:Z6,"&gt;0"),SUMIF(R6:Z6,"&gt;0"))</f>
        <v>-16238.279999999999</v>
      </c>
      <c r="AB6" s="148">
        <f t="shared" si="0"/>
        <v>-127106.28</v>
      </c>
      <c r="AC6" s="447" t="str">
        <f>IFERROR(VLOOKUP(B6,#REF!,2,0),"")</f>
        <v/>
      </c>
      <c r="AD6" s="245" t="str">
        <f>IFERROR(VLOOKUP(C6,#REF!,2,0),"")</f>
        <v/>
      </c>
    </row>
    <row r="7" spans="1:32" ht="17.100000000000001" customHeight="1">
      <c r="A7" s="147"/>
      <c r="B7" s="253" t="str">
        <f>$AC$4&amp;$E7</f>
        <v>PF05159</v>
      </c>
      <c r="C7" s="10" t="str">
        <f>$AD$4&amp;$E7</f>
        <v>HP05159</v>
      </c>
      <c r="E7" s="421" t="s">
        <v>57</v>
      </c>
      <c r="F7" s="407" t="s">
        <v>58</v>
      </c>
      <c r="G7" s="407" t="s">
        <v>18</v>
      </c>
      <c r="H7" s="408">
        <f>IFERROR(VLOOKUP($E7,'RF Pendency Pivot'!$A:$U,14,0),"")</f>
        <v>-15036</v>
      </c>
      <c r="I7" s="408">
        <f>IFERROR(VLOOKUP($E7,'RF Pendency Pivot'!$A:$U,6,0),"")</f>
        <v>0</v>
      </c>
      <c r="J7" s="408">
        <f>IFERROR(VLOOKUP($E7,'RF Pendency Pivot'!$A:$U,7,0),"")</f>
        <v>1125.1199999999999</v>
      </c>
      <c r="K7" s="408">
        <f>IFERROR(VLOOKUP($E7,'RF Pendency Pivot'!$A:$U,12,0),"")</f>
        <v>-480</v>
      </c>
      <c r="L7" s="408">
        <f>IFERROR(VLOOKUP($E7,'RF Pendency Pivot'!$A:$U,19,0),"")</f>
        <v>0</v>
      </c>
      <c r="M7" s="408">
        <f>IFERROR(VLOOKUP($E7,'RF Pendency Pivot'!$A:$U,16,0),"")</f>
        <v>-24</v>
      </c>
      <c r="N7" s="409">
        <f>IFERROR(VLOOKUP($E7,'RF Pendency Pivot'!$A:$U,18,0),"")</f>
        <v>0</v>
      </c>
      <c r="O7" s="409">
        <f>IFERROR(VLOOKUP($E7,'RF Pendency Pivot'!$A:$U,21,0),"")</f>
        <v>0</v>
      </c>
      <c r="P7" s="148">
        <f>IF(H7&lt;0,H7+SUMIF(H7:O7,"&gt;0"),SUMIF(H7:O7,"&gt;0"))</f>
        <v>-13910.880000000001</v>
      </c>
      <c r="Q7" s="6"/>
      <c r="R7" s="443">
        <f>IFERROR(VLOOKUP($E7,'RF Pendency Pivot'!$A:$U,4,0),"")</f>
        <v>82.559999999999945</v>
      </c>
      <c r="S7" s="409">
        <f>IFERROR(VLOOKUP($E7,'RF Pendency Pivot'!$A:$U,5,0),"")</f>
        <v>-65.759999999999991</v>
      </c>
      <c r="T7" s="409">
        <f>IFERROR(VLOOKUP($E7,'RF Pendency Pivot'!$A:$U,8,0),"")</f>
        <v>-467.28</v>
      </c>
      <c r="U7" s="409">
        <f>IFERROR(VLOOKUP($E7,'RF Pendency Pivot'!$A:$U,10,0),"")</f>
        <v>-28.560000000000002</v>
      </c>
      <c r="V7" s="409">
        <f>IFERROR(VLOOKUP($E7,'RF Pendency Pivot'!$A:$U,11,0),"")</f>
        <v>-2784</v>
      </c>
      <c r="W7" s="409">
        <f>IFERROR(VLOOKUP($E7,'RF Pendency Pivot'!$A:$U,13,0),"")</f>
        <v>0</v>
      </c>
      <c r="X7" s="409">
        <f>IFERROR(VLOOKUP($E7,'RF Pendency Pivot'!$A:$U,15,0),"")</f>
        <v>-76.920000000000016</v>
      </c>
      <c r="Y7" s="409">
        <f>IFERROR(VLOOKUP($E7,'RF Pendency Pivot'!$A:$U,20,0),"")</f>
        <v>0</v>
      </c>
      <c r="Z7" s="409">
        <f>IFERROR(VLOOKUP($E7,'RF Pendency Pivot'!$A:$U,17,0),"")</f>
        <v>-1.4399999999999977</v>
      </c>
      <c r="AA7" s="410">
        <f>IF(X7&lt;0,X7+SUMIF(R7:Z7,"&gt;0"),SUMIF(R7:Z7,"&gt;0"))</f>
        <v>5.6399999999999295</v>
      </c>
      <c r="AB7" s="148">
        <f t="shared" si="0"/>
        <v>-13905.240000000002</v>
      </c>
      <c r="AC7" s="447" t="str">
        <f>IFERROR(VLOOKUP(B7,#REF!,2,0),"")</f>
        <v/>
      </c>
      <c r="AD7" s="245" t="str">
        <f>IFERROR(VLOOKUP(C7,#REF!,2,0),"")</f>
        <v/>
      </c>
    </row>
    <row r="8" spans="1:32">
      <c r="A8" s="147"/>
      <c r="B8" s="253" t="str">
        <f>$AC$4&amp;$E8</f>
        <v>PF08529</v>
      </c>
      <c r="C8" s="10" t="str">
        <f>$AD$4&amp;$E8</f>
        <v>HP08529</v>
      </c>
      <c r="E8" s="422" t="s">
        <v>61</v>
      </c>
      <c r="F8" s="414" t="s">
        <v>62</v>
      </c>
      <c r="G8" s="407" t="s">
        <v>18</v>
      </c>
      <c r="H8" s="408">
        <f>IFERROR(VLOOKUP($E8,'RF Pendency Pivot'!$A:$U,14,0),"")</f>
        <v>-13201.439999999999</v>
      </c>
      <c r="I8" s="408">
        <f>IFERROR(VLOOKUP($E8,'RF Pendency Pivot'!$A:$U,6,0),"")</f>
        <v>0</v>
      </c>
      <c r="J8" s="408">
        <f>IFERROR(VLOOKUP($E8,'RF Pendency Pivot'!$A:$U,7,0),"")</f>
        <v>-2338.3200000000002</v>
      </c>
      <c r="K8" s="408">
        <f>IFERROR(VLOOKUP($E8,'RF Pendency Pivot'!$A:$U,12,0),"")</f>
        <v>-5307.48</v>
      </c>
      <c r="L8" s="408">
        <f>IFERROR(VLOOKUP($E8,'RF Pendency Pivot'!$A:$U,19,0),"")</f>
        <v>-3725.76</v>
      </c>
      <c r="M8" s="408">
        <f>IFERROR(VLOOKUP($E8,'RF Pendency Pivot'!$A:$U,16,0),"")</f>
        <v>-2964</v>
      </c>
      <c r="N8" s="409">
        <f>IFERROR(VLOOKUP($E8,'RF Pendency Pivot'!$A:$U,18,0),"")</f>
        <v>-5076</v>
      </c>
      <c r="O8" s="409">
        <f>IFERROR(VLOOKUP($E8,'RF Pendency Pivot'!$A:$U,21,0),"")</f>
        <v>-4216.0800000000017</v>
      </c>
      <c r="P8" s="148">
        <f>IF(H8&lt;0,H8+SUMIF(H8:O8,"&gt;0"),SUMIF(H8:O8,"&gt;0"))</f>
        <v>-13201.439999999999</v>
      </c>
      <c r="Q8" s="6"/>
      <c r="R8" s="443">
        <f>IFERROR(VLOOKUP($E8,'RF Pendency Pivot'!$A:$U,4,0),"")</f>
        <v>-15342.119999999999</v>
      </c>
      <c r="S8" s="409">
        <f>IFERROR(VLOOKUP($E8,'RF Pendency Pivot'!$A:$U,5,0),"")</f>
        <v>-7022.76</v>
      </c>
      <c r="T8" s="409">
        <f>IFERROR(VLOOKUP($E8,'RF Pendency Pivot'!$A:$U,8,0),"")</f>
        <v>-5992.4400000000005</v>
      </c>
      <c r="U8" s="409">
        <f>IFERROR(VLOOKUP($E8,'RF Pendency Pivot'!$A:$U,10,0),"")</f>
        <v>-5372.76</v>
      </c>
      <c r="V8" s="409">
        <f>IFERROR(VLOOKUP($E8,'RF Pendency Pivot'!$A:$U,11,0),"")</f>
        <v>-648</v>
      </c>
      <c r="W8" s="409">
        <f>IFERROR(VLOOKUP($E8,'RF Pendency Pivot'!$A:$U,13,0),"")</f>
        <v>-5410.32</v>
      </c>
      <c r="X8" s="409">
        <f>IFERROR(VLOOKUP($E8,'RF Pendency Pivot'!$A:$U,15,0),"")</f>
        <v>-17130.72</v>
      </c>
      <c r="Y8" s="409">
        <f>IFERROR(VLOOKUP($E8,'RF Pendency Pivot'!$A:$U,20,0),"")</f>
        <v>0</v>
      </c>
      <c r="Z8" s="409">
        <f>IFERROR(VLOOKUP($E8,'RF Pendency Pivot'!$A:$U,17,0),"")</f>
        <v>-6760.4400000000005</v>
      </c>
      <c r="AA8" s="410">
        <f>IF(X8&lt;0,X8+SUMIF(R8:Z8,"&gt;0"),SUMIF(R8:Z8,"&gt;0"))</f>
        <v>-17130.72</v>
      </c>
      <c r="AB8" s="493">
        <f t="shared" si="0"/>
        <v>-30332.16</v>
      </c>
      <c r="AC8" s="447" t="str">
        <f>IFERROR(VLOOKUP(B8,#REF!,2,0),"")</f>
        <v/>
      </c>
      <c r="AD8" s="245" t="str">
        <f>IFERROR(VLOOKUP(C8,#REF!,2,0),"")</f>
        <v/>
      </c>
    </row>
    <row r="9" spans="1:32">
      <c r="E9" s="185" t="s">
        <v>22</v>
      </c>
      <c r="F9" s="40" t="s">
        <v>23</v>
      </c>
      <c r="G9" s="407" t="s">
        <v>18</v>
      </c>
      <c r="H9" s="408">
        <f>IFERROR(VLOOKUP($E9,'RF Pendency Pivot'!$A:$U,14,0),"")</f>
        <v>-87224.04</v>
      </c>
      <c r="I9" s="408">
        <f>IFERROR(VLOOKUP($E9,'RF Pendency Pivot'!$A:$U,6,0),"")</f>
        <v>0</v>
      </c>
      <c r="J9" s="408">
        <f>IFERROR(VLOOKUP($E9,'RF Pendency Pivot'!$A:$U,7,0),"")</f>
        <v>0</v>
      </c>
      <c r="K9" s="408">
        <f>IFERROR(VLOOKUP($E9,'RF Pendency Pivot'!$A:$U,12,0),"")</f>
        <v>-60</v>
      </c>
      <c r="L9" s="408">
        <f>IFERROR(VLOOKUP($E9,'RF Pendency Pivot'!$A:$U,19,0),"")</f>
        <v>-21334.199999999997</v>
      </c>
      <c r="M9" s="408">
        <f>IFERROR(VLOOKUP($E9,'RF Pendency Pivot'!$A:$U,16,0),"")</f>
        <v>-4560</v>
      </c>
      <c r="N9" s="409">
        <f>IFERROR(VLOOKUP($E9,'RF Pendency Pivot'!$A:$U,18,0),"")</f>
        <v>0</v>
      </c>
      <c r="O9" s="409">
        <f>IFERROR(VLOOKUP($E9,'RF Pendency Pivot'!$A:$U,21,0),"")</f>
        <v>-5156.0399999999936</v>
      </c>
      <c r="P9" s="148">
        <f>IF(H9&lt;0,H9+SUMIF(H9:O9,"&gt;0"),SUMIF(H9:O9,"&gt;0"))</f>
        <v>-87224.04</v>
      </c>
      <c r="Q9" s="6"/>
      <c r="R9" s="443">
        <f>IFERROR(VLOOKUP($E9,'RF Pendency Pivot'!$A:$U,4,0),"")</f>
        <v>-39369.360000000001</v>
      </c>
      <c r="S9" s="409">
        <f>IFERROR(VLOOKUP($E9,'RF Pendency Pivot'!$A:$U,5,0),"")</f>
        <v>-10682.879999999997</v>
      </c>
      <c r="T9" s="409">
        <f>IFERROR(VLOOKUP($E9,'RF Pendency Pivot'!$A:$U,8,0),"")</f>
        <v>-13057.8</v>
      </c>
      <c r="U9" s="409">
        <f>IFERROR(VLOOKUP($E9,'RF Pendency Pivot'!$A:$U,10,0),"")</f>
        <v>-2426.6399999999994</v>
      </c>
      <c r="V9" s="409">
        <f>IFERROR(VLOOKUP($E9,'RF Pendency Pivot'!$A:$U,11,0),"")</f>
        <v>-102488.04000000001</v>
      </c>
      <c r="W9" s="409">
        <f>IFERROR(VLOOKUP($E9,'RF Pendency Pivot'!$A:$U,13,0),"")</f>
        <v>-7869.7199999999993</v>
      </c>
      <c r="X9" s="409">
        <f>IFERROR(VLOOKUP($E9,'RF Pendency Pivot'!$A:$U,15,0),"")</f>
        <v>-34595.520000000004</v>
      </c>
      <c r="Y9" s="409">
        <f>IFERROR(VLOOKUP($E9,'RF Pendency Pivot'!$A:$U,20,0),"")</f>
        <v>0</v>
      </c>
      <c r="Z9" s="409">
        <f>IFERROR(VLOOKUP($E9,'RF Pendency Pivot'!$A:$U,17,0),"")</f>
        <v>-9004.4399999999987</v>
      </c>
      <c r="AA9" s="410">
        <f>IF(X9&lt;0,X9+SUMIF(R9:Z9,"&gt;0"),SUMIF(R9:Z9,"&gt;0"))</f>
        <v>-34595.520000000004</v>
      </c>
      <c r="AB9" s="493">
        <f t="shared" si="0"/>
        <v>-121819.56</v>
      </c>
      <c r="AC9" s="411"/>
      <c r="AD9" s="11"/>
    </row>
    <row r="10" spans="1:32">
      <c r="E10" s="185" t="s">
        <v>65</v>
      </c>
      <c r="F10" s="40" t="s">
        <v>66</v>
      </c>
      <c r="G10" s="407" t="s">
        <v>18</v>
      </c>
      <c r="H10" s="408">
        <f>IFERROR(VLOOKUP($E10,'RF Pendency Pivot'!$A:$U,14,0),"")</f>
        <v>-6052.08</v>
      </c>
      <c r="I10" s="408">
        <f>IFERROR(VLOOKUP($E10,'RF Pendency Pivot'!$A:$U,6,0),"")</f>
        <v>0</v>
      </c>
      <c r="J10" s="408">
        <f>IFERROR(VLOOKUP($E10,'RF Pendency Pivot'!$A:$U,7,0),"")</f>
        <v>-32.039999999999964</v>
      </c>
      <c r="K10" s="408">
        <f>IFERROR(VLOOKUP($E10,'RF Pendency Pivot'!$A:$U,12,0),"")</f>
        <v>-1207.5600000000004</v>
      </c>
      <c r="L10" s="408">
        <f>IFERROR(VLOOKUP($E10,'RF Pendency Pivot'!$A:$U,19,0),"")</f>
        <v>-4476</v>
      </c>
      <c r="M10" s="408">
        <f>IFERROR(VLOOKUP($E10,'RF Pendency Pivot'!$A:$U,16,0),"")</f>
        <v>-3016.08</v>
      </c>
      <c r="N10" s="409">
        <f>IFERROR(VLOOKUP($E10,'RF Pendency Pivot'!$A:$U,18,0),"")</f>
        <v>-122.03999999999996</v>
      </c>
      <c r="O10" s="409">
        <f>IFERROR(VLOOKUP($E10,'RF Pendency Pivot'!$A:$U,21,0),"")</f>
        <v>-1232.04</v>
      </c>
      <c r="P10" s="148">
        <f t="shared" ref="P10" si="1">IF(H10&lt;0,H10+SUMIF(H10:O10,"&gt;0"),SUMIF(H10:O10,"&gt;0"))</f>
        <v>-6052.08</v>
      </c>
      <c r="Q10" s="6"/>
      <c r="R10" s="443">
        <f>IFERROR(VLOOKUP($E10,'RF Pendency Pivot'!$A:$U,4,0),"")</f>
        <v>-1569.2399999999998</v>
      </c>
      <c r="S10" s="409">
        <f>IFERROR(VLOOKUP($E10,'RF Pendency Pivot'!$A:$U,5,0),"")</f>
        <v>-1492.92</v>
      </c>
      <c r="T10" s="409">
        <f>IFERROR(VLOOKUP($E10,'RF Pendency Pivot'!$A:$U,8,0),"")</f>
        <v>-2771.8799999999992</v>
      </c>
      <c r="U10" s="409">
        <f>IFERROR(VLOOKUP($E10,'RF Pendency Pivot'!$A:$U,10,0),"")</f>
        <v>-4395.24</v>
      </c>
      <c r="V10" s="409">
        <f>IFERROR(VLOOKUP($E10,'RF Pendency Pivot'!$A:$U,11,0),"")</f>
        <v>-836.76</v>
      </c>
      <c r="W10" s="409">
        <f>IFERROR(VLOOKUP($E10,'RF Pendency Pivot'!$A:$U,13,0),"")</f>
        <v>-2633.6400000000003</v>
      </c>
      <c r="X10" s="409">
        <f>IFERROR(VLOOKUP($E10,'RF Pendency Pivot'!$A:$U,15,0),"")</f>
        <v>-3025.4399999999996</v>
      </c>
      <c r="Y10" s="409">
        <f>IFERROR(VLOOKUP($E10,'RF Pendency Pivot'!$A:$U,20,0),"")</f>
        <v>0</v>
      </c>
      <c r="Z10" s="409">
        <f>IFERROR(VLOOKUP($E10,'RF Pendency Pivot'!$A:$U,17,0),"")</f>
        <v>-5066.6400000000003</v>
      </c>
      <c r="AA10" s="410">
        <f t="shared" ref="AA10" si="2">IF(X10&lt;0,X10+SUMIF(R10:Z10,"&gt;0"),SUMIF(R10:Z10,"&gt;0"))</f>
        <v>-3025.4399999999996</v>
      </c>
      <c r="AB10" s="148">
        <f t="shared" si="0"/>
        <v>-9077.52</v>
      </c>
      <c r="AC10" s="411"/>
      <c r="AD10" s="11"/>
    </row>
    <row r="11" spans="1:32">
      <c r="A11" s="147"/>
      <c r="B11" s="253" t="str">
        <f>$AC$4&amp;$E11</f>
        <v>PF15906</v>
      </c>
      <c r="C11" s="10" t="str">
        <f>$AD$4&amp;$E11</f>
        <v>HP15906</v>
      </c>
      <c r="E11" s="421" t="s">
        <v>74</v>
      </c>
      <c r="F11" s="407" t="s">
        <v>75</v>
      </c>
      <c r="G11" s="407" t="s">
        <v>18</v>
      </c>
      <c r="H11" s="408">
        <f>IFERROR(VLOOKUP($E11,'RF Pendency Pivot'!$A:$U,14,0),"")</f>
        <v>-12396</v>
      </c>
      <c r="I11" s="408">
        <f>IFERROR(VLOOKUP($E11,'RF Pendency Pivot'!$A:$U,6,0),"")</f>
        <v>0</v>
      </c>
      <c r="J11" s="408">
        <f>IFERROR(VLOOKUP($E11,'RF Pendency Pivot'!$A:$U,7,0),"")</f>
        <v>0</v>
      </c>
      <c r="K11" s="408">
        <f>IFERROR(VLOOKUP($E11,'RF Pendency Pivot'!$A:$U,12,0),"")</f>
        <v>-799.08</v>
      </c>
      <c r="L11" s="408">
        <f>IFERROR(VLOOKUP($E11,'RF Pendency Pivot'!$A:$U,19,0),"")</f>
        <v>-252</v>
      </c>
      <c r="M11" s="408">
        <f>IFERROR(VLOOKUP($E11,'RF Pendency Pivot'!$A:$U,16,0),"")</f>
        <v>-720</v>
      </c>
      <c r="N11" s="409">
        <f>IFERROR(VLOOKUP($E11,'RF Pendency Pivot'!$A:$U,18,0),"")</f>
        <v>0</v>
      </c>
      <c r="O11" s="409">
        <f>IFERROR(VLOOKUP($E11,'RF Pendency Pivot'!$A:$U,21,0),"")</f>
        <v>-1296</v>
      </c>
      <c r="P11" s="148">
        <f>IF(H11&lt;0,H11+SUMIF(H11:O11,"&gt;0"),SUMIF(H11:O11,"&gt;0"))</f>
        <v>-12396</v>
      </c>
      <c r="Q11" s="6"/>
      <c r="R11" s="443">
        <f>IFERROR(VLOOKUP($E11,'RF Pendency Pivot'!$A:$U,4,0),"")</f>
        <v>-15547.2</v>
      </c>
      <c r="S11" s="409">
        <f>IFERROR(VLOOKUP($E11,'RF Pendency Pivot'!$A:$U,5,0),"")</f>
        <v>-410.28</v>
      </c>
      <c r="T11" s="409">
        <f>IFERROR(VLOOKUP($E11,'RF Pendency Pivot'!$A:$U,8,0),"")</f>
        <v>-1693.1999999999998</v>
      </c>
      <c r="U11" s="409">
        <f>IFERROR(VLOOKUP($E11,'RF Pendency Pivot'!$A:$U,10,0),"")</f>
        <v>-114.72</v>
      </c>
      <c r="V11" s="409">
        <f>IFERROR(VLOOKUP($E11,'RF Pendency Pivot'!$A:$U,11,0),"")</f>
        <v>-58.68</v>
      </c>
      <c r="W11" s="409">
        <f>IFERROR(VLOOKUP($E11,'RF Pendency Pivot'!$A:$U,13,0),"")</f>
        <v>-480</v>
      </c>
      <c r="X11" s="409">
        <f>IFERROR(VLOOKUP($E11,'RF Pendency Pivot'!$A:$U,15,0),"")</f>
        <v>-2119.9199999999983</v>
      </c>
      <c r="Y11" s="409">
        <f>IFERROR(VLOOKUP($E11,'RF Pendency Pivot'!$A:$U,20,0),"")</f>
        <v>0</v>
      </c>
      <c r="Z11" s="409">
        <f>IFERROR(VLOOKUP($E11,'RF Pendency Pivot'!$A:$U,17,0),"")</f>
        <v>-3012.12</v>
      </c>
      <c r="AA11" s="410">
        <f>IF(X11&lt;0,X11+SUMIF(R11:Z11,"&gt;0"),SUMIF(R11:Z11,"&gt;0"))</f>
        <v>-2119.9199999999983</v>
      </c>
      <c r="AB11" s="148">
        <f t="shared" si="0"/>
        <v>-14515.919999999998</v>
      </c>
      <c r="AC11" s="447" t="str">
        <f>IFERROR(VLOOKUP(B11,#REF!,2,0),"")</f>
        <v/>
      </c>
      <c r="AD11" s="245" t="str">
        <f>IFERROR(VLOOKUP(C11,#REF!,2,0),"")</f>
        <v/>
      </c>
    </row>
    <row r="12" spans="1:32">
      <c r="A12" s="147"/>
      <c r="E12" s="185" t="s">
        <v>90</v>
      </c>
      <c r="F12" s="188" t="s">
        <v>91</v>
      </c>
      <c r="G12" s="407" t="s">
        <v>18</v>
      </c>
      <c r="H12" s="408">
        <f>IFERROR(VLOOKUP($E12,'RF Pendency Pivot'!$A:$U,14,0),"")</f>
        <v>-39920</v>
      </c>
      <c r="I12" s="408">
        <f>IFERROR(VLOOKUP($E12,'RF Pendency Pivot'!$A:$U,6,0),"")</f>
        <v>0</v>
      </c>
      <c r="J12" s="408">
        <f>IFERROR(VLOOKUP($E12,'RF Pendency Pivot'!$A:$U,7,0),"")</f>
        <v>0</v>
      </c>
      <c r="K12" s="408">
        <f>IFERROR(VLOOKUP($E12,'RF Pendency Pivot'!$A:$U,12,0),"")</f>
        <v>0</v>
      </c>
      <c r="L12" s="408">
        <f>IFERROR(VLOOKUP($E12,'RF Pendency Pivot'!$A:$U,19,0),"")</f>
        <v>0</v>
      </c>
      <c r="M12" s="408">
        <f>IFERROR(VLOOKUP($E12,'RF Pendency Pivot'!$A:$U,16,0),"")</f>
        <v>0</v>
      </c>
      <c r="N12" s="409">
        <f>IFERROR(VLOOKUP($E12,'RF Pendency Pivot'!$A:$U,18,0),"")</f>
        <v>0</v>
      </c>
      <c r="O12" s="409">
        <f>IFERROR(VLOOKUP($E12,'RF Pendency Pivot'!$A:$U,21,0),"")</f>
        <v>0</v>
      </c>
      <c r="P12" s="148">
        <f t="shared" ref="P12" si="3">IF(H12&lt;0,H12+SUMIF(H12:O12,"&gt;0"),SUMIF(H12:O12,"&gt;0"))</f>
        <v>-39920</v>
      </c>
      <c r="Q12" s="6"/>
      <c r="R12" s="443">
        <f>IFERROR(VLOOKUP($E12,'RF Pendency Pivot'!$A:$U,4,0),"")</f>
        <v>0</v>
      </c>
      <c r="S12" s="409">
        <f>IFERROR(VLOOKUP($E12,'RF Pendency Pivot'!$A:$U,5,0),"")</f>
        <v>0</v>
      </c>
      <c r="T12" s="409">
        <f>IFERROR(VLOOKUP($E12,'RF Pendency Pivot'!$A:$U,8,0),"")</f>
        <v>0</v>
      </c>
      <c r="U12" s="409">
        <f>IFERROR(VLOOKUP($E12,'RF Pendency Pivot'!$A:$U,10,0),"")</f>
        <v>0</v>
      </c>
      <c r="V12" s="409">
        <f>IFERROR(VLOOKUP($E12,'RF Pendency Pivot'!$A:$U,11,0),"")</f>
        <v>-13254.8</v>
      </c>
      <c r="W12" s="409">
        <f>IFERROR(VLOOKUP($E12,'RF Pendency Pivot'!$A:$U,13,0),"")</f>
        <v>0</v>
      </c>
      <c r="X12" s="409">
        <f>IFERROR(VLOOKUP($E12,'RF Pendency Pivot'!$A:$U,15,0),"")</f>
        <v>-6180</v>
      </c>
      <c r="Y12" s="409">
        <f>IFERROR(VLOOKUP($E12,'RF Pendency Pivot'!$A:$U,20,0),"")</f>
        <v>0</v>
      </c>
      <c r="Z12" s="409">
        <f>IFERROR(VLOOKUP($E12,'RF Pendency Pivot'!$A:$U,17,0),"")</f>
        <v>0</v>
      </c>
      <c r="AA12" s="410">
        <f t="shared" ref="AA12" si="4">IF(X12&lt;0,X12+SUMIF(R12:Z12,"&gt;0"),SUMIF(R12:Z12,"&gt;0"))</f>
        <v>-6180</v>
      </c>
      <c r="AB12" s="148">
        <f t="shared" ref="AB12" si="5">P12+AA12</f>
        <v>-46100</v>
      </c>
      <c r="AC12" s="447"/>
      <c r="AD12" s="245"/>
    </row>
    <row r="13" spans="1:32">
      <c r="E13" s="185" t="s">
        <v>78</v>
      </c>
      <c r="F13" s="188" t="s">
        <v>79</v>
      </c>
      <c r="G13" s="407" t="s">
        <v>18</v>
      </c>
      <c r="H13" s="408">
        <f>IFERROR(VLOOKUP($E13,'RF Pendency Pivot'!$A:$U,14,0),"")</f>
        <v>-396</v>
      </c>
      <c r="I13" s="408">
        <f>IFERROR(VLOOKUP($E13,'RF Pendency Pivot'!$A:$U,6,0),"")</f>
        <v>0</v>
      </c>
      <c r="J13" s="408">
        <f>IFERROR(VLOOKUP($E13,'RF Pendency Pivot'!$A:$U,7,0),"")</f>
        <v>-702.72</v>
      </c>
      <c r="K13" s="408">
        <f>IFERROR(VLOOKUP($E13,'RF Pendency Pivot'!$A:$U,12,0),"")</f>
        <v>-17.639999999999873</v>
      </c>
      <c r="L13" s="408">
        <f>IFERROR(VLOOKUP($E13,'RF Pendency Pivot'!$A:$U,19,0),"")</f>
        <v>-234.72000000000003</v>
      </c>
      <c r="M13" s="408">
        <f>IFERROR(VLOOKUP($E13,'RF Pendency Pivot'!$A:$U,16,0),"")</f>
        <v>-204</v>
      </c>
      <c r="N13" s="409">
        <f>IFERROR(VLOOKUP($E13,'RF Pendency Pivot'!$A:$U,18,0),"")</f>
        <v>-3.3600000000000136</v>
      </c>
      <c r="O13" s="409">
        <f>IFERROR(VLOOKUP($E13,'RF Pendency Pivot'!$A:$U,21,0),"")</f>
        <v>-1108.08</v>
      </c>
      <c r="P13" s="148">
        <f t="shared" ref="P13" si="6">IF(H13&lt;0,H13+SUMIF(H13:O13,"&gt;0"),SUMIF(H13:O13,"&gt;0"))</f>
        <v>-396</v>
      </c>
      <c r="Q13" s="6"/>
      <c r="R13" s="443">
        <f>IFERROR(VLOOKUP($E13,'RF Pendency Pivot'!$A:$U,4,0),"")</f>
        <v>-561.12</v>
      </c>
      <c r="S13" s="409">
        <f>IFERROR(VLOOKUP($E13,'RF Pendency Pivot'!$A:$U,5,0),"")</f>
        <v>-616.55999999999995</v>
      </c>
      <c r="T13" s="409">
        <f>IFERROR(VLOOKUP($E13,'RF Pendency Pivot'!$A:$U,8,0),"")</f>
        <v>-308.88000000000011</v>
      </c>
      <c r="U13" s="409">
        <f>IFERROR(VLOOKUP($E13,'RF Pendency Pivot'!$A:$U,10,0),"")</f>
        <v>-380.52</v>
      </c>
      <c r="V13" s="409">
        <f>IFERROR(VLOOKUP($E13,'RF Pendency Pivot'!$A:$U,11,0),"")</f>
        <v>-526.55999999999995</v>
      </c>
      <c r="W13" s="409">
        <f>IFERROR(VLOOKUP($E13,'RF Pendency Pivot'!$A:$U,13,0),"")</f>
        <v>-6860.88</v>
      </c>
      <c r="X13" s="409">
        <f>IFERROR(VLOOKUP($E13,'RF Pendency Pivot'!$A:$U,15,0),"")</f>
        <v>-2768.88</v>
      </c>
      <c r="Y13" s="409">
        <f>IFERROR(VLOOKUP($E13,'RF Pendency Pivot'!$A:$U,20,0),"")</f>
        <v>0</v>
      </c>
      <c r="Z13" s="409">
        <f>IFERROR(VLOOKUP($E13,'RF Pendency Pivot'!$A:$U,17,0),"")</f>
        <v>-187.68</v>
      </c>
      <c r="AA13" s="410">
        <f t="shared" ref="AA13" si="7">IF(X13&lt;0,X13+SUMIF(R13:Z13,"&gt;0"),SUMIF(R13:Z13,"&gt;0"))</f>
        <v>-2768.88</v>
      </c>
      <c r="AB13" s="148">
        <f>P13+AA13</f>
        <v>-3164.88</v>
      </c>
      <c r="AC13" s="411"/>
      <c r="AD13" s="11"/>
    </row>
    <row r="14" spans="1:32">
      <c r="A14" s="147"/>
      <c r="E14" s="185" t="s">
        <v>84</v>
      </c>
      <c r="F14" s="188" t="s">
        <v>85</v>
      </c>
      <c r="G14" s="407" t="s">
        <v>18</v>
      </c>
      <c r="H14" s="408">
        <f>IFERROR(VLOOKUP($E14,'RF Pendency Pivot'!$A:$U,14,0),"")</f>
        <v>-2864.04</v>
      </c>
      <c r="I14" s="408">
        <f>IFERROR(VLOOKUP($E14,'RF Pendency Pivot'!$A:$U,6,0),"")</f>
        <v>0</v>
      </c>
      <c r="J14" s="408">
        <f>IFERROR(VLOOKUP($E14,'RF Pendency Pivot'!$A:$U,7,0),"")</f>
        <v>-219.36</v>
      </c>
      <c r="K14" s="408">
        <f>IFERROR(VLOOKUP($E14,'RF Pendency Pivot'!$A:$U,12,0),"")</f>
        <v>-86.039999999999964</v>
      </c>
      <c r="L14" s="408">
        <f>IFERROR(VLOOKUP($E14,'RF Pendency Pivot'!$A:$U,19,0),"")</f>
        <v>-328.32000000000016</v>
      </c>
      <c r="M14" s="408">
        <f>IFERROR(VLOOKUP($E14,'RF Pendency Pivot'!$A:$U,16,0),"")</f>
        <v>-368.03999999999996</v>
      </c>
      <c r="N14" s="409">
        <f>IFERROR(VLOOKUP($E14,'RF Pendency Pivot'!$A:$U,18,0),"")</f>
        <v>-835.08</v>
      </c>
      <c r="O14" s="409">
        <f>IFERROR(VLOOKUP($E14,'RF Pendency Pivot'!$A:$U,21,0),"")</f>
        <v>-40.079999999999927</v>
      </c>
      <c r="P14" s="148">
        <f t="shared" ref="P14:P15" si="8">IF(H14&lt;0,H14+SUMIF(H14:O14,"&gt;0"),SUMIF(H14:O14,"&gt;0"))</f>
        <v>-2864.04</v>
      </c>
      <c r="Q14" s="6"/>
      <c r="R14" s="443">
        <f>IFERROR(VLOOKUP($E14,'RF Pendency Pivot'!$A:$U,4,0),"")</f>
        <v>-3245.4</v>
      </c>
      <c r="S14" s="409">
        <f>IFERROR(VLOOKUP($E14,'RF Pendency Pivot'!$A:$U,5,0),"")</f>
        <v>-120</v>
      </c>
      <c r="T14" s="409">
        <f>IFERROR(VLOOKUP($E14,'RF Pendency Pivot'!$A:$U,8,0),"")</f>
        <v>-93.3599999999999</v>
      </c>
      <c r="U14" s="409">
        <f>IFERROR(VLOOKUP($E14,'RF Pendency Pivot'!$A:$U,10,0),"")</f>
        <v>1.4399999999999977</v>
      </c>
      <c r="V14" s="409">
        <f>IFERROR(VLOOKUP($E14,'RF Pendency Pivot'!$A:$U,11,0),"")</f>
        <v>-255.60000000000002</v>
      </c>
      <c r="W14" s="409">
        <f>IFERROR(VLOOKUP($E14,'RF Pendency Pivot'!$A:$U,13,0),"")</f>
        <v>-203.04</v>
      </c>
      <c r="X14" s="409">
        <f>IFERROR(VLOOKUP($E14,'RF Pendency Pivot'!$A:$U,15,0),"")</f>
        <v>-3700.92</v>
      </c>
      <c r="Y14" s="409">
        <f>IFERROR(VLOOKUP($E14,'RF Pendency Pivot'!$A:$U,20,0),"")</f>
        <v>0</v>
      </c>
      <c r="Z14" s="409">
        <f>IFERROR(VLOOKUP($E14,'RF Pendency Pivot'!$A:$U,17,0),"")</f>
        <v>-381</v>
      </c>
      <c r="AA14" s="410">
        <f t="shared" ref="AA14:AA15" si="9">IF(X14&lt;0,X14+SUMIF(R14:Z14,"&gt;0"),SUMIF(R14:Z14,"&gt;0"))</f>
        <v>-3699.48</v>
      </c>
      <c r="AB14" s="148">
        <f t="shared" ref="AB14" si="10">P14+AA14</f>
        <v>-6563.52</v>
      </c>
      <c r="AC14" s="447"/>
      <c r="AD14" s="245"/>
    </row>
    <row r="15" spans="1:32">
      <c r="E15" s="185" t="s">
        <v>146</v>
      </c>
      <c r="F15" s="40" t="s">
        <v>147</v>
      </c>
      <c r="G15" s="407" t="s">
        <v>18</v>
      </c>
      <c r="H15" s="408">
        <f>IFERROR(VLOOKUP($E15,'RF Pendency Pivot'!$A:$U,14,0),"")</f>
        <v>-21936</v>
      </c>
      <c r="I15" s="408">
        <f>IFERROR(VLOOKUP($E15,'RF Pendency Pivot'!$A:$U,6,0),"")</f>
        <v>0</v>
      </c>
      <c r="J15" s="408">
        <f>IFERROR(VLOOKUP($E15,'RF Pendency Pivot'!$A:$U,7,0),"")</f>
        <v>-2880</v>
      </c>
      <c r="K15" s="408">
        <f>IFERROR(VLOOKUP($E15,'RF Pendency Pivot'!$A:$U,12,0),"")</f>
        <v>-104.15999999999985</v>
      </c>
      <c r="L15" s="408">
        <f>IFERROR(VLOOKUP($E15,'RF Pendency Pivot'!$A:$U,19,0),"")</f>
        <v>-2133.96</v>
      </c>
      <c r="M15" s="408">
        <f>IFERROR(VLOOKUP($E15,'RF Pendency Pivot'!$A:$U,16,0),"")</f>
        <v>0</v>
      </c>
      <c r="N15" s="409">
        <f>IFERROR(VLOOKUP($E15,'RF Pendency Pivot'!$A:$U,18,0),"")</f>
        <v>-1315.5600000000004</v>
      </c>
      <c r="O15" s="409">
        <f>IFERROR(VLOOKUP($E15,'RF Pendency Pivot'!$A:$U,21,0),"")</f>
        <v>-1040.04</v>
      </c>
      <c r="P15" s="148">
        <f t="shared" si="8"/>
        <v>-21936</v>
      </c>
      <c r="Q15" s="6"/>
      <c r="R15" s="443">
        <f>IFERROR(VLOOKUP($E15,'RF Pendency Pivot'!$A:$U,4,0),"")</f>
        <v>-8836.68</v>
      </c>
      <c r="S15" s="409">
        <f>IFERROR(VLOOKUP($E15,'RF Pendency Pivot'!$A:$U,5,0),"")</f>
        <v>-2930.16</v>
      </c>
      <c r="T15" s="409">
        <f>IFERROR(VLOOKUP($E15,'RF Pendency Pivot'!$A:$U,8,0),"")</f>
        <v>-8613.84</v>
      </c>
      <c r="U15" s="409">
        <f>IFERROR(VLOOKUP($E15,'RF Pendency Pivot'!$A:$U,10,0),"")</f>
        <v>-5665.7999999999993</v>
      </c>
      <c r="V15" s="409">
        <f>IFERROR(VLOOKUP($E15,'RF Pendency Pivot'!$A:$U,11,0),"")</f>
        <v>-10931.76</v>
      </c>
      <c r="W15" s="409">
        <f>IFERROR(VLOOKUP($E15,'RF Pendency Pivot'!$A:$U,13,0),"")</f>
        <v>-3733.44</v>
      </c>
      <c r="X15" s="409">
        <f>IFERROR(VLOOKUP($E15,'RF Pendency Pivot'!$A:$U,15,0),"")</f>
        <v>-15683.04</v>
      </c>
      <c r="Y15" s="409">
        <f>IFERROR(VLOOKUP($E15,'RF Pendency Pivot'!$A:$U,20,0),"")</f>
        <v>0</v>
      </c>
      <c r="Z15" s="409">
        <f>IFERROR(VLOOKUP($E15,'RF Pendency Pivot'!$A:$U,17,0),"")</f>
        <v>0</v>
      </c>
      <c r="AA15" s="410">
        <f t="shared" si="9"/>
        <v>-15683.04</v>
      </c>
      <c r="AB15" s="148">
        <f>P15+AA15</f>
        <v>-37619.040000000001</v>
      </c>
      <c r="AC15" s="411"/>
      <c r="AD15" s="11"/>
    </row>
    <row r="16" spans="1:32" hidden="1">
      <c r="A16" s="147"/>
      <c r="B16" s="253" t="str">
        <f>$AC$4&amp;$E16</f>
        <v>PF21235</v>
      </c>
      <c r="C16" s="10" t="str">
        <f>$AD$4&amp;$E16</f>
        <v>HP21235</v>
      </c>
      <c r="E16" s="421" t="s">
        <v>170</v>
      </c>
      <c r="F16" s="407" t="s">
        <v>171</v>
      </c>
      <c r="G16" s="407"/>
      <c r="H16" s="408" t="str">
        <f>IFERROR(VLOOKUP($E16,'RF Pendency Pivot'!$A:$U,14,0),"")</f>
        <v/>
      </c>
      <c r="I16" s="408" t="str">
        <f>IFERROR(VLOOKUP($E16,'RF Pendency Pivot'!$A:$U,6,0),"")</f>
        <v/>
      </c>
      <c r="J16" s="408" t="str">
        <f>IFERROR(VLOOKUP($E16,'RF Pendency Pivot'!$A:$U,7,0),"")</f>
        <v/>
      </c>
      <c r="K16" s="408" t="str">
        <f>IFERROR(VLOOKUP($E16,'RF Pendency Pivot'!$A:$U,12,0),"")</f>
        <v/>
      </c>
      <c r="L16" s="408" t="str">
        <f>IFERROR(VLOOKUP($E16,'RF Pendency Pivot'!$A:$U,19,0),"")</f>
        <v/>
      </c>
      <c r="M16" s="408" t="str">
        <f>IFERROR(VLOOKUP($E16,'RF Pendency Pivot'!$A:$U,16,0),"")</f>
        <v/>
      </c>
      <c r="N16" s="409" t="str">
        <f>IFERROR(VLOOKUP($E16,'RF Pendency Pivot'!$A:$U,18,0),"")</f>
        <v/>
      </c>
      <c r="O16" s="409" t="str">
        <f>IFERROR(VLOOKUP($E16,'RF Pendency Pivot'!$A:$U,21,0),"")</f>
        <v/>
      </c>
      <c r="P16" s="148">
        <f t="shared" ref="P16" si="11">IF(H16&lt;0,H16+SUMIF(H16:O16,"&gt;0"),SUMIF(H16:O16,"&gt;0"))</f>
        <v>0</v>
      </c>
      <c r="Q16" s="6"/>
      <c r="R16" s="443" t="str">
        <f>IFERROR(VLOOKUP($E16,'RF Pendency Pivot'!$A:$U,4,0),"")</f>
        <v/>
      </c>
      <c r="S16" s="409" t="str">
        <f>IFERROR(VLOOKUP($E16,'RF Pendency Pivot'!$A:$U,5,0),"")</f>
        <v/>
      </c>
      <c r="T16" s="409" t="str">
        <f>IFERROR(VLOOKUP($E16,'RF Pendency Pivot'!$A:$U,8,0),"")</f>
        <v/>
      </c>
      <c r="U16" s="409" t="str">
        <f>IFERROR(VLOOKUP($E16,'RF Pendency Pivot'!$A:$U,10,0),"")</f>
        <v/>
      </c>
      <c r="V16" s="409" t="str">
        <f>IFERROR(VLOOKUP($E16,'RF Pendency Pivot'!$A:$U,11,0),"")</f>
        <v/>
      </c>
      <c r="W16" s="409" t="str">
        <f>IFERROR(VLOOKUP($E16,'RF Pendency Pivot'!$A:$U,13,0),"")</f>
        <v/>
      </c>
      <c r="X16" s="409" t="str">
        <f>IFERROR(VLOOKUP($E16,'RF Pendency Pivot'!$A:$U,15,0),"")</f>
        <v/>
      </c>
      <c r="Y16" s="409" t="str">
        <f>IFERROR(VLOOKUP($E16,'RF Pendency Pivot'!$A:$U,20,0),"")</f>
        <v/>
      </c>
      <c r="Z16" s="409" t="str">
        <f>IFERROR(VLOOKUP($E16,'RF Pendency Pivot'!$A:$U,17,0),"")</f>
        <v/>
      </c>
      <c r="AA16" s="410">
        <f t="shared" ref="AA16" si="12">IF(X16&lt;0,X16+SUMIF(R16:Z16,"&gt;0"),SUMIF(R16:Z16,"&gt;0"))</f>
        <v>0</v>
      </c>
      <c r="AB16" s="148">
        <f>P16+AA16</f>
        <v>0</v>
      </c>
      <c r="AC16" s="411"/>
      <c r="AD16" s="11"/>
    </row>
    <row r="17" spans="1:32">
      <c r="A17" s="147"/>
      <c r="B17" s="253" t="str">
        <f>$AC$4&amp;$E17</f>
        <v>PF21910</v>
      </c>
      <c r="C17" s="10" t="str">
        <f>$AD$4&amp;$E17</f>
        <v>HP21910</v>
      </c>
      <c r="E17" s="421" t="s">
        <v>180</v>
      </c>
      <c r="F17" s="407" t="s">
        <v>181</v>
      </c>
      <c r="G17" s="407" t="s">
        <v>18</v>
      </c>
      <c r="H17" s="408">
        <f>IFERROR(VLOOKUP($E17,'RF Pendency Pivot'!$A:$U,14,0),"")</f>
        <v>-51420</v>
      </c>
      <c r="I17" s="408">
        <f>IFERROR(VLOOKUP($E17,'RF Pendency Pivot'!$A:$U,6,0),"")</f>
        <v>0</v>
      </c>
      <c r="J17" s="408">
        <f>IFERROR(VLOOKUP($E17,'RF Pendency Pivot'!$A:$U,7,0),"")</f>
        <v>0</v>
      </c>
      <c r="K17" s="408">
        <f>IFERROR(VLOOKUP($E17,'RF Pendency Pivot'!$A:$U,12,0),"")</f>
        <v>-5397.36</v>
      </c>
      <c r="L17" s="408">
        <f>IFERROR(VLOOKUP($E17,'RF Pendency Pivot'!$A:$U,19,0),"")</f>
        <v>-2285.7600000000002</v>
      </c>
      <c r="M17" s="408">
        <f>IFERROR(VLOOKUP($E17,'RF Pendency Pivot'!$A:$U,16,0),"")</f>
        <v>0</v>
      </c>
      <c r="N17" s="409">
        <f>IFERROR(VLOOKUP($E17,'RF Pendency Pivot'!$A:$U,18,0),"")</f>
        <v>-2553.4799999999996</v>
      </c>
      <c r="O17" s="409">
        <f>IFERROR(VLOOKUP($E17,'RF Pendency Pivot'!$A:$U,21,0),"")</f>
        <v>-3512.0400000000009</v>
      </c>
      <c r="P17" s="148">
        <f>IF(H17&lt;0,H17+SUMIF(H17:O17,"&gt;0"),SUMIF(H17:O17,"&gt;0"))</f>
        <v>-51420</v>
      </c>
      <c r="Q17" s="6"/>
      <c r="R17" s="443">
        <f>IFERROR(VLOOKUP($E17,'RF Pendency Pivot'!$A:$U,4,0),"")</f>
        <v>-3.2399999999999949</v>
      </c>
      <c r="S17" s="409">
        <f>IFERROR(VLOOKUP($E17,'RF Pendency Pivot'!$A:$U,5,0),"")</f>
        <v>-783.96</v>
      </c>
      <c r="T17" s="409">
        <f>IFERROR(VLOOKUP($E17,'RF Pendency Pivot'!$A:$U,8,0),"")</f>
        <v>-1606.56</v>
      </c>
      <c r="U17" s="409">
        <f>IFERROR(VLOOKUP($E17,'RF Pendency Pivot'!$A:$U,10,0),"")</f>
        <v>-59.4</v>
      </c>
      <c r="V17" s="409">
        <f>IFERROR(VLOOKUP($E17,'RF Pendency Pivot'!$A:$U,11,0),"")</f>
        <v>-579.24</v>
      </c>
      <c r="W17" s="409">
        <f>IFERROR(VLOOKUP($E17,'RF Pendency Pivot'!$A:$U,13,0),"")</f>
        <v>0</v>
      </c>
      <c r="X17" s="409">
        <f>IFERROR(VLOOKUP($E17,'RF Pendency Pivot'!$A:$U,15,0),"")</f>
        <v>-1690.6799999999998</v>
      </c>
      <c r="Y17" s="409">
        <f>IFERROR(VLOOKUP($E17,'RF Pendency Pivot'!$A:$U,20,0),"")</f>
        <v>0</v>
      </c>
      <c r="Z17" s="409">
        <f>IFERROR(VLOOKUP($E17,'RF Pendency Pivot'!$A:$U,17,0),"")</f>
        <v>0</v>
      </c>
      <c r="AA17" s="410">
        <f>IF(X17&lt;0,X17+SUMIF(R17:Z17,"&gt;0"),SUMIF(R17:Z17,"&gt;0"))</f>
        <v>-1690.6799999999998</v>
      </c>
      <c r="AB17" s="148">
        <f>P17+AA17</f>
        <v>-53110.68</v>
      </c>
      <c r="AC17" s="447" t="str">
        <f>IFERROR(VLOOKUP(B17,#REF!,2,0),"")</f>
        <v/>
      </c>
      <c r="AD17" s="245" t="str">
        <f>IFERROR(VLOOKUP(C17,#REF!,2,0),"")</f>
        <v/>
      </c>
    </row>
    <row r="18" spans="1:32" ht="13.5" thickBot="1">
      <c r="A18" s="110"/>
      <c r="B18" s="253" t="str">
        <f t="shared" ref="B18" si="13">$AC$4&amp;$E18</f>
        <v>PF22059</v>
      </c>
      <c r="C18" s="10" t="str">
        <f t="shared" ref="C18" si="14">$AD$4&amp;$E18</f>
        <v>HP22059</v>
      </c>
      <c r="E18" s="421" t="s">
        <v>183</v>
      </c>
      <c r="F18" s="407" t="s">
        <v>184</v>
      </c>
      <c r="G18" s="407" t="s">
        <v>18</v>
      </c>
      <c r="H18" s="408">
        <f>IFERROR(VLOOKUP($E18,'RF Pendency Pivot'!$A:$U,14,0),"")</f>
        <v>0</v>
      </c>
      <c r="I18" s="408">
        <f>IFERROR(VLOOKUP($E18,'RF Pendency Pivot'!$A:$U,6,0),"")</f>
        <v>0</v>
      </c>
      <c r="J18" s="408">
        <f>IFERROR(VLOOKUP($E18,'RF Pendency Pivot'!$A:$U,7,0),"")</f>
        <v>0</v>
      </c>
      <c r="K18" s="408">
        <f>IFERROR(VLOOKUP($E18,'RF Pendency Pivot'!$A:$U,12,0),"")</f>
        <v>0</v>
      </c>
      <c r="L18" s="408">
        <f>IFERROR(VLOOKUP($E18,'RF Pendency Pivot'!$A:$U,19,0),"")</f>
        <v>0</v>
      </c>
      <c r="M18" s="408">
        <f>IFERROR(VLOOKUP($E18,'RF Pendency Pivot'!$A:$U,16,0),"")</f>
        <v>0</v>
      </c>
      <c r="N18" s="409">
        <f>IFERROR(VLOOKUP($E18,'RF Pendency Pivot'!$A:$U,18,0),"")</f>
        <v>128.63999999999999</v>
      </c>
      <c r="O18" s="409">
        <f>IFERROR(VLOOKUP($E18,'RF Pendency Pivot'!$A:$U,21,0),"")</f>
        <v>0</v>
      </c>
      <c r="P18" s="148">
        <f t="shared" ref="P18:P20" si="15">IF(H18&lt;0,H18+SUMIF(H18:O18,"&gt;0"),SUMIF(H18:O18,"&gt;0"))</f>
        <v>128.63999999999999</v>
      </c>
      <c r="Q18" s="6"/>
      <c r="R18" s="443">
        <f>IFERROR(VLOOKUP($E18,'RF Pendency Pivot'!$A:$U,4,0),"")</f>
        <v>0</v>
      </c>
      <c r="S18" s="409">
        <f>IFERROR(VLOOKUP($E18,'RF Pendency Pivot'!$A:$U,5,0),"")</f>
        <v>0</v>
      </c>
      <c r="T18" s="409">
        <f>IFERROR(VLOOKUP($E18,'RF Pendency Pivot'!$A:$U,8,0),"")</f>
        <v>0</v>
      </c>
      <c r="U18" s="409">
        <f>IFERROR(VLOOKUP($E18,'RF Pendency Pivot'!$A:$U,10,0),"")</f>
        <v>0</v>
      </c>
      <c r="V18" s="409">
        <f>IFERROR(VLOOKUP($E18,'RF Pendency Pivot'!$A:$U,11,0),"")</f>
        <v>0</v>
      </c>
      <c r="W18" s="409">
        <f>IFERROR(VLOOKUP($E18,'RF Pendency Pivot'!$A:$U,13,0),"")</f>
        <v>0</v>
      </c>
      <c r="X18" s="409">
        <f>IFERROR(VLOOKUP($E18,'RF Pendency Pivot'!$A:$U,15,0),"")</f>
        <v>0</v>
      </c>
      <c r="Y18" s="409">
        <f>IFERROR(VLOOKUP($E18,'RF Pendency Pivot'!$A:$U,20,0),"")</f>
        <v>0</v>
      </c>
      <c r="Z18" s="409">
        <f>IFERROR(VLOOKUP($E18,'RF Pendency Pivot'!$A:$U,17,0),"")</f>
        <v>0</v>
      </c>
      <c r="AA18" s="410">
        <f t="shared" ref="AA18:AA20" si="16">IF(X18&lt;0,X18+SUMIF(R18:Z18,"&gt;0"),SUMIF(R18:Z18,"&gt;0"))</f>
        <v>0</v>
      </c>
      <c r="AB18" s="148">
        <f>P18+AA18</f>
        <v>128.63999999999999</v>
      </c>
      <c r="AC18" s="448" t="str">
        <f>IFERROR(VLOOKUP(B18,#REF!,2,0),"")</f>
        <v/>
      </c>
      <c r="AD18" s="246" t="str">
        <f>IFERROR(VLOOKUP(C18,#REF!,2,0),"")</f>
        <v/>
      </c>
    </row>
    <row r="19" spans="1:32">
      <c r="A19" s="147"/>
      <c r="E19" s="185" t="s">
        <v>191</v>
      </c>
      <c r="F19" s="188" t="s">
        <v>192</v>
      </c>
      <c r="G19" s="407" t="s">
        <v>18</v>
      </c>
      <c r="H19" s="408" t="str">
        <f>IFERROR(VLOOKUP($E19,'RF Pendency Pivot'!$A:$U,14,0),"")</f>
        <v/>
      </c>
      <c r="I19" s="408" t="str">
        <f>IFERROR(VLOOKUP($E19,'RF Pendency Pivot'!$A:$U,6,0),"")</f>
        <v/>
      </c>
      <c r="J19" s="408" t="str">
        <f>IFERROR(VLOOKUP($E19,'RF Pendency Pivot'!$A:$U,7,0),"")</f>
        <v/>
      </c>
      <c r="K19" s="408" t="str">
        <f>IFERROR(VLOOKUP($E19,'RF Pendency Pivot'!$A:$U,12,0),"")</f>
        <v/>
      </c>
      <c r="L19" s="408" t="str">
        <f>IFERROR(VLOOKUP($E19,'RF Pendency Pivot'!$A:$U,19,0),"")</f>
        <v/>
      </c>
      <c r="M19" s="408" t="str">
        <f>IFERROR(VLOOKUP($E19,'RF Pendency Pivot'!$A:$U,16,0),"")</f>
        <v/>
      </c>
      <c r="N19" s="409" t="str">
        <f>IFERROR(VLOOKUP($E19,'RF Pendency Pivot'!$A:$U,18,0),"")</f>
        <v/>
      </c>
      <c r="O19" s="409" t="str">
        <f>IFERROR(VLOOKUP($E19,'RF Pendency Pivot'!$A:$U,21,0),"")</f>
        <v/>
      </c>
      <c r="P19" s="148">
        <f t="shared" si="15"/>
        <v>0</v>
      </c>
      <c r="Q19" s="6"/>
      <c r="R19" s="443" t="str">
        <f>IFERROR(VLOOKUP($E19,'RF Pendency Pivot'!$A:$U,4,0),"")</f>
        <v/>
      </c>
      <c r="S19" s="409" t="str">
        <f>IFERROR(VLOOKUP($E19,'RF Pendency Pivot'!$A:$U,5,0),"")</f>
        <v/>
      </c>
      <c r="T19" s="409" t="str">
        <f>IFERROR(VLOOKUP($E19,'RF Pendency Pivot'!$A:$U,8,0),"")</f>
        <v/>
      </c>
      <c r="U19" s="409" t="str">
        <f>IFERROR(VLOOKUP($E19,'RF Pendency Pivot'!$A:$U,10,0),"")</f>
        <v/>
      </c>
      <c r="V19" s="409" t="str">
        <f>IFERROR(VLOOKUP($E19,'RF Pendency Pivot'!$A:$U,11,0),"")</f>
        <v/>
      </c>
      <c r="W19" s="409" t="str">
        <f>IFERROR(VLOOKUP($E19,'RF Pendency Pivot'!$A:$U,13,0),"")</f>
        <v/>
      </c>
      <c r="X19" s="409" t="str">
        <f>IFERROR(VLOOKUP($E19,'RF Pendency Pivot'!$A:$U,15,0),"")</f>
        <v/>
      </c>
      <c r="Y19" s="409" t="str">
        <f>IFERROR(VLOOKUP($E19,'RF Pendency Pivot'!$A:$U,20,0),"")</f>
        <v/>
      </c>
      <c r="Z19" s="409" t="str">
        <f>IFERROR(VLOOKUP($E19,'RF Pendency Pivot'!$A:$U,17,0),"")</f>
        <v/>
      </c>
      <c r="AA19" s="410">
        <f t="shared" si="16"/>
        <v>0</v>
      </c>
      <c r="AB19" s="148">
        <f t="shared" ref="AB19" si="17">P19+AA19</f>
        <v>0</v>
      </c>
      <c r="AC19" s="447"/>
      <c r="AD19" s="245"/>
    </row>
    <row r="20" spans="1:32" hidden="1">
      <c r="A20" s="147"/>
      <c r="B20" s="253" t="str">
        <f>$AC$4&amp;$E20</f>
        <v>PF23890</v>
      </c>
      <c r="C20" s="10" t="str">
        <f>$AD$4&amp;$E20</f>
        <v>HP23890</v>
      </c>
      <c r="E20" s="421" t="s">
        <v>778</v>
      </c>
      <c r="F20" s="407" t="s">
        <v>780</v>
      </c>
      <c r="G20" s="407" t="s">
        <v>18</v>
      </c>
      <c r="H20" s="408">
        <f>IFERROR(VLOOKUP($E20,'RF Pendency Pivot'!$A:$U,14,0),"")</f>
        <v>-1356</v>
      </c>
      <c r="I20" s="408">
        <f>IFERROR(VLOOKUP($E20,'RF Pendency Pivot'!$A:$U,6,0),"")</f>
        <v>0</v>
      </c>
      <c r="J20" s="408">
        <f>IFERROR(VLOOKUP($E20,'RF Pendency Pivot'!$A:$U,7,0),"")</f>
        <v>0</v>
      </c>
      <c r="K20" s="408">
        <f>IFERROR(VLOOKUP($E20,'RF Pendency Pivot'!$A:$U,12,0),"")</f>
        <v>0</v>
      </c>
      <c r="L20" s="408">
        <f>IFERROR(VLOOKUP($E20,'RF Pendency Pivot'!$A:$U,19,0),"")</f>
        <v>0</v>
      </c>
      <c r="M20" s="408">
        <f>IFERROR(VLOOKUP($E20,'RF Pendency Pivot'!$A:$U,16,0),"")</f>
        <v>0</v>
      </c>
      <c r="N20" s="409">
        <f>IFERROR(VLOOKUP($E20,'RF Pendency Pivot'!$A:$U,18,0),"")</f>
        <v>0</v>
      </c>
      <c r="O20" s="409">
        <f>IFERROR(VLOOKUP($E20,'RF Pendency Pivot'!$A:$U,21,0),"")</f>
        <v>-120</v>
      </c>
      <c r="P20" s="148">
        <f t="shared" si="15"/>
        <v>-1356</v>
      </c>
      <c r="Q20" s="6"/>
      <c r="R20" s="443">
        <f>IFERROR(VLOOKUP($E20,'RF Pendency Pivot'!$A:$U,4,0),"")</f>
        <v>-1020</v>
      </c>
      <c r="S20" s="409">
        <f>IFERROR(VLOOKUP($E20,'RF Pendency Pivot'!$A:$U,5,0),"")</f>
        <v>0</v>
      </c>
      <c r="T20" s="409">
        <f>IFERROR(VLOOKUP($E20,'RF Pendency Pivot'!$A:$U,8,0),"")</f>
        <v>0</v>
      </c>
      <c r="U20" s="409">
        <f>IFERROR(VLOOKUP($E20,'RF Pendency Pivot'!$A:$U,10,0),"")</f>
        <v>-1128</v>
      </c>
      <c r="V20" s="409">
        <f>IFERROR(VLOOKUP($E20,'RF Pendency Pivot'!$A:$U,11,0),"")</f>
        <v>0</v>
      </c>
      <c r="W20" s="409">
        <f>IFERROR(VLOOKUP($E20,'RF Pendency Pivot'!$A:$U,13,0),"")</f>
        <v>0</v>
      </c>
      <c r="X20" s="409">
        <f>IFERROR(VLOOKUP($E20,'RF Pendency Pivot'!$A:$U,15,0),"")</f>
        <v>-1116</v>
      </c>
      <c r="Y20" s="409">
        <f>IFERROR(VLOOKUP($E20,'RF Pendency Pivot'!$A:$U,20,0),"")</f>
        <v>0</v>
      </c>
      <c r="Z20" s="409">
        <f>IFERROR(VLOOKUP($E20,'RF Pendency Pivot'!$A:$U,17,0),"")</f>
        <v>0</v>
      </c>
      <c r="AA20" s="410">
        <f t="shared" si="16"/>
        <v>-1116</v>
      </c>
      <c r="AB20" s="148">
        <f>P20+AA20</f>
        <v>-2472</v>
      </c>
      <c r="AC20" s="447" t="str">
        <f>IFERROR(VLOOKUP(B20,#REF!,2,0),"")</f>
        <v/>
      </c>
      <c r="AD20" s="245" t="str">
        <f>IFERROR(VLOOKUP(C20,#REF!,2,0),"")</f>
        <v/>
      </c>
    </row>
    <row r="21" spans="1:32">
      <c r="A21" s="147"/>
      <c r="E21" s="185" t="s">
        <v>189</v>
      </c>
      <c r="F21" s="188" t="s">
        <v>193</v>
      </c>
      <c r="G21" s="407" t="s">
        <v>18</v>
      </c>
      <c r="H21" s="408">
        <f>IFERROR(VLOOKUP($E21,'RF Pendency Pivot'!$A:$U,14,0),"")</f>
        <v>24</v>
      </c>
      <c r="I21" s="408">
        <f>IFERROR(VLOOKUP($E21,'RF Pendency Pivot'!$A:$U,6,0),"")</f>
        <v>0</v>
      </c>
      <c r="J21" s="408">
        <f>IFERROR(VLOOKUP($E21,'RF Pendency Pivot'!$A:$U,7,0),"")</f>
        <v>-3.3600000000000136</v>
      </c>
      <c r="K21" s="408">
        <f>IFERROR(VLOOKUP($E21,'RF Pendency Pivot'!$A:$U,12,0),"")</f>
        <v>108.60000000000002</v>
      </c>
      <c r="L21" s="408">
        <f>IFERROR(VLOOKUP($E21,'RF Pendency Pivot'!$A:$U,19,0),"")</f>
        <v>162.36000000000013</v>
      </c>
      <c r="M21" s="408">
        <f>IFERROR(VLOOKUP($E21,'RF Pendency Pivot'!$A:$U,16,0),"")</f>
        <v>-84</v>
      </c>
      <c r="N21" s="409">
        <f>IFERROR(VLOOKUP($E21,'RF Pendency Pivot'!$A:$U,18,0),"")</f>
        <v>-568.67999999999995</v>
      </c>
      <c r="O21" s="409">
        <f>IFERROR(VLOOKUP($E21,'RF Pendency Pivot'!$A:$U,21,0),"")</f>
        <v>223.92000000000007</v>
      </c>
      <c r="P21" s="148">
        <f t="shared" ref="P21" si="18">IF(H21&lt;0,H21+SUMIF(H21:O21,"&gt;0"),SUMIF(H21:O21,"&gt;0"))</f>
        <v>518.88000000000022</v>
      </c>
      <c r="Q21" s="6"/>
      <c r="R21" s="443">
        <f>IFERROR(VLOOKUP($E21,'RF Pendency Pivot'!$A:$U,4,0),"")</f>
        <v>-18.840000000000146</v>
      </c>
      <c r="S21" s="409">
        <f>IFERROR(VLOOKUP($E21,'RF Pendency Pivot'!$A:$U,5,0),"")</f>
        <v>-192.24</v>
      </c>
      <c r="T21" s="409">
        <f>IFERROR(VLOOKUP($E21,'RF Pendency Pivot'!$A:$U,8,0),"")</f>
        <v>-42.720000000000027</v>
      </c>
      <c r="U21" s="409">
        <f>IFERROR(VLOOKUP($E21,'RF Pendency Pivot'!$A:$U,10,0),"")</f>
        <v>-299.76</v>
      </c>
      <c r="V21" s="409">
        <f>IFERROR(VLOOKUP($E21,'RF Pendency Pivot'!$A:$U,11,0),"")</f>
        <v>368.76000000000022</v>
      </c>
      <c r="W21" s="409">
        <f>IFERROR(VLOOKUP($E21,'RF Pendency Pivot'!$A:$U,13,0),"")</f>
        <v>-106.32</v>
      </c>
      <c r="X21" s="409">
        <f>IFERROR(VLOOKUP($E21,'RF Pendency Pivot'!$A:$U,15,0),"")</f>
        <v>-713.63999999999987</v>
      </c>
      <c r="Y21" s="409">
        <f>IFERROR(VLOOKUP($E21,'RF Pendency Pivot'!$A:$U,20,0),"")</f>
        <v>0</v>
      </c>
      <c r="Z21" s="409">
        <f>IFERROR(VLOOKUP($E21,'RF Pendency Pivot'!$A:$U,17,0),"")</f>
        <v>-114.72000000000003</v>
      </c>
      <c r="AA21" s="410">
        <f t="shared" ref="AA21" si="19">IF(X21&lt;0,X21+SUMIF(R21:Z21,"&gt;0"),SUMIF(R21:Z21,"&gt;0"))</f>
        <v>-344.87999999999965</v>
      </c>
      <c r="AB21" s="148">
        <f t="shared" ref="AB21" si="20">P21+AA21</f>
        <v>174.00000000000057</v>
      </c>
      <c r="AC21" s="447"/>
      <c r="AD21" s="245"/>
      <c r="AF21" s="10">
        <v>21</v>
      </c>
    </row>
    <row r="22" spans="1:32">
      <c r="E22" s="423" t="s">
        <v>1004</v>
      </c>
      <c r="F22" s="412" t="s">
        <v>1005</v>
      </c>
      <c r="G22" s="407" t="s">
        <v>18</v>
      </c>
      <c r="H22" s="408">
        <f>IFERROR(VLOOKUP($E22,'RF Pendency Pivot'!$A:$U,14,0),"")</f>
        <v>-16180</v>
      </c>
      <c r="I22" s="408">
        <f>IFERROR(VLOOKUP($E22,'RF Pendency Pivot'!$A:$U,6,0),"")</f>
        <v>0</v>
      </c>
      <c r="J22" s="408">
        <f>IFERROR(VLOOKUP($E22,'RF Pendency Pivot'!$A:$U,7,0),"")</f>
        <v>0</v>
      </c>
      <c r="K22" s="408">
        <f>IFERROR(VLOOKUP($E22,'RF Pendency Pivot'!$A:$U,12,0),"")</f>
        <v>0</v>
      </c>
      <c r="L22" s="408">
        <f>IFERROR(VLOOKUP($E22,'RF Pendency Pivot'!$A:$U,19,0),"")</f>
        <v>0</v>
      </c>
      <c r="M22" s="408">
        <f>IFERROR(VLOOKUP($E22,'RF Pendency Pivot'!$A:$U,16,0),"")</f>
        <v>0</v>
      </c>
      <c r="N22" s="409">
        <f>IFERROR(VLOOKUP($E22,'RF Pendency Pivot'!$A:$U,18,0),"")</f>
        <v>0</v>
      </c>
      <c r="O22" s="409">
        <f>IFERROR(VLOOKUP($E22,'RF Pendency Pivot'!$A:$U,21,0),"")</f>
        <v>0</v>
      </c>
      <c r="P22" s="148">
        <f t="shared" ref="P22" si="21">IF(H22&lt;0,H22+SUMIF(H22:O22,"&gt;0"),SUMIF(H22:O22,"&gt;0"))</f>
        <v>-16180</v>
      </c>
      <c r="Q22" s="6"/>
      <c r="R22" s="443">
        <f>IFERROR(VLOOKUP($E22,'RF Pendency Pivot'!$A:$U,4,0),"")</f>
        <v>0</v>
      </c>
      <c r="S22" s="409">
        <f>IFERROR(VLOOKUP($E22,'RF Pendency Pivot'!$A:$U,5,0),"")</f>
        <v>-3520.3000000000029</v>
      </c>
      <c r="T22" s="409">
        <f>IFERROR(VLOOKUP($E22,'RF Pendency Pivot'!$A:$U,8,0),"")</f>
        <v>0</v>
      </c>
      <c r="U22" s="409">
        <f>IFERROR(VLOOKUP($E22,'RF Pendency Pivot'!$A:$U,10,0),"")</f>
        <v>0</v>
      </c>
      <c r="V22" s="409">
        <f>IFERROR(VLOOKUP($E22,'RF Pendency Pivot'!$A:$U,11,0),"")</f>
        <v>0</v>
      </c>
      <c r="W22" s="409">
        <f>IFERROR(VLOOKUP($E22,'RF Pendency Pivot'!$A:$U,13,0),"")</f>
        <v>0</v>
      </c>
      <c r="X22" s="409">
        <f>IFERROR(VLOOKUP($E22,'RF Pendency Pivot'!$A:$U,15,0),"")</f>
        <v>0</v>
      </c>
      <c r="Y22" s="409">
        <f>IFERROR(VLOOKUP($E22,'RF Pendency Pivot'!$A:$U,20,0),"")</f>
        <v>0</v>
      </c>
      <c r="Z22" s="409">
        <f>IFERROR(VLOOKUP($E22,'RF Pendency Pivot'!$A:$U,17,0),"")</f>
        <v>0</v>
      </c>
      <c r="AA22" s="410">
        <f t="shared" ref="AA22" si="22">IF(X22&lt;0,X22+SUMIF(R22:Z22,"&gt;0"),SUMIF(R22:Z22,"&gt;0"))</f>
        <v>0</v>
      </c>
      <c r="AB22" s="148">
        <f>P22+AA22</f>
        <v>-16180</v>
      </c>
      <c r="AC22" s="411"/>
      <c r="AD22" s="11"/>
    </row>
    <row r="23" spans="1:32">
      <c r="E23" s="423" t="s">
        <v>1006</v>
      </c>
      <c r="F23" s="412" t="s">
        <v>1008</v>
      </c>
      <c r="G23" s="407" t="s">
        <v>18</v>
      </c>
      <c r="H23" s="408">
        <f>IFERROR(VLOOKUP($E23,'RF Pendency Pivot'!$A:$U,14,0),"")</f>
        <v>-8196</v>
      </c>
      <c r="I23" s="408">
        <f>IFERROR(VLOOKUP($E23,'RF Pendency Pivot'!$A:$U,6,0),"")</f>
        <v>0</v>
      </c>
      <c r="J23" s="408">
        <f>IFERROR(VLOOKUP($E23,'RF Pendency Pivot'!$A:$U,7,0),"")</f>
        <v>-1546.3200000000002</v>
      </c>
      <c r="K23" s="408">
        <f>IFERROR(VLOOKUP($E23,'RF Pendency Pivot'!$A:$U,12,0),"")</f>
        <v>-5012.16</v>
      </c>
      <c r="L23" s="408">
        <f>IFERROR(VLOOKUP($E23,'RF Pendency Pivot'!$A:$U,19,0),"")</f>
        <v>-862.32000000000016</v>
      </c>
      <c r="M23" s="408">
        <f>IFERROR(VLOOKUP($E23,'RF Pendency Pivot'!$A:$U,16,0),"")</f>
        <v>-3024</v>
      </c>
      <c r="N23" s="409">
        <f>IFERROR(VLOOKUP($E23,'RF Pendency Pivot'!$A:$U,18,0),"")</f>
        <v>-21.3599999999999</v>
      </c>
      <c r="O23" s="409">
        <f>IFERROR(VLOOKUP($E23,'RF Pendency Pivot'!$A:$U,21,0),"")</f>
        <v>-1044</v>
      </c>
      <c r="P23" s="148">
        <f t="shared" ref="P23:P24" si="23">IF(H23&lt;0,H23+SUMIF(H23:O23,"&gt;0"),SUMIF(H23:O23,"&gt;0"))</f>
        <v>-8196</v>
      </c>
      <c r="Q23" s="6"/>
      <c r="R23" s="443">
        <f>IFERROR(VLOOKUP($E23,'RF Pendency Pivot'!$A:$U,4,0),"")</f>
        <v>-4569.4799999999996</v>
      </c>
      <c r="S23" s="409">
        <f>IFERROR(VLOOKUP($E23,'RF Pendency Pivot'!$A:$U,5,0),"")</f>
        <v>-1337.52</v>
      </c>
      <c r="T23" s="409">
        <f>IFERROR(VLOOKUP($E23,'RF Pendency Pivot'!$A:$U,8,0),"")</f>
        <v>-291.72000000000003</v>
      </c>
      <c r="U23" s="409">
        <f>IFERROR(VLOOKUP($E23,'RF Pendency Pivot'!$A:$U,10,0),"")</f>
        <v>-2374.56</v>
      </c>
      <c r="V23" s="409">
        <f>IFERROR(VLOOKUP($E23,'RF Pendency Pivot'!$A:$U,11,0),"")</f>
        <v>-427.20000000000005</v>
      </c>
      <c r="W23" s="409">
        <f>IFERROR(VLOOKUP($E23,'RF Pendency Pivot'!$A:$U,13,0),"")</f>
        <v>-180</v>
      </c>
      <c r="X23" s="409">
        <f>IFERROR(VLOOKUP($E23,'RF Pendency Pivot'!$A:$U,15,0),"")</f>
        <v>-4253.04</v>
      </c>
      <c r="Y23" s="409">
        <f>IFERROR(VLOOKUP($E23,'RF Pendency Pivot'!$A:$U,20,0),"")</f>
        <v>0</v>
      </c>
      <c r="Z23" s="409">
        <f>IFERROR(VLOOKUP($E23,'RF Pendency Pivot'!$A:$U,17,0),"")</f>
        <v>0</v>
      </c>
      <c r="AA23" s="410">
        <f t="shared" ref="AA23:AA24" si="24">IF(X23&lt;0,X23+SUMIF(R23:Z23,"&gt;0"),SUMIF(R23:Z23,"&gt;0"))</f>
        <v>-4253.04</v>
      </c>
      <c r="AB23" s="148">
        <f t="shared" ref="AB23:AB24" si="25">P23+AA23</f>
        <v>-12449.04</v>
      </c>
      <c r="AC23" s="411"/>
      <c r="AD23" s="11"/>
    </row>
    <row r="24" spans="1:32">
      <c r="E24" s="170" t="s">
        <v>1007</v>
      </c>
      <c r="F24" s="459" t="s">
        <v>1009</v>
      </c>
      <c r="G24" s="424" t="s">
        <v>18</v>
      </c>
      <c r="H24" s="439">
        <f>IFERROR(VLOOKUP($E24,'RF Pendency Pivot'!$A:$U,14,0),"")</f>
        <v>1185.5999999999999</v>
      </c>
      <c r="I24" s="439">
        <f>IFERROR(VLOOKUP($E24,'RF Pendency Pivot'!$A:$U,6,0),"")</f>
        <v>0</v>
      </c>
      <c r="J24" s="439">
        <f>IFERROR(VLOOKUP($E24,'RF Pendency Pivot'!$A:$U,7,0),"")</f>
        <v>-113.63999999999987</v>
      </c>
      <c r="K24" s="439">
        <f>IFERROR(VLOOKUP($E24,'RF Pendency Pivot'!$A:$U,12,0),"")</f>
        <v>3292.4399999999996</v>
      </c>
      <c r="L24" s="439">
        <f>IFERROR(VLOOKUP($E24,'RF Pendency Pivot'!$A:$U,19,0),"")</f>
        <v>50.6400000000001</v>
      </c>
      <c r="M24" s="439">
        <f>IFERROR(VLOOKUP($E24,'RF Pendency Pivot'!$A:$U,16,0),"")</f>
        <v>-312</v>
      </c>
      <c r="N24" s="440">
        <f>IFERROR(VLOOKUP($E24,'RF Pendency Pivot'!$A:$U,18,0),"")</f>
        <v>-108.72000000000003</v>
      </c>
      <c r="O24" s="440">
        <f>IFERROR(VLOOKUP($E24,'RF Pendency Pivot'!$A:$U,21,0),"")</f>
        <v>43.919999999999959</v>
      </c>
      <c r="P24" s="441">
        <f t="shared" si="23"/>
        <v>4572.5999999999995</v>
      </c>
      <c r="Q24" s="6"/>
      <c r="R24" s="444">
        <f>IFERROR(VLOOKUP($E24,'RF Pendency Pivot'!$A:$U,4,0),"")</f>
        <v>3679.92</v>
      </c>
      <c r="S24" s="440">
        <f>IFERROR(VLOOKUP($E24,'RF Pendency Pivot'!$A:$U,5,0),"")</f>
        <v>718.92000000000007</v>
      </c>
      <c r="T24" s="440">
        <f>IFERROR(VLOOKUP($E24,'RF Pendency Pivot'!$A:$U,8,0),"")</f>
        <v>-338.4</v>
      </c>
      <c r="U24" s="440">
        <f>IFERROR(VLOOKUP($E24,'RF Pendency Pivot'!$A:$U,10,0),"")</f>
        <v>432.72</v>
      </c>
      <c r="V24" s="440">
        <f>IFERROR(VLOOKUP($E24,'RF Pendency Pivot'!$A:$U,11,0),"")</f>
        <v>1299.96</v>
      </c>
      <c r="W24" s="440">
        <f>IFERROR(VLOOKUP($E24,'RF Pendency Pivot'!$A:$U,13,0),"")</f>
        <v>42</v>
      </c>
      <c r="X24" s="440">
        <f>IFERROR(VLOOKUP($E24,'RF Pendency Pivot'!$A:$U,15,0),"")</f>
        <v>3531.7199999999993</v>
      </c>
      <c r="Y24" s="440">
        <f>IFERROR(VLOOKUP($E24,'RF Pendency Pivot'!$A:$U,20,0),"")</f>
        <v>0</v>
      </c>
      <c r="Z24" s="440">
        <f>IFERROR(VLOOKUP($E24,'RF Pendency Pivot'!$A:$U,17,0),"")</f>
        <v>-172.2</v>
      </c>
      <c r="AA24" s="450">
        <f t="shared" si="24"/>
        <v>9705.24</v>
      </c>
      <c r="AB24" s="441">
        <f t="shared" si="25"/>
        <v>14277.84</v>
      </c>
      <c r="AC24" s="411"/>
      <c r="AD24" s="11"/>
    </row>
    <row r="25" spans="1:32" ht="26.25" thickBot="1">
      <c r="E25" s="640"/>
      <c r="F25" s="640"/>
      <c r="G25" s="640"/>
      <c r="H25" s="29"/>
      <c r="I25" s="29"/>
      <c r="J25" s="29"/>
      <c r="K25" s="29"/>
      <c r="L25" s="29"/>
      <c r="M25" s="29"/>
      <c r="N25" s="29"/>
      <c r="O25" s="29"/>
      <c r="P25" s="29"/>
      <c r="Q25" s="6"/>
      <c r="R25" s="93"/>
      <c r="S25" s="29"/>
      <c r="T25" s="29"/>
      <c r="U25" s="29"/>
      <c r="V25" s="29"/>
      <c r="W25" s="29"/>
      <c r="X25" s="29"/>
      <c r="Y25" s="29"/>
      <c r="Z25" s="29"/>
      <c r="AA25" s="57"/>
      <c r="AB25" s="57"/>
      <c r="AC25" s="235" t="s">
        <v>897</v>
      </c>
      <c r="AD25" s="235" t="s">
        <v>897</v>
      </c>
    </row>
    <row r="26" spans="1:32" ht="26.25" thickBot="1">
      <c r="B26" s="253" t="str">
        <f t="shared" ref="B26:B40" si="26">$AC$4&amp;$E26</f>
        <v>PFMaterial Code</v>
      </c>
      <c r="C26" s="10" t="str">
        <f t="shared" ref="C26:C40" si="27">$AD$4&amp;$E26</f>
        <v>HPMaterial Code</v>
      </c>
      <c r="E26" s="415" t="s">
        <v>2</v>
      </c>
      <c r="F26" s="416" t="s">
        <v>4</v>
      </c>
      <c r="G26" s="416" t="s">
        <v>6</v>
      </c>
      <c r="H26" s="417" t="s">
        <v>121</v>
      </c>
      <c r="I26" s="417" t="s">
        <v>122</v>
      </c>
      <c r="J26" s="417" t="s">
        <v>123</v>
      </c>
      <c r="K26" s="417" t="s">
        <v>124</v>
      </c>
      <c r="L26" s="417" t="s">
        <v>717</v>
      </c>
      <c r="M26" s="417" t="s">
        <v>125</v>
      </c>
      <c r="N26" s="417" t="s">
        <v>176</v>
      </c>
      <c r="O26" s="438" t="s">
        <v>962</v>
      </c>
      <c r="P26" s="418"/>
      <c r="Q26" s="418"/>
      <c r="R26" s="442" t="s">
        <v>127</v>
      </c>
      <c r="S26" s="419" t="s">
        <v>128</v>
      </c>
      <c r="T26" s="419" t="s">
        <v>129</v>
      </c>
      <c r="U26" s="419" t="s">
        <v>130</v>
      </c>
      <c r="V26" s="419" t="s">
        <v>131</v>
      </c>
      <c r="W26" s="419" t="s">
        <v>132</v>
      </c>
      <c r="X26" s="419" t="s">
        <v>133</v>
      </c>
      <c r="Y26" s="419" t="s">
        <v>187</v>
      </c>
      <c r="Z26" s="420" t="s">
        <v>155</v>
      </c>
      <c r="AA26" s="61" t="s">
        <v>138</v>
      </c>
      <c r="AB26" s="61" t="s">
        <v>139</v>
      </c>
      <c r="AC26" s="287" t="s">
        <v>136</v>
      </c>
      <c r="AD26" s="288" t="s">
        <v>137</v>
      </c>
    </row>
    <row r="27" spans="1:32">
      <c r="B27" s="253" t="str">
        <f t="shared" si="26"/>
        <v>PF01296</v>
      </c>
      <c r="C27" s="10" t="str">
        <f t="shared" si="27"/>
        <v>HP01296</v>
      </c>
      <c r="E27" s="486" t="s">
        <v>15</v>
      </c>
      <c r="F27" s="487" t="s">
        <v>16</v>
      </c>
      <c r="G27" s="487" t="s">
        <v>18</v>
      </c>
      <c r="H27" s="112">
        <f>VLOOKUP($E27,'INV Days Pivot'!$A:$T,14,0)</f>
        <v>19.100951212028232</v>
      </c>
      <c r="I27" s="87">
        <f>VLOOKUP($E27,'INV Days Pivot'!$A:$T,6,0)</f>
        <v>0</v>
      </c>
      <c r="J27" s="87">
        <f>VLOOKUP($E27,'INV Days Pivot'!$A:$T,7,0)</f>
        <v>35.672650967591515</v>
      </c>
      <c r="K27" s="87">
        <f>VLOOKUP($E27,'INV Days Pivot'!$A:$T,12,0)</f>
        <v>28.064395822973644</v>
      </c>
      <c r="L27" s="87">
        <f>VLOOKUP($E27,'INV Days Pivot'!$A:$T,19,0)</f>
        <v>26.974392972569817</v>
      </c>
      <c r="M27" s="87">
        <f>VLOOKUP($E27,'INV Days Pivot'!$A:$T,16,0)</f>
        <v>22.086614173228348</v>
      </c>
      <c r="N27" s="87">
        <f>VLOOKUP($E27,'INV Days Pivot'!$A:$T,18,0)</f>
        <v>25.315331319950257</v>
      </c>
      <c r="O27" s="113">
        <f>VLOOKUP($E27,'INV Days Pivot'!$A:$U,21,0)</f>
        <v>22.241379310344826</v>
      </c>
      <c r="P27" s="87"/>
      <c r="Q27" s="413"/>
      <c r="R27" s="111">
        <f>VLOOKUP($E27,'INV Days Pivot'!$A:$T,4,0)</f>
        <v>24.089706837295491</v>
      </c>
      <c r="S27" s="87">
        <f>VLOOKUP($E27,'INV Days Pivot'!$A:$T,5,0)</f>
        <v>30.230794235561813</v>
      </c>
      <c r="T27" s="87">
        <f>VLOOKUP($E27,'INV Days Pivot'!$A:$T,8,0)</f>
        <v>18.950119799607933</v>
      </c>
      <c r="U27" s="87">
        <f>VLOOKUP($E27,'INV Days Pivot'!$A:$T,10,0)</f>
        <v>24.219943268601352</v>
      </c>
      <c r="V27" s="87">
        <f>VLOOKUP($E27,'INV Days Pivot'!$A:$T,11,0)</f>
        <v>26.574738725372548</v>
      </c>
      <c r="W27" s="87">
        <f>VLOOKUP($E27,'INV Days Pivot'!$A:$T,13,0)</f>
        <v>40.763968072976049</v>
      </c>
      <c r="X27" s="87">
        <f>VLOOKUP($E27,'INV Days Pivot'!$A:$T,15,0)</f>
        <v>20.135986526105668</v>
      </c>
      <c r="Y27" s="206">
        <f>VLOOKUP($E27,'INV Days Pivot'!$A:$T,20,0)</f>
        <v>0</v>
      </c>
      <c r="Z27" s="113">
        <f>VLOOKUP($E27,'INV Days Pivot'!$A:$T,17,0)</f>
        <v>27.279503105590063</v>
      </c>
      <c r="AA27" s="113">
        <f>VLOOKUP($E27,'INV Days Pivot'!$A:$T,17,0)</f>
        <v>27.279503105590063</v>
      </c>
      <c r="AB27" s="6"/>
      <c r="AC27" s="247" t="str">
        <f>IFERROR(VLOOKUP(B27,#REF!,2,0),"")</f>
        <v/>
      </c>
      <c r="AD27" s="247" t="str">
        <f>IFERROR(VLOOKUP(C27,#REF!,2,0),"")</f>
        <v/>
      </c>
    </row>
    <row r="28" spans="1:32">
      <c r="B28" s="253" t="str">
        <f t="shared" si="26"/>
        <v>PF02122</v>
      </c>
      <c r="C28" s="10" t="str">
        <f t="shared" si="27"/>
        <v>HP02122</v>
      </c>
      <c r="E28" s="421" t="s">
        <v>55</v>
      </c>
      <c r="F28" s="407" t="s">
        <v>56</v>
      </c>
      <c r="G28" s="407" t="s">
        <v>18</v>
      </c>
      <c r="H28" s="112">
        <f>VLOOKUP($E28,'INV Days Pivot'!$A:$T,14,0)</f>
        <v>223.15199999999999</v>
      </c>
      <c r="I28" s="87">
        <f>VLOOKUP($E28,'INV Days Pivot'!$A:$T,6,0)</f>
        <v>0</v>
      </c>
      <c r="J28" s="87">
        <f>VLOOKUP($E28,'INV Days Pivot'!$A:$T,7,0)</f>
        <v>48.976547609182063</v>
      </c>
      <c r="K28" s="87">
        <f>VLOOKUP($E28,'INV Days Pivot'!$A:$T,12,0)</f>
        <v>16.373469260893888</v>
      </c>
      <c r="L28" s="87">
        <f>VLOOKUP($E28,'INV Days Pivot'!$A:$T,19,0)</f>
        <v>19.084523094137882</v>
      </c>
      <c r="M28" s="87">
        <f>VLOOKUP($E28,'INV Days Pivot'!$A:$T,16,0)</f>
        <v>32.76</v>
      </c>
      <c r="N28" s="87">
        <f>VLOOKUP($E28,'INV Days Pivot'!$A:$T,18,0)</f>
        <v>47.574626865671647</v>
      </c>
      <c r="O28" s="113">
        <f>VLOOKUP($E28,'INV Days Pivot'!$A:$U,21,0)</f>
        <v>17.247280566945712</v>
      </c>
      <c r="P28" s="87"/>
      <c r="Q28" s="413"/>
      <c r="R28" s="111">
        <f>VLOOKUP($E28,'INV Days Pivot'!$A:$T,4,0)</f>
        <v>26.078654138649476</v>
      </c>
      <c r="S28" s="87">
        <f>VLOOKUP($E28,'INV Days Pivot'!$A:$T,5,0)</f>
        <v>32.885141294439379</v>
      </c>
      <c r="T28" s="87">
        <f>VLOOKUP($E28,'INV Days Pivot'!$A:$T,8,0)</f>
        <v>35.994703120611014</v>
      </c>
      <c r="U28" s="87">
        <f>VLOOKUP($E28,'INV Days Pivot'!$A:$T,10,0)</f>
        <v>21.482616550498754</v>
      </c>
      <c r="V28" s="87">
        <f>VLOOKUP($E28,'INV Days Pivot'!$A:$T,11,0)</f>
        <v>31.918604651162791</v>
      </c>
      <c r="W28" s="87">
        <f>VLOOKUP($E28,'INV Days Pivot'!$A:$T,13,0)</f>
        <v>36.100974153270798</v>
      </c>
      <c r="X28" s="87">
        <f>VLOOKUP($E28,'INV Days Pivot'!$A:$T,15,0)</f>
        <v>20.820448509569189</v>
      </c>
      <c r="Y28" s="206">
        <f>VLOOKUP($E28,'INV Days Pivot'!$A:$T,20,0)</f>
        <v>0</v>
      </c>
      <c r="Z28" s="113">
        <f>VLOOKUP($E28,'INV Days Pivot'!$A:$T,17,0)</f>
        <v>39.445879314393046</v>
      </c>
      <c r="AA28" s="113">
        <f>VLOOKUP($E28,'INV Days Pivot'!$A:$T,17,0)</f>
        <v>39.445879314393046</v>
      </c>
      <c r="AB28" s="6"/>
      <c r="AC28" s="248" t="str">
        <f>IFERROR(VLOOKUP(B28,#REF!,2,0),"")</f>
        <v/>
      </c>
      <c r="AD28" s="248" t="str">
        <f>IFERROR(VLOOKUP(C28,#REF!,2,0),"")</f>
        <v/>
      </c>
    </row>
    <row r="29" spans="1:32" ht="18" customHeight="1">
      <c r="B29" s="253" t="str">
        <f t="shared" si="26"/>
        <v>PF05159</v>
      </c>
      <c r="C29" s="10" t="str">
        <f t="shared" si="27"/>
        <v>HP05159</v>
      </c>
      <c r="E29" s="421" t="s">
        <v>57</v>
      </c>
      <c r="F29" s="407" t="s">
        <v>58</v>
      </c>
      <c r="G29" s="407" t="s">
        <v>18</v>
      </c>
      <c r="H29" s="112">
        <f>VLOOKUP($E29,'INV Days Pivot'!$A:$T,14,0)</f>
        <v>0</v>
      </c>
      <c r="I29" s="87">
        <f>VLOOKUP($E29,'INV Days Pivot'!$A:$T,6,0)</f>
        <v>0</v>
      </c>
      <c r="J29" s="87">
        <f>VLOOKUP($E29,'INV Days Pivot'!$A:$T,7,0)</f>
        <v>11.374937841869716</v>
      </c>
      <c r="K29" s="87">
        <f>VLOOKUP($E29,'INV Days Pivot'!$A:$T,12,0)</f>
        <v>0</v>
      </c>
      <c r="L29" s="87">
        <f>VLOOKUP($E29,'INV Days Pivot'!$A:$T,19,0)</f>
        <v>0</v>
      </c>
      <c r="M29" s="87">
        <f>VLOOKUP($E29,'INV Days Pivot'!$A:$T,16,0)</f>
        <v>0</v>
      </c>
      <c r="N29" s="87">
        <f>VLOOKUP($E29,'INV Days Pivot'!$A:$T,18,0)</f>
        <v>0</v>
      </c>
      <c r="O29" s="113">
        <f>VLOOKUP($E29,'INV Days Pivot'!$A:$U,21,0)</f>
        <v>0</v>
      </c>
      <c r="P29" s="87"/>
      <c r="Q29" s="413"/>
      <c r="R29" s="111">
        <f>VLOOKUP($E29,'INV Days Pivot'!$A:$T,4,0)</f>
        <v>15.625000000000002</v>
      </c>
      <c r="S29" s="87">
        <f>VLOOKUP($E29,'INV Days Pivot'!$A:$T,5,0)</f>
        <v>29.275092936802974</v>
      </c>
      <c r="T29" s="87">
        <f>VLOOKUP($E29,'INV Days Pivot'!$A:$T,8,0)</f>
        <v>28.467595396729255</v>
      </c>
      <c r="U29" s="87">
        <f>VLOOKUP($E29,'INV Days Pivot'!$A:$T,10,0)</f>
        <v>49.723756906077348</v>
      </c>
      <c r="V29" s="87">
        <f>VLOOKUP($E29,'INV Days Pivot'!$A:$T,11,0)</f>
        <v>20.440000000000001</v>
      </c>
      <c r="W29" s="87">
        <f>VLOOKUP($E29,'INV Days Pivot'!$A:$T,13,0)</f>
        <v>0</v>
      </c>
      <c r="X29" s="87">
        <f>VLOOKUP($E29,'INV Days Pivot'!$A:$T,15,0)</f>
        <v>26.590693257359927</v>
      </c>
      <c r="Y29" s="206">
        <f>VLOOKUP($E29,'INV Days Pivot'!$A:$T,20,0)</f>
        <v>0</v>
      </c>
      <c r="Z29" s="113">
        <f>VLOOKUP($E29,'INV Days Pivot'!$A:$T,17,0)</f>
        <v>31.249999999999996</v>
      </c>
      <c r="AA29" s="113">
        <f>VLOOKUP($E29,'INV Days Pivot'!$A:$T,17,0)</f>
        <v>31.249999999999996</v>
      </c>
      <c r="AB29" s="6"/>
      <c r="AC29" s="248" t="str">
        <f>IFERROR(VLOOKUP(B29,#REF!,2,0),"")</f>
        <v/>
      </c>
      <c r="AD29" s="248" t="str">
        <f>IFERROR(VLOOKUP(C29,#REF!,2,0),"")</f>
        <v/>
      </c>
    </row>
    <row r="30" spans="1:32">
      <c r="B30" s="253" t="str">
        <f t="shared" si="26"/>
        <v>PF08529</v>
      </c>
      <c r="C30" s="10" t="str">
        <f t="shared" si="27"/>
        <v>HP08529</v>
      </c>
      <c r="E30" s="422" t="s">
        <v>61</v>
      </c>
      <c r="F30" s="414" t="s">
        <v>62</v>
      </c>
      <c r="G30" s="407" t="s">
        <v>18</v>
      </c>
      <c r="H30" s="112">
        <f>VLOOKUP($E30,'INV Days Pivot'!$A:$T,14,0)</f>
        <v>35.05006302471044</v>
      </c>
      <c r="I30" s="87">
        <f>VLOOKUP($E30,'INV Days Pivot'!$A:$T,6,0)</f>
        <v>0</v>
      </c>
      <c r="J30" s="87">
        <f>VLOOKUP($E30,'INV Days Pivot'!$A:$T,7,0)</f>
        <v>42.850749608413516</v>
      </c>
      <c r="K30" s="87">
        <f>VLOOKUP($E30,'INV Days Pivot'!$A:$T,12,0)</f>
        <v>34.927275380648922</v>
      </c>
      <c r="L30" s="87">
        <f>VLOOKUP($E30,'INV Days Pivot'!$A:$T,19,0)</f>
        <v>25.64022874191944</v>
      </c>
      <c r="M30" s="87">
        <f>VLOOKUP($E30,'INV Days Pivot'!$A:$T,16,0)</f>
        <v>34.86</v>
      </c>
      <c r="N30" s="87">
        <f>VLOOKUP($E30,'INV Days Pivot'!$A:$T,18,0)</f>
        <v>30.66532258064516</v>
      </c>
      <c r="O30" s="113">
        <f>VLOOKUP($E30,'INV Days Pivot'!$A:$U,21,0)</f>
        <v>20.295487322889258</v>
      </c>
      <c r="P30" s="87"/>
      <c r="Q30" s="413"/>
      <c r="R30" s="111">
        <f>VLOOKUP($E30,'INV Days Pivot'!$A:$T,4,0)</f>
        <v>33.852342725787047</v>
      </c>
      <c r="S30" s="87">
        <f>VLOOKUP($E30,'INV Days Pivot'!$A:$T,5,0)</f>
        <v>33.896460730705407</v>
      </c>
      <c r="T30" s="87">
        <f>VLOOKUP($E30,'INV Days Pivot'!$A:$T,8,0)</f>
        <v>34.590418657334126</v>
      </c>
      <c r="U30" s="87">
        <f>VLOOKUP($E30,'INV Days Pivot'!$A:$T,10,0)</f>
        <v>22.946047916979762</v>
      </c>
      <c r="V30" s="87">
        <f>VLOOKUP($E30,'INV Days Pivot'!$A:$T,11,0)</f>
        <v>16.128</v>
      </c>
      <c r="W30" s="87">
        <f>VLOOKUP($E30,'INV Days Pivot'!$A:$T,13,0)</f>
        <v>37.178680350486516</v>
      </c>
      <c r="X30" s="87">
        <f>VLOOKUP($E30,'INV Days Pivot'!$A:$T,15,0)</f>
        <v>22.328364791852529</v>
      </c>
      <c r="Y30" s="206">
        <f>VLOOKUP($E30,'INV Days Pivot'!$A:$T,20,0)</f>
        <v>0</v>
      </c>
      <c r="Z30" s="113">
        <f>VLOOKUP($E30,'INV Days Pivot'!$A:$T,17,0)</f>
        <v>38.11916413749038</v>
      </c>
      <c r="AA30" s="113">
        <f>VLOOKUP($E30,'INV Days Pivot'!$A:$T,17,0)</f>
        <v>38.11916413749038</v>
      </c>
      <c r="AB30" s="6"/>
      <c r="AC30" s="248" t="str">
        <f>IFERROR(VLOOKUP(B30,#REF!,2,0),"")</f>
        <v/>
      </c>
      <c r="AD30" s="248" t="str">
        <f>IFERROR(VLOOKUP(C30,#REF!,2,0),"")</f>
        <v/>
      </c>
    </row>
    <row r="31" spans="1:32">
      <c r="B31" s="253" t="str">
        <f t="shared" si="26"/>
        <v>PF13179</v>
      </c>
      <c r="C31" s="10" t="str">
        <f t="shared" si="27"/>
        <v>HP13179</v>
      </c>
      <c r="E31" s="185" t="s">
        <v>22</v>
      </c>
      <c r="F31" s="40" t="s">
        <v>23</v>
      </c>
      <c r="G31" s="407" t="s">
        <v>18</v>
      </c>
      <c r="H31" s="112">
        <f>VLOOKUP($E31,'INV Days Pivot'!$A:$T,14,0)</f>
        <v>39.511419435968612</v>
      </c>
      <c r="I31" s="87">
        <f>VLOOKUP($E31,'INV Days Pivot'!$A:$T,6,0)</f>
        <v>0</v>
      </c>
      <c r="J31" s="87">
        <f>VLOOKUP($E31,'INV Days Pivot'!$A:$T,7,0)</f>
        <v>0</v>
      </c>
      <c r="K31" s="87">
        <f>VLOOKUP($E31,'INV Days Pivot'!$A:$T,12,0)</f>
        <v>0</v>
      </c>
      <c r="L31" s="87">
        <f>VLOOKUP($E31,'INV Days Pivot'!$A:$T,19,0)</f>
        <v>24.081307045989039</v>
      </c>
      <c r="M31" s="87">
        <f>VLOOKUP($E31,'INV Days Pivot'!$A:$T,16,0)</f>
        <v>24.96</v>
      </c>
      <c r="N31" s="87">
        <f>VLOOKUP($E31,'INV Days Pivot'!$A:$T,18,0)</f>
        <v>0</v>
      </c>
      <c r="O31" s="113">
        <f>VLOOKUP($E31,'INV Days Pivot'!$A:$U,21,0)</f>
        <v>12.002404800961919</v>
      </c>
      <c r="P31" s="87"/>
      <c r="Q31" s="413"/>
      <c r="R31" s="111">
        <f>VLOOKUP($E31,'INV Days Pivot'!$A:$T,4,0)</f>
        <v>23.583288249502807</v>
      </c>
      <c r="S31" s="87">
        <f>VLOOKUP($E31,'INV Days Pivot'!$A:$T,5,0)</f>
        <v>22.787696960827358</v>
      </c>
      <c r="T31" s="87">
        <f>VLOOKUP($E31,'INV Days Pivot'!$A:$T,8,0)</f>
        <v>35.438884331419196</v>
      </c>
      <c r="U31" s="87">
        <f>VLOOKUP($E31,'INV Days Pivot'!$A:$T,10,0)</f>
        <v>10.217507241193207</v>
      </c>
      <c r="V31" s="87">
        <f>VLOOKUP($E31,'INV Days Pivot'!$A:$T,11,0)</f>
        <v>23.532549733190862</v>
      </c>
      <c r="W31" s="87">
        <f>VLOOKUP($E31,'INV Days Pivot'!$A:$T,13,0)</f>
        <v>26.971502362574469</v>
      </c>
      <c r="X31" s="87">
        <f>VLOOKUP($E31,'INV Days Pivot'!$A:$T,15,0)</f>
        <v>22.709439022998346</v>
      </c>
      <c r="Y31" s="206">
        <f>VLOOKUP($E31,'INV Days Pivot'!$A:$T,20,0)</f>
        <v>0</v>
      </c>
      <c r="Z31" s="113">
        <f>VLOOKUP($E31,'INV Days Pivot'!$A:$T,17,0)</f>
        <v>30.474399666343846</v>
      </c>
      <c r="AA31" s="113">
        <f>VLOOKUP($E31,'INV Days Pivot'!$A:$T,17,0)</f>
        <v>30.474399666343846</v>
      </c>
      <c r="AB31" s="6"/>
      <c r="AC31" s="248" t="str">
        <f>IFERROR(VLOOKUP(B31,#REF!,2,0),"")</f>
        <v/>
      </c>
      <c r="AD31" s="248" t="str">
        <f>IFERROR(VLOOKUP(C31,#REF!,2,0),"")</f>
        <v/>
      </c>
    </row>
    <row r="32" spans="1:32">
      <c r="B32" s="253" t="str">
        <f t="shared" si="26"/>
        <v>PF13678</v>
      </c>
      <c r="C32" s="10" t="str">
        <f t="shared" si="27"/>
        <v>HP13678</v>
      </c>
      <c r="E32" s="185" t="s">
        <v>65</v>
      </c>
      <c r="F32" s="40" t="s">
        <v>66</v>
      </c>
      <c r="G32" s="407" t="s">
        <v>18</v>
      </c>
      <c r="H32" s="112">
        <f>VLOOKUP($E32,'INV Days Pivot'!$A:$T,14,0)</f>
        <v>25.489565526462773</v>
      </c>
      <c r="I32" s="87">
        <f>VLOOKUP($E32,'INV Days Pivot'!$A:$T,6,0)</f>
        <v>0</v>
      </c>
      <c r="J32" s="87">
        <f>VLOOKUP($E32,'INV Days Pivot'!$A:$T,7,0)</f>
        <v>17.254780040416598</v>
      </c>
      <c r="K32" s="87">
        <f>VLOOKUP($E32,'INV Days Pivot'!$A:$T,12,0)</f>
        <v>27.173189120068201</v>
      </c>
      <c r="L32" s="87">
        <f>VLOOKUP($E32,'INV Days Pivot'!$A:$T,19,0)</f>
        <v>21.24</v>
      </c>
      <c r="M32" s="87">
        <f>VLOOKUP($E32,'INV Days Pivot'!$A:$T,16,0)</f>
        <v>26.100652516312909</v>
      </c>
      <c r="N32" s="87">
        <f>VLOOKUP($E32,'INV Days Pivot'!$A:$T,18,0)</f>
        <v>21.451221786980039</v>
      </c>
      <c r="O32" s="113">
        <f>VLOOKUP($E32,'INV Days Pivot'!$A:$U,21,0)</f>
        <v>22.53570129520978</v>
      </c>
      <c r="P32" s="87"/>
      <c r="Q32" s="413"/>
      <c r="R32" s="111">
        <f>VLOOKUP($E32,'INV Days Pivot'!$A:$T,4,0)</f>
        <v>31.539888682745822</v>
      </c>
      <c r="S32" s="87">
        <f>VLOOKUP($E32,'INV Days Pivot'!$A:$T,5,0)</f>
        <v>164.6746347941567</v>
      </c>
      <c r="T32" s="87">
        <f>VLOOKUP($E32,'INV Days Pivot'!$A:$T,8,0)</f>
        <v>26.715538554261325</v>
      </c>
      <c r="U32" s="87">
        <f>VLOOKUP($E32,'INV Days Pivot'!$A:$T,10,0)</f>
        <v>21.93357406249601</v>
      </c>
      <c r="V32" s="87">
        <f>VLOOKUP($E32,'INV Days Pivot'!$A:$T,11,0)</f>
        <v>29.153169828782971</v>
      </c>
      <c r="W32" s="87">
        <f>VLOOKUP($E32,'INV Days Pivot'!$A:$T,13,0)</f>
        <v>32.032376810970234</v>
      </c>
      <c r="X32" s="87">
        <f>VLOOKUP($E32,'INV Days Pivot'!$A:$T,15,0)</f>
        <v>24.838882921589686</v>
      </c>
      <c r="Y32" s="206">
        <f>VLOOKUP($E32,'INV Days Pivot'!$A:$T,20,0)</f>
        <v>0</v>
      </c>
      <c r="Z32" s="113">
        <f>VLOOKUP($E32,'INV Days Pivot'!$A:$T,17,0)</f>
        <v>34.961451045055483</v>
      </c>
      <c r="AA32" s="113">
        <f>VLOOKUP($E32,'INV Days Pivot'!$A:$T,17,0)</f>
        <v>34.961451045055483</v>
      </c>
      <c r="AB32" s="6"/>
      <c r="AC32" s="248" t="str">
        <f>IFERROR(VLOOKUP(B32,#REF!,2,0),"")</f>
        <v/>
      </c>
      <c r="AD32" s="248" t="str">
        <f>IFERROR(VLOOKUP(C32,#REF!,2,0),"")</f>
        <v/>
      </c>
    </row>
    <row r="33" spans="2:30">
      <c r="B33" s="253" t="str">
        <f t="shared" si="26"/>
        <v>PF15906</v>
      </c>
      <c r="C33" s="10" t="str">
        <f t="shared" si="27"/>
        <v>HP15906</v>
      </c>
      <c r="E33" s="421" t="s">
        <v>74</v>
      </c>
      <c r="F33" s="407" t="s">
        <v>75</v>
      </c>
      <c r="G33" s="407" t="s">
        <v>18</v>
      </c>
      <c r="H33" s="112">
        <f>VLOOKUP($E33,'INV Days Pivot'!$A:$T,14,0)</f>
        <v>0</v>
      </c>
      <c r="I33" s="87">
        <f>VLOOKUP($E33,'INV Days Pivot'!$A:$T,6,0)</f>
        <v>0</v>
      </c>
      <c r="J33" s="87">
        <f>VLOOKUP($E33,'INV Days Pivot'!$A:$T,7,0)</f>
        <v>0</v>
      </c>
      <c r="K33" s="87">
        <f>VLOOKUP($E33,'INV Days Pivot'!$A:$T,12,0)</f>
        <v>36.189528665588853</v>
      </c>
      <c r="L33" s="87">
        <f>VLOOKUP($E33,'INV Days Pivot'!$A:$T,19,0)</f>
        <v>0</v>
      </c>
      <c r="M33" s="87">
        <f>VLOOKUP($E33,'INV Days Pivot'!$A:$T,16,0)</f>
        <v>32.386363636363633</v>
      </c>
      <c r="N33" s="87">
        <f>VLOOKUP($E33,'INV Days Pivot'!$A:$T,18,0)</f>
        <v>0</v>
      </c>
      <c r="O33" s="113">
        <f>VLOOKUP($E33,'INV Days Pivot'!$A:$U,21,0)</f>
        <v>24.64</v>
      </c>
      <c r="P33" s="87"/>
      <c r="Q33" s="413"/>
      <c r="R33" s="111">
        <f>VLOOKUP($E33,'INV Days Pivot'!$A:$T,4,0)</f>
        <v>91.24929656724818</v>
      </c>
      <c r="S33" s="87">
        <f>VLOOKUP($E33,'INV Days Pivot'!$A:$T,5,0)</f>
        <v>38.154392191659269</v>
      </c>
      <c r="T33" s="87">
        <f>VLOOKUP($E33,'INV Days Pivot'!$A:$T,8,0)</f>
        <v>34.991974317817011</v>
      </c>
      <c r="U33" s="87">
        <f>VLOOKUP($E33,'INV Days Pivot'!$A:$T,10,0)</f>
        <v>44.031311154598825</v>
      </c>
      <c r="V33" s="87">
        <f>VLOOKUP($E33,'INV Days Pivot'!$A:$T,11,0)</f>
        <v>58.708414872798436</v>
      </c>
      <c r="W33" s="87">
        <f>VLOOKUP($E33,'INV Days Pivot'!$A:$T,13,0)</f>
        <v>0</v>
      </c>
      <c r="X33" s="87">
        <f>VLOOKUP($E33,'INV Days Pivot'!$A:$T,15,0)</f>
        <v>21.576999449970632</v>
      </c>
      <c r="Y33" s="206">
        <f>VLOOKUP($E33,'INV Days Pivot'!$A:$T,20,0)</f>
        <v>0</v>
      </c>
      <c r="Z33" s="113">
        <f>VLOOKUP($E33,'INV Days Pivot'!$A:$T,17,0)</f>
        <v>34.552153317440172</v>
      </c>
      <c r="AA33" s="113">
        <f>VLOOKUP($E33,'INV Days Pivot'!$A:$T,17,0)</f>
        <v>34.552153317440172</v>
      </c>
      <c r="AB33" s="6"/>
      <c r="AC33" s="248" t="str">
        <f>IFERROR(VLOOKUP(B33,#REF!,2,0),"")</f>
        <v/>
      </c>
      <c r="AD33" s="248" t="str">
        <f>IFERROR(VLOOKUP(C33,#REF!,2,0),"")</f>
        <v/>
      </c>
    </row>
    <row r="34" spans="2:30" hidden="1">
      <c r="B34" s="253" t="str">
        <f t="shared" si="26"/>
        <v>PF15459</v>
      </c>
      <c r="C34" s="10" t="str">
        <f t="shared" si="27"/>
        <v>HP15459</v>
      </c>
      <c r="E34" s="185" t="s">
        <v>90</v>
      </c>
      <c r="F34" s="188" t="s">
        <v>91</v>
      </c>
      <c r="G34" s="407" t="s">
        <v>18</v>
      </c>
      <c r="H34" s="112">
        <f>VLOOKUP($E34,'INV Days Pivot'!$A:$T,14,0)</f>
        <v>0</v>
      </c>
      <c r="I34" s="87">
        <f>VLOOKUP($E34,'INV Days Pivot'!$A:$T,6,0)</f>
        <v>0</v>
      </c>
      <c r="J34" s="87">
        <f>VLOOKUP($E34,'INV Days Pivot'!$A:$T,7,0)</f>
        <v>0</v>
      </c>
      <c r="K34" s="87">
        <f>VLOOKUP($E34,'INV Days Pivot'!$A:$T,12,0)</f>
        <v>0</v>
      </c>
      <c r="L34" s="87">
        <f>VLOOKUP($E34,'INV Days Pivot'!$A:$T,19,0)</f>
        <v>0</v>
      </c>
      <c r="M34" s="87">
        <f>VLOOKUP($E34,'INV Days Pivot'!$A:$T,16,0)</f>
        <v>0</v>
      </c>
      <c r="N34" s="87">
        <f>VLOOKUP($E34,'INV Days Pivot'!$A:$T,18,0)</f>
        <v>0</v>
      </c>
      <c r="O34" s="113">
        <f>VLOOKUP($E34,'INV Days Pivot'!$A:$U,21,0)</f>
        <v>0</v>
      </c>
      <c r="P34" s="87"/>
      <c r="Q34" s="413"/>
      <c r="R34" s="111">
        <f>VLOOKUP($E34,'INV Days Pivot'!$A:$T,4,0)</f>
        <v>0</v>
      </c>
      <c r="S34" s="87">
        <f>VLOOKUP($E34,'INV Days Pivot'!$A:$T,5,0)</f>
        <v>0</v>
      </c>
      <c r="T34" s="87">
        <f>VLOOKUP($E34,'INV Days Pivot'!$A:$T,8,0)</f>
        <v>0</v>
      </c>
      <c r="U34" s="87">
        <f>VLOOKUP($E34,'INV Days Pivot'!$A:$T,10,0)</f>
        <v>0</v>
      </c>
      <c r="V34" s="87">
        <f>VLOOKUP($E34,'INV Days Pivot'!$A:$T,11,0)</f>
        <v>39.104165889680374</v>
      </c>
      <c r="W34" s="87">
        <f>VLOOKUP($E34,'INV Days Pivot'!$A:$T,13,0)</f>
        <v>0</v>
      </c>
      <c r="X34" s="87">
        <f>VLOOKUP($E34,'INV Days Pivot'!$A:$T,15,0)</f>
        <v>32.750582750582751</v>
      </c>
      <c r="Y34" s="206">
        <f>VLOOKUP($E34,'INV Days Pivot'!$A:$T,20,0)</f>
        <v>0</v>
      </c>
      <c r="Z34" s="113">
        <f>VLOOKUP($E34,'INV Days Pivot'!$A:$T,17,0)</f>
        <v>0</v>
      </c>
      <c r="AA34" s="113">
        <f>VLOOKUP($E34,'INV Days Pivot'!$A:$T,17,0)</f>
        <v>0</v>
      </c>
      <c r="AB34" s="6"/>
      <c r="AC34" s="248" t="str">
        <f>IFERROR(VLOOKUP(B34,#REF!,2,0),"")</f>
        <v/>
      </c>
      <c r="AD34" s="248" t="str">
        <f>IFERROR(VLOOKUP(C34,#REF!,2,0),"")</f>
        <v/>
      </c>
    </row>
    <row r="35" spans="2:30">
      <c r="B35" s="253" t="str">
        <f t="shared" si="26"/>
        <v>PF16984</v>
      </c>
      <c r="C35" s="10" t="str">
        <f t="shared" si="27"/>
        <v>HP16984</v>
      </c>
      <c r="E35" s="185" t="s">
        <v>78</v>
      </c>
      <c r="F35" s="188" t="s">
        <v>79</v>
      </c>
      <c r="G35" s="407" t="s">
        <v>18</v>
      </c>
      <c r="H35" s="112">
        <f>VLOOKUP($E35,'INV Days Pivot'!$A:$T,14,0)</f>
        <v>70.588235294117652</v>
      </c>
      <c r="I35" s="87">
        <f>VLOOKUP($E35,'INV Days Pivot'!$A:$T,6,0)</f>
        <v>0</v>
      </c>
      <c r="J35" s="87">
        <f>VLOOKUP($E35,'INV Days Pivot'!$A:$T,7,0)</f>
        <v>90.951492537313442</v>
      </c>
      <c r="K35" s="87">
        <f>VLOOKUP($E35,'INV Days Pivot'!$A:$T,12,0)</f>
        <v>13.564536428471543</v>
      </c>
      <c r="L35" s="87">
        <f>VLOOKUP($E35,'INV Days Pivot'!$A:$T,19,0)</f>
        <v>51.772388059701498</v>
      </c>
      <c r="M35" s="87">
        <f>VLOOKUP($E35,'INV Days Pivot'!$A:$T,16,0)</f>
        <v>42.5</v>
      </c>
      <c r="N35" s="87">
        <f>VLOOKUP($E35,'INV Days Pivot'!$A:$T,18,0)</f>
        <v>16.791044776119406</v>
      </c>
      <c r="O35" s="113">
        <f>VLOOKUP($E35,'INV Days Pivot'!$A:$U,21,0)</f>
        <v>38.816108685104311</v>
      </c>
      <c r="P35" s="87"/>
      <c r="Q35" s="42"/>
      <c r="R35" s="111">
        <f>VLOOKUP($E35,'INV Days Pivot'!$A:$T,4,0)</f>
        <v>31.094527363184081</v>
      </c>
      <c r="S35" s="87">
        <f>VLOOKUP($E35,'INV Days Pivot'!$A:$T,5,0)</f>
        <v>27.20269619643717</v>
      </c>
      <c r="T35" s="87">
        <f>VLOOKUP($E35,'INV Days Pivot'!$A:$T,8,0)</f>
        <v>20.860572922857482</v>
      </c>
      <c r="U35" s="87">
        <f>VLOOKUP($E35,'INV Days Pivot'!$A:$T,10,0)</f>
        <v>95.659875996457046</v>
      </c>
      <c r="V35" s="87">
        <f>VLOOKUP($E35,'INV Days Pivot'!$A:$T,11,0)</f>
        <v>189.32038834951459</v>
      </c>
      <c r="W35" s="87">
        <f>VLOOKUP($E35,'INV Days Pivot'!$A:$T,13,0)</f>
        <v>118.03161773445858</v>
      </c>
      <c r="X35" s="87">
        <f>VLOOKUP($E35,'INV Days Pivot'!$A:$T,15,0)</f>
        <v>36.653883884776604</v>
      </c>
      <c r="Y35" s="206">
        <f>VLOOKUP($E35,'INV Days Pivot'!$A:$T,20,0)</f>
        <v>0</v>
      </c>
      <c r="Z35" s="113">
        <f>VLOOKUP($E35,'INV Days Pivot'!$A:$T,17,0)</f>
        <v>106.34328358208957</v>
      </c>
      <c r="AA35" s="113">
        <f>VLOOKUP($E35,'INV Days Pivot'!$A:$T,17,0)</f>
        <v>106.34328358208957</v>
      </c>
      <c r="AB35" s="6"/>
      <c r="AC35" s="248" t="str">
        <f>IFERROR(VLOOKUP(B35,#REF!,2,0),"")</f>
        <v/>
      </c>
      <c r="AD35" s="248" t="str">
        <f>IFERROR(VLOOKUP(C35,#REF!,2,0),"")</f>
        <v/>
      </c>
    </row>
    <row r="36" spans="2:30">
      <c r="E36" s="185" t="s">
        <v>84</v>
      </c>
      <c r="F36" s="188" t="s">
        <v>85</v>
      </c>
      <c r="G36" s="407" t="s">
        <v>18</v>
      </c>
      <c r="H36" s="112">
        <f>VLOOKUP($E36,'INV Days Pivot'!$A:$T,14,0)</f>
        <v>84.741068955967876</v>
      </c>
      <c r="I36" s="87">
        <f>VLOOKUP($E36,'INV Days Pivot'!$A:$T,6,0)</f>
        <v>0</v>
      </c>
      <c r="J36" s="87">
        <f>VLOOKUP($E36,'INV Days Pivot'!$A:$T,7,0)</f>
        <v>81.156716417910459</v>
      </c>
      <c r="K36" s="87">
        <f>VLOOKUP($E36,'INV Days Pivot'!$A:$T,12,0)</f>
        <v>23.503077783995522</v>
      </c>
      <c r="L36" s="87">
        <f>VLOOKUP($E36,'INV Days Pivot'!$A:$T,19,0)</f>
        <v>28.618631421871669</v>
      </c>
      <c r="M36" s="87">
        <f>VLOOKUP($E36,'INV Days Pivot'!$A:$T,16,0)</f>
        <v>29.881195247809913</v>
      </c>
      <c r="N36" s="87">
        <f>VLOOKUP($E36,'INV Days Pivot'!$A:$T,18,0)</f>
        <v>52.232309414251958</v>
      </c>
      <c r="O36" s="113">
        <f>VLOOKUP($E36,'INV Days Pivot'!$A:$U,21,0)</f>
        <v>29.304468871501943</v>
      </c>
      <c r="P36" s="87"/>
      <c r="Q36" s="42"/>
      <c r="R36" s="111">
        <f>VLOOKUP($E36,'INV Days Pivot'!$A:$T,4,0)</f>
        <v>36.953397659618147</v>
      </c>
      <c r="S36" s="87">
        <f>VLOOKUP($E36,'INV Days Pivot'!$A:$T,5,0)</f>
        <v>0</v>
      </c>
      <c r="T36" s="87">
        <f>VLOOKUP($E36,'INV Days Pivot'!$A:$T,8,0)</f>
        <v>23.782876329043088</v>
      </c>
      <c r="U36" s="87">
        <f>VLOOKUP($E36,'INV Days Pivot'!$A:$T,10,0)</f>
        <v>29.126213592233011</v>
      </c>
      <c r="V36" s="87">
        <f>VLOOKUP($E36,'INV Days Pivot'!$A:$T,11,0)</f>
        <v>44.29530201342282</v>
      </c>
      <c r="W36" s="87">
        <f>VLOOKUP($E36,'INV Days Pivot'!$A:$T,13,0)</f>
        <v>61.567164179104473</v>
      </c>
      <c r="X36" s="87">
        <f>VLOOKUP($E36,'INV Days Pivot'!$A:$T,15,0)</f>
        <v>23.560372158561098</v>
      </c>
      <c r="Y36" s="206">
        <f>VLOOKUP($E36,'INV Days Pivot'!$A:$T,20,0)</f>
        <v>0</v>
      </c>
      <c r="Z36" s="113">
        <f>VLOOKUP($E36,'INV Days Pivot'!$A:$T,17,0)</f>
        <v>39.792746113989637</v>
      </c>
      <c r="AA36" s="113">
        <f>VLOOKUP($E36,'INV Days Pivot'!$A:$T,17,0)</f>
        <v>39.792746113989637</v>
      </c>
      <c r="AB36" s="6"/>
      <c r="AC36" s="248"/>
      <c r="AD36" s="248"/>
    </row>
    <row r="37" spans="2:30">
      <c r="E37" s="185" t="s">
        <v>146</v>
      </c>
      <c r="F37" s="40" t="s">
        <v>147</v>
      </c>
      <c r="G37" s="407" t="s">
        <v>18</v>
      </c>
      <c r="H37" s="112">
        <f>VLOOKUP($E37,'INV Days Pivot'!$A:$T,14,0)</f>
        <v>0</v>
      </c>
      <c r="I37" s="87">
        <f>VLOOKUP($E37,'INV Days Pivot'!$A:$T,6,0)</f>
        <v>0</v>
      </c>
      <c r="J37" s="87">
        <f>VLOOKUP($E37,'INV Days Pivot'!$A:$T,7,0)</f>
        <v>0</v>
      </c>
      <c r="K37" s="87">
        <f>VLOOKUP($E37,'INV Days Pivot'!$A:$T,12,0)</f>
        <v>25.912996777658432</v>
      </c>
      <c r="L37" s="87">
        <f>VLOOKUP($E37,'INV Days Pivot'!$A:$T,19,0)</f>
        <v>33.493298853718578</v>
      </c>
      <c r="M37" s="87">
        <f>VLOOKUP($E37,'INV Days Pivot'!$A:$T,16,0)</f>
        <v>0</v>
      </c>
      <c r="N37" s="87">
        <f>VLOOKUP($E37,'INV Days Pivot'!$A:$T,18,0)</f>
        <v>38.761755068332576</v>
      </c>
      <c r="O37" s="113">
        <f>VLOOKUP($E37,'INV Days Pivot'!$A:$U,21,0)</f>
        <v>24.750618765469138</v>
      </c>
      <c r="P37" s="87"/>
      <c r="Q37" s="42"/>
      <c r="R37" s="111">
        <f>VLOOKUP($E37,'INV Days Pivot'!$A:$T,4,0)</f>
        <v>37.056990033478279</v>
      </c>
      <c r="S37" s="87">
        <f>VLOOKUP($E37,'INV Days Pivot'!$A:$T,5,0)</f>
        <v>34.889481257814161</v>
      </c>
      <c r="T37" s="87">
        <f>VLOOKUP($E37,'INV Days Pivot'!$A:$T,8,0)</f>
        <v>27.391482340681563</v>
      </c>
      <c r="U37" s="87">
        <f>VLOOKUP($E37,'INV Days Pivot'!$A:$T,10,0)</f>
        <v>25.757995019172235</v>
      </c>
      <c r="V37" s="87">
        <f>VLOOKUP($E37,'INV Days Pivot'!$A:$T,11,0)</f>
        <v>29.998795229107266</v>
      </c>
      <c r="W37" s="87">
        <f>VLOOKUP($E37,'INV Days Pivot'!$A:$T,13,0)</f>
        <v>59.672571970895284</v>
      </c>
      <c r="X37" s="87">
        <f>VLOOKUP($E37,'INV Days Pivot'!$A:$T,15,0)</f>
        <v>22.320711769317228</v>
      </c>
      <c r="Y37" s="206">
        <f>VLOOKUP($E37,'INV Days Pivot'!$A:$T,20,0)</f>
        <v>0</v>
      </c>
      <c r="Z37" s="113">
        <f>VLOOKUP($E37,'INV Days Pivot'!$A:$T,17,0)</f>
        <v>0</v>
      </c>
      <c r="AA37" s="113">
        <f>VLOOKUP($E37,'INV Days Pivot'!$A:$T,17,0)</f>
        <v>0</v>
      </c>
      <c r="AB37" s="6"/>
      <c r="AC37" s="248"/>
      <c r="AD37" s="248"/>
    </row>
    <row r="38" spans="2:30" hidden="1">
      <c r="E38" s="421" t="s">
        <v>170</v>
      </c>
      <c r="F38" s="407" t="s">
        <v>171</v>
      </c>
      <c r="G38" s="407"/>
      <c r="H38" s="112" t="e">
        <f>VLOOKUP($E38,'INV Days Pivot'!$A:$T,14,0)</f>
        <v>#N/A</v>
      </c>
      <c r="I38" s="87" t="e">
        <f>VLOOKUP($E38,'INV Days Pivot'!$A:$T,6,0)</f>
        <v>#N/A</v>
      </c>
      <c r="J38" s="87" t="e">
        <f>VLOOKUP($E38,'INV Days Pivot'!$A:$T,7,0)</f>
        <v>#N/A</v>
      </c>
      <c r="K38" s="87" t="e">
        <f>VLOOKUP($E38,'INV Days Pivot'!$A:$T,12,0)</f>
        <v>#N/A</v>
      </c>
      <c r="L38" s="87" t="e">
        <f>VLOOKUP($E38,'INV Days Pivot'!$A:$T,19,0)</f>
        <v>#N/A</v>
      </c>
      <c r="M38" s="87" t="e">
        <f>VLOOKUP($E38,'INV Days Pivot'!$A:$T,16,0)</f>
        <v>#N/A</v>
      </c>
      <c r="N38" s="87" t="e">
        <f>VLOOKUP($E38,'INV Days Pivot'!$A:$T,18,0)</f>
        <v>#N/A</v>
      </c>
      <c r="O38" s="113" t="e">
        <f>VLOOKUP($E38,'INV Days Pivot'!$A:$U,21,0)</f>
        <v>#N/A</v>
      </c>
      <c r="P38" s="87"/>
      <c r="Q38" s="42"/>
      <c r="R38" s="111" t="e">
        <f>VLOOKUP($E38,'INV Days Pivot'!$A:$T,4,0)</f>
        <v>#N/A</v>
      </c>
      <c r="S38" s="87" t="e">
        <f>VLOOKUP($E38,'INV Days Pivot'!$A:$T,5,0)</f>
        <v>#N/A</v>
      </c>
      <c r="T38" s="87" t="e">
        <f>VLOOKUP($E38,'INV Days Pivot'!$A:$T,8,0)</f>
        <v>#N/A</v>
      </c>
      <c r="U38" s="87" t="e">
        <f>VLOOKUP($E38,'INV Days Pivot'!$A:$T,10,0)</f>
        <v>#N/A</v>
      </c>
      <c r="V38" s="87" t="e">
        <f>VLOOKUP($E38,'INV Days Pivot'!$A:$T,11,0)</f>
        <v>#N/A</v>
      </c>
      <c r="W38" s="87" t="e">
        <f>VLOOKUP($E38,'INV Days Pivot'!$A:$T,13,0)</f>
        <v>#N/A</v>
      </c>
      <c r="X38" s="87" t="e">
        <f>VLOOKUP($E38,'INV Days Pivot'!$A:$T,15,0)</f>
        <v>#N/A</v>
      </c>
      <c r="Y38" s="206" t="e">
        <f>VLOOKUP($E38,'INV Days Pivot'!$A:$T,20,0)</f>
        <v>#N/A</v>
      </c>
      <c r="Z38" s="113" t="e">
        <f>VLOOKUP($E38,'INV Days Pivot'!$A:$T,17,0)</f>
        <v>#N/A</v>
      </c>
      <c r="AA38" s="113" t="e">
        <f>VLOOKUP($E38,'INV Days Pivot'!$A:$T,17,0)</f>
        <v>#N/A</v>
      </c>
      <c r="AB38" s="6"/>
      <c r="AC38" s="248"/>
      <c r="AD38" s="248"/>
    </row>
    <row r="39" spans="2:30">
      <c r="E39" s="421" t="s">
        <v>180</v>
      </c>
      <c r="F39" s="407" t="s">
        <v>181</v>
      </c>
      <c r="G39" s="407" t="s">
        <v>18</v>
      </c>
      <c r="H39" s="112">
        <f>VLOOKUP($E39,'INV Days Pivot'!$A:$T,14,0)</f>
        <v>0</v>
      </c>
      <c r="I39" s="87">
        <f>VLOOKUP($E39,'INV Days Pivot'!$A:$T,6,0)</f>
        <v>0</v>
      </c>
      <c r="J39" s="87">
        <f>VLOOKUP($E39,'INV Days Pivot'!$A:$T,7,0)</f>
        <v>0</v>
      </c>
      <c r="K39" s="87">
        <f>VLOOKUP($E39,'INV Days Pivot'!$A:$T,12,0)</f>
        <v>67.711247901510902</v>
      </c>
      <c r="L39" s="87">
        <f>VLOOKUP($E39,'INV Days Pivot'!$A:$T,19,0)</f>
        <v>23.495773247140725</v>
      </c>
      <c r="M39" s="87">
        <f>VLOOKUP($E39,'INV Days Pivot'!$A:$T,16,0)</f>
        <v>0</v>
      </c>
      <c r="N39" s="87">
        <f>VLOOKUP($E39,'INV Days Pivot'!$A:$T,18,0)</f>
        <v>34.072471606273659</v>
      </c>
      <c r="O39" s="113">
        <f>VLOOKUP($E39,'INV Days Pivot'!$A:$U,21,0)</f>
        <v>25.776103104412417</v>
      </c>
      <c r="P39" s="87"/>
      <c r="Q39" s="42"/>
      <c r="R39" s="111">
        <f>VLOOKUP($E39,'INV Days Pivot'!$A:$T,4,0)</f>
        <v>30.927835051546392</v>
      </c>
      <c r="S39" s="87">
        <f>VLOOKUP($E39,'INV Days Pivot'!$A:$T,5,0)</f>
        <v>226.85788787483702</v>
      </c>
      <c r="T39" s="87">
        <f>VLOOKUP($E39,'INV Days Pivot'!$A:$T,8,0)</f>
        <v>34.739151633349586</v>
      </c>
      <c r="U39" s="87">
        <f>VLOOKUP($E39,'INV Days Pivot'!$A:$T,10,0)</f>
        <v>78.688524590163937</v>
      </c>
      <c r="V39" s="87">
        <f>VLOOKUP($E39,'INV Days Pivot'!$A:$T,11,0)</f>
        <v>37.780006686726843</v>
      </c>
      <c r="W39" s="87">
        <f>VLOOKUP($E39,'INV Days Pivot'!$A:$T,13,0)</f>
        <v>0</v>
      </c>
      <c r="X39" s="87">
        <f>VLOOKUP($E39,'INV Days Pivot'!$A:$T,15,0)</f>
        <v>26.984377465677763</v>
      </c>
      <c r="Y39" s="206">
        <f>VLOOKUP($E39,'INV Days Pivot'!$A:$T,20,0)</f>
        <v>0</v>
      </c>
      <c r="Z39" s="113">
        <f>VLOOKUP($E39,'INV Days Pivot'!$A:$T,17,0)</f>
        <v>0</v>
      </c>
      <c r="AA39" s="113">
        <f>VLOOKUP($E39,'INV Days Pivot'!$A:$T,17,0)</f>
        <v>0</v>
      </c>
      <c r="AB39" s="6"/>
      <c r="AC39" s="248"/>
      <c r="AD39" s="248"/>
    </row>
    <row r="40" spans="2:30" ht="13.5" thickBot="1">
      <c r="B40" s="253" t="str">
        <f t="shared" si="26"/>
        <v>PF22059</v>
      </c>
      <c r="C40" s="10" t="str">
        <f t="shared" si="27"/>
        <v>HP22059</v>
      </c>
      <c r="E40" s="421" t="s">
        <v>183</v>
      </c>
      <c r="F40" s="407" t="s">
        <v>184</v>
      </c>
      <c r="G40" s="407" t="s">
        <v>18</v>
      </c>
      <c r="H40" s="112">
        <f>VLOOKUP($E40,'INV Days Pivot'!$A:$T,14,0)</f>
        <v>0</v>
      </c>
      <c r="I40" s="87">
        <f>VLOOKUP($E40,'INV Days Pivot'!$A:$T,6,0)</f>
        <v>0</v>
      </c>
      <c r="J40" s="87">
        <f>VLOOKUP($E40,'INV Days Pivot'!$A:$T,7,0)</f>
        <v>0</v>
      </c>
      <c r="K40" s="87">
        <f>VLOOKUP($E40,'INV Days Pivot'!$A:$T,12,0)</f>
        <v>0</v>
      </c>
      <c r="L40" s="87">
        <f>VLOOKUP($E40,'INV Days Pivot'!$A:$T,19,0)</f>
        <v>0</v>
      </c>
      <c r="M40" s="87">
        <f>VLOOKUP($E40,'INV Days Pivot'!$A:$T,16,0)</f>
        <v>0</v>
      </c>
      <c r="N40" s="87">
        <f>VLOOKUP($E40,'INV Days Pivot'!$A:$T,18,0)</f>
        <v>0</v>
      </c>
      <c r="O40" s="113">
        <f>VLOOKUP($E40,'INV Days Pivot'!$A:$U,21,0)</f>
        <v>0</v>
      </c>
      <c r="P40" s="87"/>
      <c r="Q40" s="413"/>
      <c r="R40" s="111">
        <f>VLOOKUP($E40,'INV Days Pivot'!$A:$T,4,0)</f>
        <v>0</v>
      </c>
      <c r="S40" s="87">
        <f>VLOOKUP($E40,'INV Days Pivot'!$A:$T,5,0)</f>
        <v>0</v>
      </c>
      <c r="T40" s="87">
        <f>VLOOKUP($E40,'INV Days Pivot'!$A:$T,8,0)</f>
        <v>0</v>
      </c>
      <c r="U40" s="87">
        <f>VLOOKUP($E40,'INV Days Pivot'!$A:$T,10,0)</f>
        <v>0</v>
      </c>
      <c r="V40" s="87">
        <f>VLOOKUP($E40,'INV Days Pivot'!$A:$T,11,0)</f>
        <v>0</v>
      </c>
      <c r="W40" s="87">
        <f>VLOOKUP($E40,'INV Days Pivot'!$A:$T,13,0)</f>
        <v>0</v>
      </c>
      <c r="X40" s="87">
        <f>VLOOKUP($E40,'INV Days Pivot'!$A:$T,15,0)</f>
        <v>0</v>
      </c>
      <c r="Y40" s="206">
        <f>VLOOKUP($E40,'INV Days Pivot'!$A:$T,20,0)</f>
        <v>0</v>
      </c>
      <c r="Z40" s="113">
        <f>VLOOKUP($E40,'INV Days Pivot'!$A:$T,17,0)</f>
        <v>0</v>
      </c>
      <c r="AA40" s="113">
        <f>VLOOKUP($E40,'INV Days Pivot'!$A:$T,17,0)</f>
        <v>0</v>
      </c>
      <c r="AB40" s="57"/>
      <c r="AC40" s="249" t="str">
        <f>IFERROR(VLOOKUP(B40,#REF!,2,0),"")</f>
        <v/>
      </c>
      <c r="AD40" s="249" t="str">
        <f>IFERROR(VLOOKUP(C40,#REF!,2,0),"")</f>
        <v/>
      </c>
    </row>
    <row r="41" spans="2:30" hidden="1">
      <c r="E41" s="185" t="s">
        <v>191</v>
      </c>
      <c r="F41" s="188" t="s">
        <v>192</v>
      </c>
      <c r="G41" s="407" t="s">
        <v>18</v>
      </c>
      <c r="H41" s="112" t="e">
        <f>VLOOKUP($E41,'INV Days Pivot'!$A:$T,14,0)</f>
        <v>#N/A</v>
      </c>
      <c r="I41" s="87" t="e">
        <f>VLOOKUP($E41,'INV Days Pivot'!$A:$T,6,0)</f>
        <v>#N/A</v>
      </c>
      <c r="J41" s="87" t="e">
        <f>VLOOKUP($E41,'INV Days Pivot'!$A:$T,7,0)</f>
        <v>#N/A</v>
      </c>
      <c r="K41" s="87" t="e">
        <f>VLOOKUP($E41,'INV Days Pivot'!$A:$T,12,0)</f>
        <v>#N/A</v>
      </c>
      <c r="L41" s="87" t="e">
        <f>VLOOKUP($E41,'INV Days Pivot'!$A:$T,19,0)</f>
        <v>#N/A</v>
      </c>
      <c r="M41" s="87" t="e">
        <f>VLOOKUP($E41,'INV Days Pivot'!$A:$T,16,0)</f>
        <v>#N/A</v>
      </c>
      <c r="N41" s="87" t="e">
        <f>VLOOKUP($E41,'INV Days Pivot'!$A:$T,18,0)</f>
        <v>#N/A</v>
      </c>
      <c r="O41" s="113" t="e">
        <f>VLOOKUP($E41,'INV Days Pivot'!$A:$U,21,0)</f>
        <v>#N/A</v>
      </c>
      <c r="P41" s="87"/>
      <c r="Q41" s="413"/>
      <c r="R41" s="111" t="e">
        <f>VLOOKUP($E41,'INV Days Pivot'!$A:$T,4,0)</f>
        <v>#N/A</v>
      </c>
      <c r="S41" s="87" t="e">
        <f>VLOOKUP($E41,'INV Days Pivot'!$A:$T,5,0)</f>
        <v>#N/A</v>
      </c>
      <c r="T41" s="87" t="e">
        <f>VLOOKUP($E41,'INV Days Pivot'!$A:$T,8,0)</f>
        <v>#N/A</v>
      </c>
      <c r="U41" s="87" t="e">
        <f>VLOOKUP($E41,'INV Days Pivot'!$A:$T,10,0)</f>
        <v>#N/A</v>
      </c>
      <c r="V41" s="87" t="e">
        <f>VLOOKUP($E41,'INV Days Pivot'!$A:$T,11,0)</f>
        <v>#N/A</v>
      </c>
      <c r="W41" s="87" t="e">
        <f>VLOOKUP($E41,'INV Days Pivot'!$A:$T,13,0)</f>
        <v>#N/A</v>
      </c>
      <c r="X41" s="87" t="e">
        <f>VLOOKUP($E41,'INV Days Pivot'!$A:$T,15,0)</f>
        <v>#N/A</v>
      </c>
      <c r="Y41" s="206" t="e">
        <f>VLOOKUP($E41,'INV Days Pivot'!$A:$T,20,0)</f>
        <v>#N/A</v>
      </c>
      <c r="Z41" s="113" t="e">
        <f>VLOOKUP($E41,'INV Days Pivot'!$A:$T,17,0)</f>
        <v>#N/A</v>
      </c>
      <c r="AA41" s="113" t="e">
        <f>VLOOKUP($E41,'INV Days Pivot'!$A:$T,17,0)</f>
        <v>#N/A</v>
      </c>
    </row>
    <row r="42" spans="2:30" hidden="1">
      <c r="E42" s="421" t="s">
        <v>778</v>
      </c>
      <c r="F42" s="407" t="s">
        <v>780</v>
      </c>
      <c r="G42" s="407" t="s">
        <v>18</v>
      </c>
      <c r="H42" s="112">
        <f>VLOOKUP($E42,'INV Days Pivot'!$A:$T,14,0)</f>
        <v>0</v>
      </c>
      <c r="I42" s="87">
        <f>VLOOKUP($E42,'INV Days Pivot'!$A:$T,6,0)</f>
        <v>0</v>
      </c>
      <c r="J42" s="87">
        <f>VLOOKUP($E42,'INV Days Pivot'!$A:$T,7,0)</f>
        <v>0</v>
      </c>
      <c r="K42" s="87">
        <f>VLOOKUP($E42,'INV Days Pivot'!$A:$T,12,0)</f>
        <v>0</v>
      </c>
      <c r="L42" s="87">
        <f>VLOOKUP($E42,'INV Days Pivot'!$A:$T,19,0)</f>
        <v>0</v>
      </c>
      <c r="M42" s="87">
        <f>VLOOKUP($E42,'INV Days Pivot'!$A:$T,16,0)</f>
        <v>0</v>
      </c>
      <c r="N42" s="87">
        <f>VLOOKUP($E42,'INV Days Pivot'!$A:$T,18,0)</f>
        <v>0</v>
      </c>
      <c r="O42" s="113">
        <f>VLOOKUP($E42,'INV Days Pivot'!$A:$U,21,0)</f>
        <v>0</v>
      </c>
      <c r="P42" s="87"/>
      <c r="Q42" s="413"/>
      <c r="R42" s="111">
        <f>VLOOKUP($E42,'INV Days Pivot'!$A:$T,4,0)</f>
        <v>0</v>
      </c>
      <c r="S42" s="87">
        <f>VLOOKUP($E42,'INV Days Pivot'!$A:$T,5,0)</f>
        <v>0</v>
      </c>
      <c r="T42" s="87">
        <f>VLOOKUP($E42,'INV Days Pivot'!$A:$T,8,0)</f>
        <v>0</v>
      </c>
      <c r="U42" s="87">
        <f>VLOOKUP($E42,'INV Days Pivot'!$A:$T,10,0)</f>
        <v>0</v>
      </c>
      <c r="V42" s="87">
        <f>VLOOKUP($E42,'INV Days Pivot'!$A:$T,11,0)</f>
        <v>0</v>
      </c>
      <c r="W42" s="87">
        <f>VLOOKUP($E42,'INV Days Pivot'!$A:$T,13,0)</f>
        <v>0</v>
      </c>
      <c r="X42" s="87">
        <f>VLOOKUP($E42,'INV Days Pivot'!$A:$T,15,0)</f>
        <v>0</v>
      </c>
      <c r="Y42" s="206">
        <f>VLOOKUP($E42,'INV Days Pivot'!$A:$T,20,0)</f>
        <v>0</v>
      </c>
      <c r="Z42" s="113">
        <f>VLOOKUP($E42,'INV Days Pivot'!$A:$T,17,0)</f>
        <v>0</v>
      </c>
      <c r="AA42" s="113">
        <f>VLOOKUP($E42,'INV Days Pivot'!$A:$T,17,0)</f>
        <v>0</v>
      </c>
    </row>
    <row r="43" spans="2:30">
      <c r="E43" s="185" t="s">
        <v>189</v>
      </c>
      <c r="F43" s="188" t="s">
        <v>193</v>
      </c>
      <c r="G43" s="407" t="s">
        <v>18</v>
      </c>
      <c r="H43" s="112">
        <f>VLOOKUP($E43,'INV Days Pivot'!$A:$T,14,0)</f>
        <v>28.666666666666668</v>
      </c>
      <c r="I43" s="87">
        <f>VLOOKUP($E43,'INV Days Pivot'!$A:$T,6,0)</f>
        <v>0</v>
      </c>
      <c r="J43" s="87">
        <f>VLOOKUP($E43,'INV Days Pivot'!$A:$T,7,0)</f>
        <v>30.783582089552244</v>
      </c>
      <c r="K43" s="87">
        <f>VLOOKUP($E43,'INV Days Pivot'!$A:$T,12,0)</f>
        <v>24.783477681545637</v>
      </c>
      <c r="L43" s="87">
        <f>VLOOKUP($E43,'INV Days Pivot'!$A:$T,19,0)</f>
        <v>17.899594462312965</v>
      </c>
      <c r="M43" s="87">
        <f>VLOOKUP($E43,'INV Days Pivot'!$A:$T,16,0)</f>
        <v>30</v>
      </c>
      <c r="N43" s="87">
        <f>VLOOKUP($E43,'INV Days Pivot'!$A:$T,18,0)</f>
        <v>55.400111919418009</v>
      </c>
      <c r="O43" s="113">
        <f>VLOOKUP($E43,'INV Days Pivot'!$A:$U,21,0)</f>
        <v>17.007365720433668</v>
      </c>
      <c r="P43" s="55"/>
      <c r="Q43" s="425"/>
      <c r="R43" s="111">
        <f>VLOOKUP($E43,'INV Days Pivot'!$A:$T,4,0)</f>
        <v>25.444655190924383</v>
      </c>
      <c r="S43" s="87">
        <f>VLOOKUP($E43,'INV Days Pivot'!$A:$T,5,0)</f>
        <v>45.050055617352619</v>
      </c>
      <c r="T43" s="87">
        <f>VLOOKUP($E43,'INV Days Pivot'!$A:$T,8,0)</f>
        <v>18.190298507462689</v>
      </c>
      <c r="U43" s="87">
        <f>VLOOKUP($E43,'INV Days Pivot'!$A:$T,10,0)</f>
        <v>20.799742018703643</v>
      </c>
      <c r="V43" s="87">
        <f>VLOOKUP($E43,'INV Days Pivot'!$A:$T,11,0)</f>
        <v>17.120796732501539</v>
      </c>
      <c r="W43" s="87">
        <f>VLOOKUP($E43,'INV Days Pivot'!$A:$T,13,0)</f>
        <v>154.20560747663552</v>
      </c>
      <c r="X43" s="87">
        <f>VLOOKUP($E43,'INV Days Pivot'!$A:$T,15,0)</f>
        <v>13.984058173682003</v>
      </c>
      <c r="Y43" s="206">
        <f>VLOOKUP($E43,'INV Days Pivot'!$A:$T,20,0)</f>
        <v>0</v>
      </c>
      <c r="Z43" s="113">
        <f>VLOOKUP($E43,'INV Days Pivot'!$A:$T,17,0)</f>
        <v>22.388059701492541</v>
      </c>
      <c r="AA43" s="113">
        <f>VLOOKUP($E43,'INV Days Pivot'!$A:$T,17,0)</f>
        <v>22.388059701492541</v>
      </c>
    </row>
    <row r="44" spans="2:30">
      <c r="E44" s="423" t="s">
        <v>1004</v>
      </c>
      <c r="F44" s="412" t="s">
        <v>1005</v>
      </c>
      <c r="G44" s="407" t="s">
        <v>18</v>
      </c>
      <c r="H44" s="112">
        <f>VLOOKUP($E44,'INV Days Pivot'!$A:$T,14,0)</f>
        <v>0</v>
      </c>
      <c r="I44" s="87">
        <f>VLOOKUP($E44,'INV Days Pivot'!$A:$T,6,0)</f>
        <v>0</v>
      </c>
      <c r="J44" s="87">
        <f>VLOOKUP($E44,'INV Days Pivot'!$A:$T,7,0)</f>
        <v>0</v>
      </c>
      <c r="K44" s="87">
        <f>VLOOKUP($E44,'INV Days Pivot'!$A:$T,12,0)</f>
        <v>0</v>
      </c>
      <c r="L44" s="87">
        <f>VLOOKUP($E44,'INV Days Pivot'!$A:$T,19,0)</f>
        <v>0</v>
      </c>
      <c r="M44" s="87">
        <f>VLOOKUP($E44,'INV Days Pivot'!$A:$T,16,0)</f>
        <v>0</v>
      </c>
      <c r="N44" s="87">
        <f>VLOOKUP($E44,'INV Days Pivot'!$A:$T,18,0)</f>
        <v>0</v>
      </c>
      <c r="O44" s="113">
        <f>VLOOKUP($E44,'INV Days Pivot'!$A:$U,21,0)</f>
        <v>0</v>
      </c>
      <c r="P44" s="55"/>
      <c r="Q44" s="425"/>
      <c r="R44" s="111">
        <f>VLOOKUP($E44,'INV Days Pivot'!$A:$T,4,0)</f>
        <v>0</v>
      </c>
      <c r="S44" s="87">
        <f>VLOOKUP($E44,'INV Days Pivot'!$A:$T,5,0)</f>
        <v>29.423326555372363</v>
      </c>
      <c r="T44" s="87">
        <f>VLOOKUP($E44,'INV Days Pivot'!$A:$T,8,0)</f>
        <v>0</v>
      </c>
      <c r="U44" s="87">
        <f>VLOOKUP($E44,'INV Days Pivot'!$A:$T,10,0)</f>
        <v>0</v>
      </c>
      <c r="V44" s="87">
        <f>VLOOKUP($E44,'INV Days Pivot'!$A:$T,11,0)</f>
        <v>0</v>
      </c>
      <c r="W44" s="87">
        <f>VLOOKUP($E44,'INV Days Pivot'!$A:$T,13,0)</f>
        <v>0</v>
      </c>
      <c r="X44" s="87">
        <f>VLOOKUP($E44,'INV Days Pivot'!$A:$T,15,0)</f>
        <v>0</v>
      </c>
      <c r="Y44" s="206">
        <f>VLOOKUP($E44,'INV Days Pivot'!$A:$T,20,0)</f>
        <v>0</v>
      </c>
      <c r="Z44" s="113">
        <f>VLOOKUP($E44,'INV Days Pivot'!$A:$T,17,0)</f>
        <v>0</v>
      </c>
      <c r="AA44" s="113">
        <f>VLOOKUP($E44,'INV Days Pivot'!$A:$T,17,0)</f>
        <v>0</v>
      </c>
    </row>
    <row r="45" spans="2:30">
      <c r="E45" s="423" t="s">
        <v>1006</v>
      </c>
      <c r="F45" s="412" t="s">
        <v>1008</v>
      </c>
      <c r="G45" s="407" t="s">
        <v>18</v>
      </c>
      <c r="H45" s="115">
        <f>VLOOKUP($E45,'INV Days Pivot'!$A:$T,14,0)</f>
        <v>849.6</v>
      </c>
      <c r="I45" s="55">
        <f>VLOOKUP($E45,'INV Days Pivot'!$A:$T,6,0)</f>
        <v>0</v>
      </c>
      <c r="J45" s="55">
        <f>VLOOKUP($E45,'INV Days Pivot'!$A:$T,7,0)</f>
        <v>43.298277019467442</v>
      </c>
      <c r="K45" s="55">
        <f>VLOOKUP($E45,'INV Days Pivot'!$A:$T,12,0)</f>
        <v>28.911564625850342</v>
      </c>
      <c r="L45" s="55">
        <f>VLOOKUP($E45,'INV Days Pivot'!$A:$T,19,0)</f>
        <v>30.208100246140077</v>
      </c>
      <c r="M45" s="55">
        <f>VLOOKUP($E45,'INV Days Pivot'!$A:$T,16,0)</f>
        <v>82.142857142857139</v>
      </c>
      <c r="N45" s="55">
        <f>VLOOKUP($E45,'INV Days Pivot'!$A:$T,18,0)</f>
        <v>26.02126468942361</v>
      </c>
      <c r="O45" s="116">
        <f>VLOOKUP($E45,'INV Days Pivot'!$A:$U,21,0)</f>
        <v>17.34375</v>
      </c>
      <c r="P45" s="55"/>
      <c r="Q45" s="425"/>
      <c r="R45" s="114">
        <f>VLOOKUP($E45,'INV Days Pivot'!$A:$T,4,0)</f>
        <v>33.07212932683408</v>
      </c>
      <c r="S45" s="55">
        <f>VLOOKUP($E45,'INV Days Pivot'!$A:$T,5,0)</f>
        <v>30.571774815467666</v>
      </c>
      <c r="T45" s="55">
        <f>VLOOKUP($E45,'INV Days Pivot'!$A:$T,8,0)</f>
        <v>121.26537785588751</v>
      </c>
      <c r="U45" s="55">
        <f>VLOOKUP($E45,'INV Days Pivot'!$A:$T,10,0)</f>
        <v>27.207732027009136</v>
      </c>
      <c r="V45" s="55">
        <f>VLOOKUP($E45,'INV Days Pivot'!$A:$T,11,0)</f>
        <v>37.24832214765101</v>
      </c>
      <c r="W45" s="55">
        <f>VLOOKUP($E45,'INV Days Pivot'!$A:$T,13,0)</f>
        <v>0</v>
      </c>
      <c r="X45" s="55">
        <f>VLOOKUP($E45,'INV Days Pivot'!$A:$T,15,0)</f>
        <v>110.44176706827309</v>
      </c>
      <c r="Y45" s="207">
        <f>VLOOKUP($E45,'INV Days Pivot'!$A:$T,20,0)</f>
        <v>0</v>
      </c>
      <c r="Z45" s="116">
        <f>VLOOKUP($E45,'INV Days Pivot'!$A:$T,17,0)</f>
        <v>0</v>
      </c>
      <c r="AA45" s="113">
        <f>VLOOKUP($E45,'INV Days Pivot'!$A:$T,17,0)</f>
        <v>0</v>
      </c>
    </row>
    <row r="46" spans="2:30">
      <c r="E46" s="170" t="s">
        <v>1007</v>
      </c>
      <c r="F46" s="459" t="s">
        <v>1009</v>
      </c>
      <c r="G46" s="424" t="s">
        <v>18</v>
      </c>
      <c r="H46" s="115">
        <f>VLOOKUP($E46,'INV Days Pivot'!$A:$T,14,0)</f>
        <v>0</v>
      </c>
      <c r="I46" s="55">
        <f>VLOOKUP($E46,'INV Days Pivot'!$A:$T,6,0)</f>
        <v>0</v>
      </c>
      <c r="J46" s="55">
        <f>VLOOKUP($E46,'INV Days Pivot'!$A:$T,7,0)</f>
        <v>16.081666899734305</v>
      </c>
      <c r="K46" s="55">
        <f>VLOOKUP($E46,'INV Days Pivot'!$A:$T,12,0)</f>
        <v>0.15984228894157765</v>
      </c>
      <c r="L46" s="55">
        <f>VLOOKUP($E46,'INV Days Pivot'!$A:$T,19,0)</f>
        <v>18.746502518186904</v>
      </c>
      <c r="M46" s="55">
        <f>VLOOKUP($E46,'INV Days Pivot'!$A:$T,16,0)</f>
        <v>280</v>
      </c>
      <c r="N46" s="55">
        <f>VLOOKUP($E46,'INV Days Pivot'!$A:$T,18,0)</f>
        <v>22.129896557571644</v>
      </c>
      <c r="O46" s="116">
        <f>VLOOKUP($E46,'INV Days Pivot'!$A:$U,21,0)</f>
        <v>11.330255979857323</v>
      </c>
      <c r="P46" s="55"/>
      <c r="Q46" s="425"/>
      <c r="R46" s="114">
        <f>VLOOKUP($E46,'INV Days Pivot'!$A:$T,4,0)</f>
        <v>0</v>
      </c>
      <c r="S46" s="55">
        <f>VLOOKUP($E46,'INV Days Pivot'!$A:$T,5,0)</f>
        <v>7.7967643427977391</v>
      </c>
      <c r="T46" s="55">
        <f>VLOOKUP($E46,'INV Days Pivot'!$A:$T,8,0)</f>
        <v>22.429906542056074</v>
      </c>
      <c r="U46" s="55">
        <f>VLOOKUP($E46,'INV Days Pivot'!$A:$T,10,0)</f>
        <v>2.7251492343628341</v>
      </c>
      <c r="V46" s="55">
        <f>VLOOKUP($E46,'INV Days Pivot'!$A:$T,11,0)</f>
        <v>5.7600576005760065</v>
      </c>
      <c r="W46" s="55">
        <f>VLOOKUP($E46,'INV Days Pivot'!$A:$T,13,0)</f>
        <v>4</v>
      </c>
      <c r="X46" s="55">
        <f>VLOOKUP($E46,'INV Days Pivot'!$A:$T,15,0)</f>
        <v>14.5153259884337</v>
      </c>
      <c r="Y46" s="207">
        <f>VLOOKUP($E46,'INV Days Pivot'!$A:$T,20,0)</f>
        <v>0</v>
      </c>
      <c r="Z46" s="116">
        <f>VLOOKUP($E46,'INV Days Pivot'!$A:$T,17,0)</f>
        <v>8.1871345029239766</v>
      </c>
      <c r="AA46" s="113">
        <f>VLOOKUP($E46,'INV Days Pivot'!$A:$T,17,0)</f>
        <v>8.1871345029239766</v>
      </c>
    </row>
  </sheetData>
  <autoFilter ref="A4:AF4" xr:uid="{132F65D2-31BB-4F14-ADEC-C22D810E9577}">
    <sortState xmlns:xlrd2="http://schemas.microsoft.com/office/spreadsheetml/2017/richdata2" ref="A5:AF13">
      <sortCondition ref="E4"/>
    </sortState>
  </autoFilter>
  <mergeCells count="1">
    <mergeCell ref="E25:G25"/>
  </mergeCells>
  <phoneticPr fontId="12" type="noConversion"/>
  <conditionalFormatting sqref="H27:K46 M27:M46">
    <cfRule type="cellIs" dxfId="2184" priority="24" operator="lessThan">
      <formula>10</formula>
    </cfRule>
  </conditionalFormatting>
  <conditionalFormatting sqref="H27:O46">
    <cfRule type="cellIs" dxfId="2183" priority="10" operator="lessThan">
      <formula>10</formula>
    </cfRule>
  </conditionalFormatting>
  <conditionalFormatting sqref="H5:P24 R5:AB24">
    <cfRule type="cellIs" dxfId="2182" priority="3" operator="lessThanOrEqual">
      <formula>0</formula>
    </cfRule>
  </conditionalFormatting>
  <conditionalFormatting sqref="R33:Y33">
    <cfRule type="cellIs" dxfId="2181" priority="5" operator="lessThan">
      <formula>10</formula>
    </cfRule>
  </conditionalFormatting>
  <conditionalFormatting sqref="R27:AA46">
    <cfRule type="cellIs" dxfId="2180" priority="9" operator="lessThan">
      <formula>10</formula>
    </cfRule>
    <cfRule type="cellIs" dxfId="2179" priority="11" operator="lessThan">
      <formula>10</formula>
    </cfRule>
  </conditionalFormatting>
  <conditionalFormatting sqref="Y33">
    <cfRule type="cellIs" dxfId="2178" priority="4" operator="lessThan">
      <formula>10</formula>
    </cfRule>
  </conditionalFormatting>
  <conditionalFormatting sqref="Z33">
    <cfRule type="cellIs" dxfId="2177" priority="7" operator="lessThan">
      <formula>10</formula>
    </cfRule>
    <cfRule type="cellIs" dxfId="2176" priority="8" operator="lessThan">
      <formula>10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40A1-E936-4115-A39B-82CC9B8CC58B}">
  <sheetPr>
    <tabColor rgb="FF00B0F0"/>
  </sheetPr>
  <dimension ref="A3:AO48"/>
  <sheetViews>
    <sheetView showGridLines="0" topLeftCell="C1" zoomScale="80" zoomScaleNormal="80" workbookViewId="0">
      <selection activeCell="E10" sqref="E10"/>
    </sheetView>
  </sheetViews>
  <sheetFormatPr defaultColWidth="9.140625" defaultRowHeight="12.75"/>
  <cols>
    <col min="1" max="1" width="0" style="124" hidden="1" customWidth="1"/>
    <col min="2" max="2" width="9.140625" style="124" hidden="1" customWidth="1"/>
    <col min="3" max="3" width="1.42578125" style="124" bestFit="1" customWidth="1"/>
    <col min="4" max="4" width="7.85546875" style="426" bestFit="1" customWidth="1"/>
    <col min="5" max="5" width="30.42578125" style="124" bestFit="1" customWidth="1"/>
    <col min="6" max="6" width="7" style="124" customWidth="1"/>
    <col min="7" max="7" width="7.28515625" style="42" bestFit="1" customWidth="1"/>
    <col min="8" max="8" width="6.5703125" style="42" bestFit="1" customWidth="1"/>
    <col min="9" max="14" width="6.28515625" style="42" bestFit="1" customWidth="1"/>
    <col min="15" max="15" width="8.85546875" style="42" bestFit="1" customWidth="1"/>
    <col min="16" max="16" width="1" style="42" customWidth="1"/>
    <col min="17" max="21" width="6.28515625" style="42" bestFit="1" customWidth="1"/>
    <col min="22" max="23" width="7.28515625" style="42" bestFit="1" customWidth="1"/>
    <col min="24" max="25" width="6.28515625" style="42" bestFit="1" customWidth="1"/>
    <col min="26" max="26" width="8.140625" style="124" bestFit="1" customWidth="1"/>
    <col min="27" max="27" width="7.7109375" style="124" bestFit="1" customWidth="1"/>
    <col min="28" max="28" width="10.42578125" style="42" customWidth="1"/>
    <col min="29" max="29" width="11.28515625" style="124" customWidth="1"/>
    <col min="30" max="16384" width="9.140625" style="124"/>
  </cols>
  <sheetData>
    <row r="3" spans="1:41" ht="26.25" thickBot="1">
      <c r="G3" s="42">
        <v>14</v>
      </c>
      <c r="H3" s="42">
        <v>6</v>
      </c>
      <c r="I3" s="42">
        <v>7</v>
      </c>
      <c r="J3" s="42">
        <v>12</v>
      </c>
      <c r="K3" s="42">
        <v>19</v>
      </c>
      <c r="L3" s="42">
        <v>16</v>
      </c>
      <c r="M3" s="42">
        <v>18</v>
      </c>
      <c r="N3" s="42">
        <v>21</v>
      </c>
      <c r="Q3" s="477">
        <v>4</v>
      </c>
      <c r="R3" s="478">
        <v>5</v>
      </c>
      <c r="S3" s="478">
        <v>8</v>
      </c>
      <c r="T3" s="478">
        <v>10</v>
      </c>
      <c r="U3" s="478">
        <v>11</v>
      </c>
      <c r="V3" s="478">
        <v>13</v>
      </c>
      <c r="W3" s="478">
        <v>15</v>
      </c>
      <c r="X3" s="478">
        <v>20</v>
      </c>
      <c r="Y3" s="479">
        <v>17</v>
      </c>
      <c r="AB3" s="235" t="s">
        <v>897</v>
      </c>
      <c r="AC3" s="235" t="s">
        <v>897</v>
      </c>
    </row>
    <row r="4" spans="1:41" ht="26.25" thickBot="1">
      <c r="A4" s="124" t="s">
        <v>900</v>
      </c>
      <c r="B4" s="124" t="s">
        <v>901</v>
      </c>
      <c r="D4" s="454" t="s">
        <v>2</v>
      </c>
      <c r="E4" s="455" t="s">
        <v>4</v>
      </c>
      <c r="F4" s="434" t="s">
        <v>6</v>
      </c>
      <c r="G4" s="435" t="s">
        <v>121</v>
      </c>
      <c r="H4" s="435" t="s">
        <v>122</v>
      </c>
      <c r="I4" s="435" t="s">
        <v>123</v>
      </c>
      <c r="J4" s="435" t="s">
        <v>124</v>
      </c>
      <c r="K4" s="435" t="s">
        <v>717</v>
      </c>
      <c r="L4" s="435" t="s">
        <v>125</v>
      </c>
      <c r="M4" s="435" t="s">
        <v>176</v>
      </c>
      <c r="N4" s="435" t="s">
        <v>962</v>
      </c>
      <c r="O4" s="456" t="s">
        <v>126</v>
      </c>
      <c r="P4" s="164"/>
      <c r="Q4" s="480" t="s">
        <v>127</v>
      </c>
      <c r="R4" s="431" t="s">
        <v>128</v>
      </c>
      <c r="S4" s="431" t="s">
        <v>129</v>
      </c>
      <c r="T4" s="431" t="s">
        <v>130</v>
      </c>
      <c r="U4" s="431" t="s">
        <v>131</v>
      </c>
      <c r="V4" s="431" t="s">
        <v>132</v>
      </c>
      <c r="W4" s="431" t="s">
        <v>133</v>
      </c>
      <c r="X4" s="431" t="s">
        <v>187</v>
      </c>
      <c r="Y4" s="481" t="s">
        <v>155</v>
      </c>
      <c r="Z4" s="268" t="s">
        <v>134</v>
      </c>
      <c r="AA4" s="268" t="s">
        <v>135</v>
      </c>
      <c r="AB4" s="286" t="s">
        <v>136</v>
      </c>
      <c r="AC4" s="283" t="s">
        <v>137</v>
      </c>
    </row>
    <row r="5" spans="1:41">
      <c r="B5" s="124" t="str">
        <f>$AC$4&amp;D5</f>
        <v>HP23401</v>
      </c>
      <c r="D5" s="428" t="s">
        <v>194</v>
      </c>
      <c r="E5" s="40" t="s">
        <v>195</v>
      </c>
      <c r="F5" s="430"/>
      <c r="G5" s="132">
        <f>VLOOKUP($D5,'RF Pendency Pivot'!$A:$T,14,0)</f>
        <v>2106</v>
      </c>
      <c r="H5" s="132">
        <f>VLOOKUP($D5,'RF Pendency Pivot'!$A:$T,6,0)</f>
        <v>0</v>
      </c>
      <c r="I5" s="132">
        <f>VLOOKUP($D5,'RF Pendency Pivot'!$A:$T,7,0)</f>
        <v>-3153.96</v>
      </c>
      <c r="J5" s="132">
        <f>VLOOKUP($D5,'RF Pendency Pivot'!$A:$T,12,0)</f>
        <v>-364.92000000000007</v>
      </c>
      <c r="K5" s="132">
        <f>VLOOKUP($D5,'RF Pendency Pivot'!$A:$T,19,0)</f>
        <v>424.91999999999996</v>
      </c>
      <c r="L5" s="132">
        <f>VLOOKUP($D5,'RF Pendency Pivot'!$A:$T,16,0)</f>
        <v>0</v>
      </c>
      <c r="M5" s="132">
        <f>VLOOKUP($D5,'RF Pendency Pivot'!$A:$T,18,0)</f>
        <v>-178.44000000000005</v>
      </c>
      <c r="N5" s="132">
        <f>VLOOKUP($D5,'RF Pendency Pivot'!$A:$U,21,0)</f>
        <v>-192</v>
      </c>
      <c r="O5" s="457">
        <f>IF(G5&lt;0,G5+SUMIF(G5:N5,"&gt;0"),SUMIF(G5:N5,"&gt;0"))</f>
        <v>2530.92</v>
      </c>
      <c r="Q5" s="482">
        <f>VLOOKUP($D5,'RF Pendency Pivot'!$A:$T,4,0)</f>
        <v>-1370.0400000000009</v>
      </c>
      <c r="R5" s="132">
        <f>VLOOKUP($D5,'RF Pendency Pivot'!$A:$T,5,0)</f>
        <v>-18.600000000000364</v>
      </c>
      <c r="S5" s="132">
        <f>VLOOKUP($D5,'RF Pendency Pivot'!$A:$T,8,0)</f>
        <v>4.0799999999999272</v>
      </c>
      <c r="T5" s="132">
        <f>VLOOKUP($D5,'RF Pendency Pivot'!$A:$T,10,0)</f>
        <v>3074.5200000000004</v>
      </c>
      <c r="U5" s="132">
        <f>VLOOKUP($D5,'RF Pendency Pivot'!$A:$T,11,0)</f>
        <v>-4736.0400000000009</v>
      </c>
      <c r="V5" s="132">
        <f>VLOOKUP($D5,'RF Pendency Pivot'!$A:$T,13,0)</f>
        <v>-33036</v>
      </c>
      <c r="W5" s="132">
        <f>VLOOKUP($D5,'RF Pendency Pivot'!$A:$T,15,0)</f>
        <v>-96</v>
      </c>
      <c r="X5" s="132">
        <f>VLOOKUP($D5,'RF Pendency Pivot'!$A:$T,20,0)</f>
        <v>0</v>
      </c>
      <c r="Y5" s="165">
        <f>VLOOKUP($D5,'RF Pendency Pivot'!$A:$T,17,0)</f>
        <v>-2359.92</v>
      </c>
      <c r="Z5" s="159">
        <f>IF(W5&lt;0,W5+SUMIF(Q5:Y5,"&gt;0"),SUMIF(Q5:Y5,"&gt;0"))</f>
        <v>2982.6000000000004</v>
      </c>
      <c r="AA5" s="258">
        <f>O5+Z5</f>
        <v>5513.52</v>
      </c>
      <c r="AB5" s="269" t="str">
        <f>IFERROR(VLOOKUP($A5,#REF!,2,0),"")</f>
        <v/>
      </c>
      <c r="AC5" s="238" t="str">
        <f>IFERROR(VLOOKUP($B5,#REF!,2,0),"")</f>
        <v/>
      </c>
    </row>
    <row r="6" spans="1:41">
      <c r="A6" s="124" t="str">
        <f>$AB$4&amp;D6</f>
        <v>PF01167</v>
      </c>
      <c r="B6" s="124" t="str">
        <f>$AC$4&amp;D6</f>
        <v>HP01167</v>
      </c>
      <c r="C6" s="124" t="s">
        <v>148</v>
      </c>
      <c r="D6" s="428" t="s">
        <v>53</v>
      </c>
      <c r="E6" s="188" t="s">
        <v>54</v>
      </c>
      <c r="G6" s="132">
        <f>VLOOKUP($D6,'RF Pendency Pivot'!$A:$T,14,0)</f>
        <v>-6022.08</v>
      </c>
      <c r="H6" s="132">
        <f>VLOOKUP($D6,'RF Pendency Pivot'!$A:$T,6,0)</f>
        <v>0</v>
      </c>
      <c r="I6" s="132">
        <f>VLOOKUP($D6,'RF Pendency Pivot'!$A:$T,7,0)</f>
        <v>-1478.04</v>
      </c>
      <c r="J6" s="132">
        <f>VLOOKUP($D6,'RF Pendency Pivot'!$A:$T,12,0)</f>
        <v>-1255.5600000000004</v>
      </c>
      <c r="K6" s="132">
        <f>VLOOKUP($D6,'RF Pendency Pivot'!$A:$T,19,0)</f>
        <v>-1468.3200000000002</v>
      </c>
      <c r="L6" s="132">
        <f>VLOOKUP($D6,'RF Pendency Pivot'!$A:$T,16,0)</f>
        <v>-1044</v>
      </c>
      <c r="M6" s="132">
        <f>VLOOKUP($D6,'RF Pendency Pivot'!$A:$T,18,0)</f>
        <v>-789.3599999999999</v>
      </c>
      <c r="N6" s="132">
        <f>VLOOKUP($D6,'RF Pendency Pivot'!$A:$U,21,0)</f>
        <v>-1616.04</v>
      </c>
      <c r="O6" s="457">
        <f t="shared" ref="O6:O14" si="0">IF(G6&lt;0,G6+SUMIF(G6:N6,"&gt;0"),SUMIF(G6:N6,"&gt;0"))</f>
        <v>-6022.08</v>
      </c>
      <c r="Q6" s="482">
        <f>VLOOKUP($D6,'RF Pendency Pivot'!$A:$T,4,0)</f>
        <v>-3527.16</v>
      </c>
      <c r="R6" s="132">
        <f>VLOOKUP($D6,'RF Pendency Pivot'!$A:$T,5,0)</f>
        <v>-59.159999999999854</v>
      </c>
      <c r="S6" s="132">
        <f>VLOOKUP($D6,'RF Pendency Pivot'!$A:$T,8,0)</f>
        <v>-4774.4400000000005</v>
      </c>
      <c r="T6" s="132">
        <f>VLOOKUP($D6,'RF Pendency Pivot'!$A:$T,10,0)</f>
        <v>-6913.5600000000013</v>
      </c>
      <c r="U6" s="132">
        <f>VLOOKUP($D6,'RF Pendency Pivot'!$A:$T,11,0)</f>
        <v>-2064</v>
      </c>
      <c r="V6" s="132">
        <f>VLOOKUP($D6,'RF Pendency Pivot'!$A:$T,13,0)</f>
        <v>-1552.8</v>
      </c>
      <c r="W6" s="132">
        <f>VLOOKUP($D6,'RF Pendency Pivot'!$A:$T,15,0)</f>
        <v>-7806.119999999999</v>
      </c>
      <c r="X6" s="132">
        <f>VLOOKUP($D6,'RF Pendency Pivot'!$A:$T,20,0)</f>
        <v>0</v>
      </c>
      <c r="Y6" s="165">
        <f>VLOOKUP($D6,'RF Pendency Pivot'!$A:$T,17,0)</f>
        <v>-4351.2</v>
      </c>
      <c r="Z6" s="159">
        <f t="shared" ref="Z6:Z8" si="1">IF(W6&lt;0,W6+SUMIF(Q6:Y6,"&gt;0"),SUMIF(Q6:Y6,"&gt;0"))</f>
        <v>-7806.119999999999</v>
      </c>
      <c r="AA6" s="258">
        <f>O6+Z6</f>
        <v>-13828.199999999999</v>
      </c>
      <c r="AB6" s="270" t="str">
        <f>IFERROR(VLOOKUP(A6,#REF!,2,0),"")</f>
        <v/>
      </c>
      <c r="AC6" s="178" t="str">
        <f>IFERROR(VLOOKUP(B6,#REF!,2,0),"")</f>
        <v/>
      </c>
    </row>
    <row r="7" spans="1:41">
      <c r="A7" s="124" t="str">
        <f t="shared" ref="A7:A14" si="2">$AB$4&amp;D7</f>
        <v>PF15536</v>
      </c>
      <c r="B7" s="124" t="str">
        <f t="shared" ref="B7:B14" si="3">$AC$4&amp;D7</f>
        <v>HP15536</v>
      </c>
      <c r="D7" s="428" t="s">
        <v>71</v>
      </c>
      <c r="E7" s="188" t="s">
        <v>72</v>
      </c>
      <c r="G7" s="132">
        <f>VLOOKUP($D7,'RF Pendency Pivot'!$A:$T,14,0)</f>
        <v>-8249.4000000000015</v>
      </c>
      <c r="H7" s="132">
        <f>VLOOKUP($D7,'RF Pendency Pivot'!$A:$T,6,0)</f>
        <v>0</v>
      </c>
      <c r="I7" s="132">
        <f>VLOOKUP($D7,'RF Pendency Pivot'!$A:$T,7,0)</f>
        <v>-521.63999999999987</v>
      </c>
      <c r="J7" s="132">
        <f>VLOOKUP($D7,'RF Pendency Pivot'!$A:$T,12,0)</f>
        <v>-3439.7999999999993</v>
      </c>
      <c r="K7" s="132">
        <f>VLOOKUP($D7,'RF Pendency Pivot'!$A:$T,19,0)</f>
        <v>-8407.7999999999993</v>
      </c>
      <c r="L7" s="132">
        <f>VLOOKUP($D7,'RF Pendency Pivot'!$A:$T,16,0)</f>
        <v>-10436.040000000001</v>
      </c>
      <c r="M7" s="132">
        <f>VLOOKUP($D7,'RF Pendency Pivot'!$A:$T,18,0)</f>
        <v>-5514.5999999999985</v>
      </c>
      <c r="N7" s="132">
        <f>VLOOKUP($D7,'RF Pendency Pivot'!$A:$U,21,0)</f>
        <v>-12792</v>
      </c>
      <c r="O7" s="457">
        <f t="shared" si="0"/>
        <v>-8249.4000000000015</v>
      </c>
      <c r="Q7" s="482">
        <f>VLOOKUP($D7,'RF Pendency Pivot'!$A:$T,4,0)</f>
        <v>-11385.599999999999</v>
      </c>
      <c r="R7" s="132">
        <f>VLOOKUP($D7,'RF Pendency Pivot'!$A:$T,5,0)</f>
        <v>-3961.92</v>
      </c>
      <c r="S7" s="132">
        <f>VLOOKUP($D7,'RF Pendency Pivot'!$A:$T,8,0)</f>
        <v>-3466.92</v>
      </c>
      <c r="T7" s="132">
        <f>VLOOKUP($D7,'RF Pendency Pivot'!$A:$T,10,0)</f>
        <v>-4641.7199999999993</v>
      </c>
      <c r="U7" s="132">
        <f>VLOOKUP($D7,'RF Pendency Pivot'!$A:$T,11,0)</f>
        <v>-1224</v>
      </c>
      <c r="V7" s="132">
        <f>VLOOKUP($D7,'RF Pendency Pivot'!$A:$T,13,0)</f>
        <v>-49303.32</v>
      </c>
      <c r="W7" s="132">
        <f>VLOOKUP($D7,'RF Pendency Pivot'!$A:$T,15,0)</f>
        <v>-12191.880000000001</v>
      </c>
      <c r="X7" s="132">
        <f>VLOOKUP($D7,'RF Pendency Pivot'!$A:$T,20,0)</f>
        <v>0</v>
      </c>
      <c r="Y7" s="165">
        <f>VLOOKUP($D7,'RF Pendency Pivot'!$A:$T,17,0)</f>
        <v>-4580.6400000000003</v>
      </c>
      <c r="Z7" s="159">
        <f t="shared" si="1"/>
        <v>-12191.880000000001</v>
      </c>
      <c r="AA7" s="258">
        <f t="shared" ref="AA7:AA15" si="4">O7+Z7</f>
        <v>-20441.280000000002</v>
      </c>
      <c r="AB7" s="270" t="str">
        <f>IFERROR(VLOOKUP(A7,#REF!,2,0),"")</f>
        <v/>
      </c>
      <c r="AC7" s="178" t="str">
        <f>IFERROR(VLOOKUP(B7,#REF!,2,0),"")</f>
        <v/>
      </c>
    </row>
    <row r="8" spans="1:41" hidden="1">
      <c r="A8" s="124" t="str">
        <f t="shared" si="2"/>
        <v>PF19602</v>
      </c>
      <c r="B8" s="124" t="str">
        <f t="shared" si="3"/>
        <v>HP19602</v>
      </c>
      <c r="D8" s="428" t="s">
        <v>114</v>
      </c>
      <c r="E8" s="188" t="s">
        <v>115</v>
      </c>
      <c r="G8" s="132" t="e">
        <f>VLOOKUP($D8,'RF Pendency Pivot'!$A:$T,14,0)</f>
        <v>#N/A</v>
      </c>
      <c r="H8" s="132" t="e">
        <f>VLOOKUP($D8,'RF Pendency Pivot'!$A:$T,6,0)</f>
        <v>#N/A</v>
      </c>
      <c r="I8" s="132" t="e">
        <f>VLOOKUP($D8,'RF Pendency Pivot'!$A:$T,7,0)</f>
        <v>#N/A</v>
      </c>
      <c r="J8" s="132" t="e">
        <f>VLOOKUP($D8,'RF Pendency Pivot'!$A:$T,12,0)</f>
        <v>#N/A</v>
      </c>
      <c r="K8" s="132" t="e">
        <f>VLOOKUP($D8,'RF Pendency Pivot'!$A:$T,19,0)</f>
        <v>#N/A</v>
      </c>
      <c r="L8" s="132" t="e">
        <f>VLOOKUP($D8,'RF Pendency Pivot'!$A:$T,16,0)</f>
        <v>#N/A</v>
      </c>
      <c r="M8" s="132" t="e">
        <f>VLOOKUP($D8,'RF Pendency Pivot'!$A:$T,18,0)</f>
        <v>#N/A</v>
      </c>
      <c r="N8" s="132" t="e">
        <f>VLOOKUP($D8,'RF Pendency Pivot'!$A:$U,21,0)</f>
        <v>#N/A</v>
      </c>
      <c r="O8" s="457" t="e">
        <f t="shared" si="0"/>
        <v>#N/A</v>
      </c>
      <c r="Q8" s="482" t="e">
        <f>VLOOKUP($D8,'RF Pendency Pivot'!$A:$T,4,0)</f>
        <v>#N/A</v>
      </c>
      <c r="R8" s="132" t="e">
        <f>VLOOKUP($D8,'RF Pendency Pivot'!$A:$T,5,0)</f>
        <v>#N/A</v>
      </c>
      <c r="S8" s="132" t="e">
        <f>VLOOKUP($D8,'RF Pendency Pivot'!$A:$T,8,0)</f>
        <v>#N/A</v>
      </c>
      <c r="T8" s="132" t="e">
        <f>VLOOKUP($D8,'RF Pendency Pivot'!$A:$T,10,0)</f>
        <v>#N/A</v>
      </c>
      <c r="U8" s="132" t="e">
        <f>VLOOKUP($D8,'RF Pendency Pivot'!$A:$T,11,0)</f>
        <v>#N/A</v>
      </c>
      <c r="V8" s="132" t="e">
        <f>VLOOKUP($D8,'RF Pendency Pivot'!$A:$T,13,0)</f>
        <v>#N/A</v>
      </c>
      <c r="W8" s="132" t="e">
        <f>VLOOKUP($D8,'RF Pendency Pivot'!$A:$T,15,0)</f>
        <v>#N/A</v>
      </c>
      <c r="X8" s="132" t="e">
        <f>VLOOKUP($D8,'RF Pendency Pivot'!$A:$T,20,0)</f>
        <v>#N/A</v>
      </c>
      <c r="Y8" s="165" t="e">
        <f>VLOOKUP($D8,'RF Pendency Pivot'!$A:$T,17,0)</f>
        <v>#N/A</v>
      </c>
      <c r="Z8" s="159" t="e">
        <f t="shared" si="1"/>
        <v>#N/A</v>
      </c>
      <c r="AA8" s="258" t="e">
        <f t="shared" si="4"/>
        <v>#N/A</v>
      </c>
      <c r="AB8" s="270" t="str">
        <f>IFERROR(VLOOKUP(A8,#REF!,2,0),"")</f>
        <v/>
      </c>
      <c r="AC8" s="178" t="str">
        <f>IFERROR(VLOOKUP(B8,#REF!,2,0),"")</f>
        <v/>
      </c>
    </row>
    <row r="9" spans="1:41" hidden="1">
      <c r="A9" s="124" t="str">
        <f t="shared" si="2"/>
        <v>PF16618</v>
      </c>
      <c r="B9" s="124" t="str">
        <f t="shared" si="3"/>
        <v>HP16618</v>
      </c>
      <c r="D9" s="428" t="s">
        <v>76</v>
      </c>
      <c r="E9" s="188" t="s">
        <v>77</v>
      </c>
      <c r="G9" s="132" t="e">
        <f>VLOOKUP($D9,'RF Pendency Pivot'!$A:$T,14,0)</f>
        <v>#N/A</v>
      </c>
      <c r="H9" s="132" t="e">
        <f>VLOOKUP($D9,'RF Pendency Pivot'!$A:$T,6,0)</f>
        <v>#N/A</v>
      </c>
      <c r="I9" s="132" t="e">
        <f>VLOOKUP($D9,'RF Pendency Pivot'!$A:$T,7,0)</f>
        <v>#N/A</v>
      </c>
      <c r="J9" s="132" t="e">
        <f>VLOOKUP($D9,'RF Pendency Pivot'!$A:$T,12,0)</f>
        <v>#N/A</v>
      </c>
      <c r="K9" s="132" t="e">
        <f>VLOOKUP($D9,'RF Pendency Pivot'!$A:$T,19,0)</f>
        <v>#N/A</v>
      </c>
      <c r="L9" s="132" t="e">
        <f>VLOOKUP($D9,'RF Pendency Pivot'!$A:$T,16,0)</f>
        <v>#N/A</v>
      </c>
      <c r="M9" s="132" t="e">
        <f>VLOOKUP($D9,'RF Pendency Pivot'!$A:$T,18,0)</f>
        <v>#N/A</v>
      </c>
      <c r="N9" s="132" t="e">
        <f>VLOOKUP($D9,'RF Pendency Pivot'!$A:$U,21,0)</f>
        <v>#N/A</v>
      </c>
      <c r="O9" s="457" t="e">
        <f t="shared" si="0"/>
        <v>#N/A</v>
      </c>
      <c r="Q9" s="482" t="e">
        <f>VLOOKUP($D9,'RF Pendency Pivot'!$A:$T,4,0)</f>
        <v>#N/A</v>
      </c>
      <c r="R9" s="132" t="e">
        <f>VLOOKUP($D9,'RF Pendency Pivot'!$A:$T,5,0)</f>
        <v>#N/A</v>
      </c>
      <c r="S9" s="132" t="e">
        <f>VLOOKUP($D9,'RF Pendency Pivot'!$A:$T,8,0)</f>
        <v>#N/A</v>
      </c>
      <c r="T9" s="132" t="e">
        <f>VLOOKUP($D9,'RF Pendency Pivot'!$A:$T,10,0)</f>
        <v>#N/A</v>
      </c>
      <c r="U9" s="132" t="e">
        <f>VLOOKUP($D9,'RF Pendency Pivot'!$A:$T,11,0)</f>
        <v>#N/A</v>
      </c>
      <c r="V9" s="132" t="e">
        <f>VLOOKUP($D9,'RF Pendency Pivot'!$A:$T,13,0)</f>
        <v>#N/A</v>
      </c>
      <c r="W9" s="132" t="e">
        <f>VLOOKUP($D9,'RF Pendency Pivot'!$A:$T,15,0)</f>
        <v>#N/A</v>
      </c>
      <c r="X9" s="132" t="e">
        <f>VLOOKUP($D9,'RF Pendency Pivot'!$A:$T,20,0)</f>
        <v>#N/A</v>
      </c>
      <c r="Y9" s="165" t="e">
        <f>VLOOKUP($D9,'RF Pendency Pivot'!$A:$T,17,0)</f>
        <v>#N/A</v>
      </c>
      <c r="Z9" s="159" t="e">
        <f t="shared" ref="Z9" si="5">IF(AND(X9&lt;0,W9&lt;0),SUMIF(Q9:Y9,"&gt;0")+X9+W9,IF(W9&lt;0,SUMIF(Q9:Y9,"&gt;0")+W9,IF(X9&lt;0,SUMIF(Q9:Y9,"&gt;0")+X9,SUMIF(Q9:Y9,"&gt;0"))))</f>
        <v>#N/A</v>
      </c>
      <c r="AA9" s="258" t="e">
        <f>O9+Z9</f>
        <v>#N/A</v>
      </c>
      <c r="AB9" s="270" t="str">
        <f>IFERROR(VLOOKUP(A9,#REF!,2,0),"")</f>
        <v/>
      </c>
      <c r="AC9" s="178" t="str">
        <f>IFERROR(VLOOKUP(B9,#REF!,2,0),"")</f>
        <v/>
      </c>
    </row>
    <row r="10" spans="1:41">
      <c r="A10" s="124" t="str">
        <f t="shared" si="2"/>
        <v>PF16998</v>
      </c>
      <c r="B10" s="124" t="str">
        <f t="shared" si="3"/>
        <v>HP16998</v>
      </c>
      <c r="D10" s="428" t="s">
        <v>80</v>
      </c>
      <c r="E10" s="188" t="s">
        <v>81</v>
      </c>
      <c r="G10" s="132">
        <f>VLOOKUP($D10,'RF Pendency Pivot'!$A:$T,14,0)</f>
        <v>-8712</v>
      </c>
      <c r="H10" s="132">
        <f>VLOOKUP($D10,'RF Pendency Pivot'!$A:$T,6,0)</f>
        <v>0</v>
      </c>
      <c r="I10" s="132">
        <f>VLOOKUP($D10,'RF Pendency Pivot'!$A:$T,7,0)</f>
        <v>-1121.6399999999999</v>
      </c>
      <c r="J10" s="132">
        <f>VLOOKUP($D10,'RF Pendency Pivot'!$A:$T,12,0)</f>
        <v>-1296.2399999999998</v>
      </c>
      <c r="K10" s="132">
        <f>VLOOKUP($D10,'RF Pendency Pivot'!$A:$T,19,0)</f>
        <v>-2513.64</v>
      </c>
      <c r="L10" s="132">
        <f>VLOOKUP($D10,'RF Pendency Pivot'!$A:$T,16,0)</f>
        <v>-5424</v>
      </c>
      <c r="M10" s="132">
        <f>VLOOKUP($D10,'RF Pendency Pivot'!$A:$T,18,0)</f>
        <v>-958.44</v>
      </c>
      <c r="N10" s="132">
        <f>VLOOKUP($D10,'RF Pendency Pivot'!$A:$U,21,0)</f>
        <v>-3932.04</v>
      </c>
      <c r="O10" s="457">
        <f t="shared" si="0"/>
        <v>-8712</v>
      </c>
      <c r="Q10" s="482">
        <f>VLOOKUP($D10,'RF Pendency Pivot'!$A:$T,4,0)</f>
        <v>-1211.52</v>
      </c>
      <c r="R10" s="132">
        <f>VLOOKUP($D10,'RF Pendency Pivot'!$A:$T,5,0)</f>
        <v>-3.1200000000000045</v>
      </c>
      <c r="S10" s="132">
        <f>VLOOKUP($D10,'RF Pendency Pivot'!$A:$T,8,0)</f>
        <v>-5127.96</v>
      </c>
      <c r="T10" s="132">
        <f>VLOOKUP($D10,'RF Pendency Pivot'!$A:$T,10,0)</f>
        <v>-83.28</v>
      </c>
      <c r="U10" s="132">
        <f>VLOOKUP($D10,'RF Pendency Pivot'!$A:$T,11,0)</f>
        <v>-1219.2</v>
      </c>
      <c r="V10" s="132">
        <f>VLOOKUP($D10,'RF Pendency Pivot'!$A:$T,13,0)</f>
        <v>-31861.68</v>
      </c>
      <c r="W10" s="132">
        <f>VLOOKUP($D10,'RF Pendency Pivot'!$A:$T,15,0)</f>
        <v>-4912.7999999999993</v>
      </c>
      <c r="X10" s="132">
        <f>VLOOKUP($D10,'RF Pendency Pivot'!$A:$T,20,0)</f>
        <v>0</v>
      </c>
      <c r="Y10" s="165">
        <f>VLOOKUP($D10,'RF Pendency Pivot'!$A:$T,17,0)</f>
        <v>-5763.96</v>
      </c>
      <c r="Z10" s="159">
        <f t="shared" ref="Z10:Z14" si="6">IF(W10&lt;0,W10+SUMIF(Q10:Y10,"&gt;0"),SUMIF(Q10:Y10,"&gt;0"))</f>
        <v>-4912.7999999999993</v>
      </c>
      <c r="AA10" s="258">
        <f t="shared" si="4"/>
        <v>-13624.8</v>
      </c>
      <c r="AB10" s="270" t="str">
        <f>IFERROR(VLOOKUP(A10,#REF!,2,0),"")</f>
        <v/>
      </c>
      <c r="AC10" s="178" t="str">
        <f>IFERROR(VLOOKUP(B10,#REF!,2,0),"")</f>
        <v/>
      </c>
    </row>
    <row r="11" spans="1:41" s="167" customFormat="1">
      <c r="A11" s="124" t="str">
        <f t="shared" si="2"/>
        <v>PF19750</v>
      </c>
      <c r="B11" s="124" t="str">
        <f t="shared" si="3"/>
        <v>HP19750</v>
      </c>
      <c r="D11" s="428" t="s">
        <v>92</v>
      </c>
      <c r="E11" s="188" t="s">
        <v>93</v>
      </c>
      <c r="F11" s="124"/>
      <c r="G11" s="132" t="e">
        <f>VLOOKUP($D11,'RF Pendency Pivot'!$A:$T,14,0)</f>
        <v>#N/A</v>
      </c>
      <c r="H11" s="132" t="e">
        <f>VLOOKUP($D11,'RF Pendency Pivot'!$A:$T,6,0)</f>
        <v>#N/A</v>
      </c>
      <c r="I11" s="132" t="e">
        <f>VLOOKUP($D11,'RF Pendency Pivot'!$A:$T,7,0)</f>
        <v>#N/A</v>
      </c>
      <c r="J11" s="132" t="e">
        <f>VLOOKUP($D11,'RF Pendency Pivot'!$A:$T,12,0)</f>
        <v>#N/A</v>
      </c>
      <c r="K11" s="132" t="e">
        <f>VLOOKUP($D11,'RF Pendency Pivot'!$A:$T,19,0)</f>
        <v>#N/A</v>
      </c>
      <c r="L11" s="132" t="e">
        <f>VLOOKUP($D11,'RF Pendency Pivot'!$A:$T,16,0)</f>
        <v>#N/A</v>
      </c>
      <c r="M11" s="132" t="e">
        <f>VLOOKUP($D11,'RF Pendency Pivot'!$A:$T,18,0)</f>
        <v>#N/A</v>
      </c>
      <c r="N11" s="132" t="e">
        <f>VLOOKUP($D11,'RF Pendency Pivot'!$A:$U,21,0)</f>
        <v>#N/A</v>
      </c>
      <c r="O11" s="457" t="e">
        <f t="shared" si="0"/>
        <v>#N/A</v>
      </c>
      <c r="P11" s="42"/>
      <c r="Q11" s="482" t="e">
        <f>VLOOKUP($D11,'RF Pendency Pivot'!$A:$T,4,0)</f>
        <v>#N/A</v>
      </c>
      <c r="R11" s="132" t="e">
        <f>VLOOKUP($D11,'RF Pendency Pivot'!$A:$T,5,0)</f>
        <v>#N/A</v>
      </c>
      <c r="S11" s="132" t="e">
        <f>VLOOKUP($D11,'RF Pendency Pivot'!$A:$T,8,0)</f>
        <v>#N/A</v>
      </c>
      <c r="T11" s="132" t="e">
        <f>VLOOKUP($D11,'RF Pendency Pivot'!$A:$T,10,0)</f>
        <v>#N/A</v>
      </c>
      <c r="U11" s="132" t="e">
        <f>VLOOKUP($D11,'RF Pendency Pivot'!$A:$T,11,0)</f>
        <v>#N/A</v>
      </c>
      <c r="V11" s="132" t="e">
        <f>VLOOKUP($D11,'RF Pendency Pivot'!$A:$T,13,0)</f>
        <v>#N/A</v>
      </c>
      <c r="W11" s="132" t="e">
        <f>VLOOKUP($D11,'RF Pendency Pivot'!$A:$T,15,0)</f>
        <v>#N/A</v>
      </c>
      <c r="X11" s="132" t="e">
        <f>VLOOKUP($D11,'RF Pendency Pivot'!$A:$T,20,0)</f>
        <v>#N/A</v>
      </c>
      <c r="Y11" s="165" t="e">
        <f>VLOOKUP($D11,'RF Pendency Pivot'!$A:$T,17,0)</f>
        <v>#N/A</v>
      </c>
      <c r="Z11" s="159" t="e">
        <f t="shared" si="6"/>
        <v>#N/A</v>
      </c>
      <c r="AA11" s="258" t="e">
        <f t="shared" si="4"/>
        <v>#N/A</v>
      </c>
      <c r="AB11" s="270" t="str">
        <f>IFERROR(VLOOKUP(A11,#REF!,2,0),"")</f>
        <v/>
      </c>
      <c r="AC11" s="178" t="str">
        <f>IFERROR(VLOOKUP(B11,#REF!,2,0),"")</f>
        <v/>
      </c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</row>
    <row r="12" spans="1:41" hidden="1">
      <c r="A12" s="124" t="str">
        <f t="shared" si="2"/>
        <v>PF20250</v>
      </c>
      <c r="B12" s="124" t="str">
        <f t="shared" si="3"/>
        <v>HP20250</v>
      </c>
      <c r="D12" s="429">
        <v>20250</v>
      </c>
      <c r="E12" s="188" t="s">
        <v>64</v>
      </c>
      <c r="G12" s="132" t="e">
        <f>VLOOKUP($D12,'RF Pendency Pivot'!$A:$T,14,0)+G13</f>
        <v>#N/A</v>
      </c>
      <c r="H12" s="132" t="e">
        <f>VLOOKUP($D12,'RF Pendency Pivot'!$A:$T,6,0)+H13</f>
        <v>#N/A</v>
      </c>
      <c r="I12" s="132" t="e">
        <f>VLOOKUP($D12,'RF Pendency Pivot'!$A:$T,7,0)+I13</f>
        <v>#N/A</v>
      </c>
      <c r="J12" s="132" t="e">
        <f>VLOOKUP($D12,'RF Pendency Pivot'!$A:$T,12,0)+J13</f>
        <v>#N/A</v>
      </c>
      <c r="K12" s="132" t="e">
        <f>VLOOKUP($D12,'RF Pendency Pivot'!$A:$T,19,0)+K13</f>
        <v>#N/A</v>
      </c>
      <c r="L12" s="132" t="e">
        <f>VLOOKUP($D12,'RF Pendency Pivot'!$A:$T,16,0)+L13</f>
        <v>#N/A</v>
      </c>
      <c r="M12" s="132" t="e">
        <f>VLOOKUP($D12,'RF Pendency Pivot'!$A:$T,18,0)+M13</f>
        <v>#N/A</v>
      </c>
      <c r="N12" s="132" t="e">
        <f>VLOOKUP($D12,'RF Pendency Pivot'!$A:$U,21,0)</f>
        <v>#N/A</v>
      </c>
      <c r="O12" s="457" t="e">
        <f t="shared" si="0"/>
        <v>#N/A</v>
      </c>
      <c r="Q12" s="482" t="e">
        <f>VLOOKUP($D12,'RF Pendency Pivot'!$A:$T,4,0)+Q13</f>
        <v>#N/A</v>
      </c>
      <c r="R12" s="132" t="e">
        <f>VLOOKUP($D12,'RF Pendency Pivot'!$A:$T,5,0)+R13</f>
        <v>#N/A</v>
      </c>
      <c r="S12" s="132" t="e">
        <f>VLOOKUP($D12,'RF Pendency Pivot'!$A:$T,8,0)+S13</f>
        <v>#N/A</v>
      </c>
      <c r="T12" s="132" t="e">
        <f>VLOOKUP($D12,'RF Pendency Pivot'!$A:$T,10,0)+T13</f>
        <v>#N/A</v>
      </c>
      <c r="U12" s="132" t="e">
        <f>VLOOKUP($D12,'RF Pendency Pivot'!$A:$T,11,0)+U13</f>
        <v>#N/A</v>
      </c>
      <c r="V12" s="132" t="e">
        <f>VLOOKUP($D12,'RF Pendency Pivot'!$A:$T,13,0)+V13</f>
        <v>#N/A</v>
      </c>
      <c r="W12" s="132" t="e">
        <f>VLOOKUP($D12,'RF Pendency Pivot'!$A:$T,15,0)+W13</f>
        <v>#N/A</v>
      </c>
      <c r="X12" s="132" t="e">
        <f>VLOOKUP($D12,'RF Pendency Pivot'!$A:$T,20,0)+X13</f>
        <v>#N/A</v>
      </c>
      <c r="Y12" s="165" t="e">
        <f>VLOOKUP($D12,'RF Pendency Pivot'!$A:$T,17,0)+Y13</f>
        <v>#N/A</v>
      </c>
      <c r="Z12" s="159" t="e">
        <f>IF(W12&lt;0,W12+SUMIF(Q12:Y12,"&gt;0"),SUMIF(Q12:Y12,"&gt;0"))+Z13</f>
        <v>#N/A</v>
      </c>
      <c r="AA12" s="258" t="e">
        <f>O12+Z12</f>
        <v>#N/A</v>
      </c>
      <c r="AB12" s="270" t="str">
        <f>IFERROR(VLOOKUP(A12,#REF!,2,0),"")</f>
        <v/>
      </c>
      <c r="AC12" s="178" t="str">
        <f>IFERROR(VLOOKUP(B12,#REF!,2,0),"")</f>
        <v/>
      </c>
    </row>
    <row r="13" spans="1:41" s="144" customFormat="1" ht="15">
      <c r="D13" s="458" t="s">
        <v>906</v>
      </c>
      <c r="E13" s="452" t="s">
        <v>912</v>
      </c>
      <c r="G13" s="453">
        <f>VLOOKUP($D13,'RF Pendency Pivot'!$A:$T,14,0)</f>
        <v>-1147.08</v>
      </c>
      <c r="H13" s="453">
        <f>VLOOKUP($D13,'RF Pendency Pivot'!$A:$T,6,0)</f>
        <v>0</v>
      </c>
      <c r="I13" s="453">
        <f>VLOOKUP($D13,'RF Pendency Pivot'!$A:$T,7,0)</f>
        <v>-19.5600000000004</v>
      </c>
      <c r="J13" s="453">
        <f>VLOOKUP($D13,'RF Pendency Pivot'!$A:$T,12,0)</f>
        <v>-1202.5200000000004</v>
      </c>
      <c r="K13" s="453">
        <f>VLOOKUP($D13,'RF Pendency Pivot'!$A:$T,19,0)</f>
        <v>-3417.96</v>
      </c>
      <c r="L13" s="453">
        <f>VLOOKUP($D13,'RF Pendency Pivot'!$A:$T,16,0)</f>
        <v>-2488.08</v>
      </c>
      <c r="M13" s="453">
        <f>VLOOKUP($D13,'RF Pendency Pivot'!$A:$T,18,0)</f>
        <v>-2428.44</v>
      </c>
      <c r="N13" s="132">
        <f>VLOOKUP($D13,'RF Pendency Pivot'!$A:$U,21,0)</f>
        <v>-6036.119999999999</v>
      </c>
      <c r="O13" s="457">
        <f t="shared" si="0"/>
        <v>-1147.08</v>
      </c>
      <c r="P13" s="309"/>
      <c r="Q13" s="483">
        <f>VLOOKUP($D13,'RF Pendency Pivot'!$A:$T,4,0)</f>
        <v>-25210.68</v>
      </c>
      <c r="R13" s="453">
        <f>VLOOKUP($D13,'RF Pendency Pivot'!$A:$T,5,0)</f>
        <v>-1139.6399999999999</v>
      </c>
      <c r="S13" s="453">
        <f>VLOOKUP($D13,'RF Pendency Pivot'!$A:$T,8,0)</f>
        <v>-2649.3599999999997</v>
      </c>
      <c r="T13" s="453">
        <f>VLOOKUP($D13,'RF Pendency Pivot'!$A:$T,10,0)</f>
        <v>-3030</v>
      </c>
      <c r="U13" s="453">
        <f>VLOOKUP($D13,'RF Pendency Pivot'!$A:$T,11,0)</f>
        <v>-1332</v>
      </c>
      <c r="V13" s="453">
        <f>VLOOKUP($D13,'RF Pendency Pivot'!$A:$T,13,0)</f>
        <v>-3445.2</v>
      </c>
      <c r="W13" s="453">
        <f>VLOOKUP($D13,'RF Pendency Pivot'!$A:$T,15,0)</f>
        <v>-3637.6800000000003</v>
      </c>
      <c r="X13" s="453">
        <f>VLOOKUP($D13,'RF Pendency Pivot'!$A:$T,20,0)</f>
        <v>0</v>
      </c>
      <c r="Y13" s="484">
        <f>VLOOKUP($D13,'RF Pendency Pivot'!$A:$T,17,0)</f>
        <v>-4147.8</v>
      </c>
      <c r="Z13" s="313">
        <f t="shared" ref="Z13" si="7">IF(W13&lt;0,W13+SUMIF(Q13:Y13,"&gt;0"),SUMIF(Q13:Y13,"&gt;0"))</f>
        <v>-3637.6800000000003</v>
      </c>
      <c r="AA13" s="310">
        <f t="shared" ref="AA13" si="8">O13+Z13</f>
        <v>-4784.76</v>
      </c>
      <c r="AB13" s="311"/>
      <c r="AC13" s="312"/>
    </row>
    <row r="14" spans="1:41" ht="13.5" thickBot="1">
      <c r="A14" s="124" t="str">
        <f t="shared" si="2"/>
        <v>PF20827</v>
      </c>
      <c r="B14" s="124" t="str">
        <f t="shared" si="3"/>
        <v>HP20827</v>
      </c>
      <c r="D14" s="428" t="s">
        <v>149</v>
      </c>
      <c r="E14" s="188" t="s">
        <v>177</v>
      </c>
      <c r="G14" s="132">
        <f>VLOOKUP($D14,'RF Pendency Pivot'!$A:$T,14,0)</f>
        <v>-7972.08</v>
      </c>
      <c r="H14" s="132">
        <f>VLOOKUP($D14,'RF Pendency Pivot'!$A:$T,6,0)</f>
        <v>0</v>
      </c>
      <c r="I14" s="132">
        <f>VLOOKUP($D14,'RF Pendency Pivot'!$A:$T,7,0)</f>
        <v>-277.68000000000006</v>
      </c>
      <c r="J14" s="132">
        <f>VLOOKUP($D14,'RF Pendency Pivot'!$A:$T,12,0)</f>
        <v>-1209.3599999999999</v>
      </c>
      <c r="K14" s="132">
        <f>VLOOKUP($D14,'RF Pendency Pivot'!$A:$T,19,0)</f>
        <v>-1620.6</v>
      </c>
      <c r="L14" s="132">
        <f>VLOOKUP($D14,'RF Pendency Pivot'!$A:$T,16,0)</f>
        <v>-4840.08</v>
      </c>
      <c r="M14" s="132">
        <f>VLOOKUP($D14,'RF Pendency Pivot'!$A:$T,18,0)</f>
        <v>-861.3599999999999</v>
      </c>
      <c r="N14" s="132">
        <f>VLOOKUP($D14,'RF Pendency Pivot'!$A:$U,21,0)</f>
        <v>-8564.0400000000009</v>
      </c>
      <c r="O14" s="457">
        <f t="shared" si="0"/>
        <v>-7972.08</v>
      </c>
      <c r="Q14" s="482">
        <f>VLOOKUP($D14,'RF Pendency Pivot'!$A:$T,4,0)</f>
        <v>-866.8799999999992</v>
      </c>
      <c r="R14" s="132">
        <f>VLOOKUP($D14,'RF Pendency Pivot'!$A:$T,5,0)</f>
        <v>-327.72</v>
      </c>
      <c r="S14" s="132">
        <f>VLOOKUP($D14,'RF Pendency Pivot'!$A:$T,8,0)</f>
        <v>-5021.16</v>
      </c>
      <c r="T14" s="132">
        <f>VLOOKUP($D14,'RF Pendency Pivot'!$A:$T,10,0)</f>
        <v>-1148.04</v>
      </c>
      <c r="U14" s="132">
        <f>VLOOKUP($D14,'RF Pendency Pivot'!$A:$T,11,0)</f>
        <v>-2568</v>
      </c>
      <c r="V14" s="132">
        <f>VLOOKUP($D14,'RF Pendency Pivot'!$A:$T,13,0)</f>
        <v>-5538.24</v>
      </c>
      <c r="W14" s="132">
        <f>VLOOKUP($D14,'RF Pendency Pivot'!$A:$T,15,0)</f>
        <v>-2461.3199999999997</v>
      </c>
      <c r="X14" s="132">
        <f>VLOOKUP($D14,'RF Pendency Pivot'!$A:$T,20,0)</f>
        <v>0</v>
      </c>
      <c r="Y14" s="165">
        <f>VLOOKUP($D14,'RF Pendency Pivot'!$A:$T,17,0)</f>
        <v>-3078.24</v>
      </c>
      <c r="Z14" s="159">
        <f t="shared" si="6"/>
        <v>-2461.3199999999997</v>
      </c>
      <c r="AA14" s="259">
        <f>O14+Z14</f>
        <v>-10433.4</v>
      </c>
      <c r="AB14" s="271" t="str">
        <f>IFERROR(VLOOKUP(A14,#REF!,2,0),"")</f>
        <v/>
      </c>
      <c r="AC14" s="180" t="str">
        <f>IFERROR(VLOOKUP(B14,#REF!,2,0),"")</f>
        <v/>
      </c>
    </row>
    <row r="15" spans="1:41">
      <c r="D15" s="170" t="s">
        <v>59</v>
      </c>
      <c r="E15" s="459" t="s">
        <v>60</v>
      </c>
      <c r="F15" s="171"/>
      <c r="G15" s="172">
        <f>VLOOKUP($D15,'RF Pendency Pivot'!$A:$T,14,0)</f>
        <v>-1644</v>
      </c>
      <c r="H15" s="172">
        <f>VLOOKUP($D15,'RF Pendency Pivot'!$A:$T,6,0)</f>
        <v>0</v>
      </c>
      <c r="I15" s="172">
        <f>VLOOKUP($D15,'RF Pendency Pivot'!$A:$T,7,0)</f>
        <v>-433.68000000000006</v>
      </c>
      <c r="J15" s="172">
        <f>VLOOKUP($D15,'RF Pendency Pivot'!$A:$T,12,0)</f>
        <v>-96.239999999999782</v>
      </c>
      <c r="K15" s="172">
        <f>VLOOKUP($D15,'RF Pendency Pivot'!$A:$T,19,0)</f>
        <v>-4181.28</v>
      </c>
      <c r="L15" s="172">
        <f>VLOOKUP($D15,'RF Pendency Pivot'!$A:$T,16,0)</f>
        <v>-984</v>
      </c>
      <c r="M15" s="172">
        <f>VLOOKUP($D15,'RF Pendency Pivot'!$A:$T,18,0)</f>
        <v>-504</v>
      </c>
      <c r="N15" s="172">
        <f>VLOOKUP($D15,'RF Pendency Pivot'!$A:$U,21,0)</f>
        <v>-1448.04</v>
      </c>
      <c r="O15" s="460">
        <f t="shared" ref="O15" si="9">IF(G15&lt;0,G15+SUMIF(G15:N15,"&gt;0"),SUMIF(G15:N15,"&gt;0"))</f>
        <v>-1644</v>
      </c>
      <c r="Q15" s="174">
        <f>VLOOKUP($D15,'RF Pendency Pivot'!$A:$T,4,0)</f>
        <v>-1794.6000000000004</v>
      </c>
      <c r="R15" s="172">
        <f>VLOOKUP($D15,'RF Pendency Pivot'!$A:$T,5,0)</f>
        <v>-52.5600000000004</v>
      </c>
      <c r="S15" s="172">
        <f>VLOOKUP($D15,'RF Pendency Pivot'!$A:$T,8,0)</f>
        <v>-6892.68</v>
      </c>
      <c r="T15" s="172">
        <f>VLOOKUP($D15,'RF Pendency Pivot'!$A:$T,10,0)</f>
        <v>-3683.28</v>
      </c>
      <c r="U15" s="172">
        <f>VLOOKUP($D15,'RF Pendency Pivot'!$A:$T,11,0)</f>
        <v>-7804.0800000000017</v>
      </c>
      <c r="V15" s="172">
        <f>VLOOKUP($D15,'RF Pendency Pivot'!$A:$T,13,0)</f>
        <v>-5761.2</v>
      </c>
      <c r="W15" s="172">
        <f>VLOOKUP($D15,'RF Pendency Pivot'!$A:$T,15,0)</f>
        <v>-5334.2400000000016</v>
      </c>
      <c r="X15" s="172">
        <f>VLOOKUP($D15,'RF Pendency Pivot'!$A:$T,20,0)</f>
        <v>0</v>
      </c>
      <c r="Y15" s="173">
        <f>VLOOKUP($D15,'RF Pendency Pivot'!$A:$T,17,0)</f>
        <v>-7108.68</v>
      </c>
      <c r="Z15" s="457">
        <f>SUMIF(Q15:Y15,"&gt;0")</f>
        <v>0</v>
      </c>
      <c r="AA15" s="156">
        <f t="shared" si="4"/>
        <v>-1644</v>
      </c>
      <c r="AB15" s="175"/>
    </row>
    <row r="16" spans="1:41" ht="26.25" thickBot="1">
      <c r="G16" s="42">
        <v>14</v>
      </c>
      <c r="H16" s="42">
        <v>6</v>
      </c>
      <c r="I16" s="42">
        <v>7</v>
      </c>
      <c r="J16" s="42">
        <v>12</v>
      </c>
      <c r="K16" s="42">
        <v>19</v>
      </c>
      <c r="L16" s="42">
        <v>16</v>
      </c>
      <c r="M16" s="42">
        <v>18</v>
      </c>
      <c r="Q16" s="241">
        <v>4</v>
      </c>
      <c r="R16" s="42">
        <v>5</v>
      </c>
      <c r="S16" s="42">
        <v>8</v>
      </c>
      <c r="T16" s="42">
        <v>10</v>
      </c>
      <c r="U16" s="42">
        <v>11</v>
      </c>
      <c r="V16" s="42">
        <v>13</v>
      </c>
      <c r="W16" s="42">
        <v>15</v>
      </c>
      <c r="X16" s="42">
        <v>20</v>
      </c>
      <c r="Y16" s="134">
        <v>17</v>
      </c>
      <c r="AB16" s="235" t="s">
        <v>897</v>
      </c>
      <c r="AC16" s="235" t="s">
        <v>897</v>
      </c>
    </row>
    <row r="17" spans="1:29" ht="39" thickBot="1">
      <c r="D17" s="465" t="s">
        <v>2</v>
      </c>
      <c r="E17" s="466" t="s">
        <v>4</v>
      </c>
      <c r="F17" s="467" t="s">
        <v>6</v>
      </c>
      <c r="G17" s="468" t="s">
        <v>121</v>
      </c>
      <c r="H17" s="468" t="s">
        <v>122</v>
      </c>
      <c r="I17" s="468" t="s">
        <v>123</v>
      </c>
      <c r="J17" s="468" t="s">
        <v>124</v>
      </c>
      <c r="K17" s="468" t="s">
        <v>717</v>
      </c>
      <c r="L17" s="468" t="s">
        <v>125</v>
      </c>
      <c r="M17" s="468" t="s">
        <v>176</v>
      </c>
      <c r="N17" s="468" t="s">
        <v>962</v>
      </c>
      <c r="O17" s="469" t="s">
        <v>126</v>
      </c>
      <c r="Q17" s="474" t="s">
        <v>127</v>
      </c>
      <c r="R17" s="468" t="s">
        <v>128</v>
      </c>
      <c r="S17" s="468" t="s">
        <v>129</v>
      </c>
      <c r="T17" s="468" t="s">
        <v>130</v>
      </c>
      <c r="U17" s="468" t="s">
        <v>131</v>
      </c>
      <c r="V17" s="468" t="s">
        <v>132</v>
      </c>
      <c r="W17" s="468" t="s">
        <v>133</v>
      </c>
      <c r="X17" s="468" t="s">
        <v>187</v>
      </c>
      <c r="Y17" s="436" t="s">
        <v>155</v>
      </c>
      <c r="Z17" s="157" t="s">
        <v>134</v>
      </c>
      <c r="AA17" s="158" t="s">
        <v>135</v>
      </c>
      <c r="AB17" s="286" t="s">
        <v>136</v>
      </c>
      <c r="AC17" s="283" t="s">
        <v>137</v>
      </c>
    </row>
    <row r="18" spans="1:29">
      <c r="B18" s="124" t="str">
        <f t="shared" ref="B18:B19" si="10">$AC$4&amp;D18</f>
        <v>HP23401</v>
      </c>
      <c r="D18" s="427" t="s">
        <v>194</v>
      </c>
      <c r="E18" s="432" t="s">
        <v>195</v>
      </c>
      <c r="F18" s="461"/>
      <c r="G18" s="87">
        <f>VLOOKUP($D18,'INV Days Pivot'!$A:$T,14,0)</f>
        <v>14.978601997146933</v>
      </c>
      <c r="H18" s="87">
        <f>VLOOKUP($D18,'INV Days Pivot'!$A:$T,6,0)</f>
        <v>0</v>
      </c>
      <c r="I18" s="87">
        <f>VLOOKUP($D18,'INV Days Pivot'!$A:$T,7,0)</f>
        <v>34.463038018748293</v>
      </c>
      <c r="J18" s="87">
        <f>VLOOKUP($D18,'INV Days Pivot'!$A:$T,12,0)</f>
        <v>21.757599618723969</v>
      </c>
      <c r="K18" s="87">
        <f>VLOOKUP($D18,'INV Days Pivot'!$A:$T,19,0)</f>
        <v>16.78895659743813</v>
      </c>
      <c r="L18" s="87">
        <f>VLOOKUP($D18,'INV Days Pivot'!$A:$T,16,0)</f>
        <v>0</v>
      </c>
      <c r="M18" s="87">
        <f>VLOOKUP($D18,'INV Days Pivot'!$A:$T,18,0)</f>
        <v>25.019203335893778</v>
      </c>
      <c r="N18" s="87">
        <f>VLOOKUP($D18,'INV Days Pivot'!$A:$U,21,0)</f>
        <v>22.941176470588236</v>
      </c>
      <c r="O18" s="470"/>
      <c r="Q18" s="111">
        <f>VLOOKUP($D18,'INV Days Pivot'!$A:$T,4,0)</f>
        <v>17.532649354192547</v>
      </c>
      <c r="R18" s="87">
        <f>VLOOKUP($D18,'INV Days Pivot'!$A:$T,5,0)</f>
        <v>18.370430053378993</v>
      </c>
      <c r="S18" s="87">
        <f>VLOOKUP($D18,'INV Days Pivot'!$A:$T,8,0)</f>
        <v>26.639147547278487</v>
      </c>
      <c r="T18" s="87">
        <f>VLOOKUP($D18,'INV Days Pivot'!$A:$T,10,0)</f>
        <v>9.7638451323977389</v>
      </c>
      <c r="U18" s="87">
        <f>VLOOKUP($D18,'INV Days Pivot'!$A:$T,11,0)</f>
        <v>17.354530633187952</v>
      </c>
      <c r="V18" s="87">
        <f>VLOOKUP($D18,'INV Days Pivot'!$A:$T,13,0)</f>
        <v>0</v>
      </c>
      <c r="W18" s="87">
        <f>VLOOKUP($D18,'INV Days Pivot'!$A:$T,15,0)</f>
        <v>22.32</v>
      </c>
      <c r="X18" s="87">
        <f>VLOOKUP($D18,'INV Days Pivot'!$A:$T,20,0)</f>
        <v>0</v>
      </c>
      <c r="Y18" s="113">
        <f>VLOOKUP($D18,'INV Days Pivot'!$A:$T,17,0)</f>
        <v>50.39838725160795</v>
      </c>
      <c r="Z18" s="317"/>
      <c r="AA18" s="289"/>
      <c r="AB18" s="255" t="str">
        <f>IFERROR(VLOOKUP(A18,#REF!,2,0),"")</f>
        <v/>
      </c>
      <c r="AC18" s="238" t="str">
        <f>IFERROR(VLOOKUP(B18,#REF!,2,0),"")</f>
        <v/>
      </c>
    </row>
    <row r="19" spans="1:29">
      <c r="A19" s="124" t="str">
        <f t="shared" ref="A19" si="11">$AB$4&amp;D19</f>
        <v>PF01167</v>
      </c>
      <c r="B19" s="124" t="str">
        <f t="shared" si="10"/>
        <v>HP01167</v>
      </c>
      <c r="D19" s="427" t="s">
        <v>53</v>
      </c>
      <c r="E19" s="188" t="s">
        <v>54</v>
      </c>
      <c r="G19" s="87">
        <f>VLOOKUP($D19,'INV Days Pivot'!$A:$T,14,0)</f>
        <v>20.99400171379606</v>
      </c>
      <c r="H19" s="87">
        <f>VLOOKUP($D19,'INV Days Pivot'!$A:$T,6,0)</f>
        <v>0</v>
      </c>
      <c r="I19" s="87">
        <f>VLOOKUP($D19,'INV Days Pivot'!$A:$T,7,0)</f>
        <v>51.109867562022004</v>
      </c>
      <c r="J19" s="87">
        <f>VLOOKUP($D19,'INV Days Pivot'!$A:$T,12,0)</f>
        <v>27.013346831126622</v>
      </c>
      <c r="K19" s="87">
        <f>VLOOKUP($D19,'INV Days Pivot'!$A:$T,19,0)</f>
        <v>27.179705819654657</v>
      </c>
      <c r="L19" s="87">
        <f>VLOOKUP($D19,'INV Days Pivot'!$A:$T,16,0)</f>
        <v>36.25</v>
      </c>
      <c r="M19" s="87">
        <f>VLOOKUP($D19,'INV Days Pivot'!$A:$T,18,0)</f>
        <v>34.13542249580302</v>
      </c>
      <c r="N19" s="87">
        <f>VLOOKUP($D19,'INV Days Pivot'!$A:$U,21,0)</f>
        <v>22.430298371881769</v>
      </c>
      <c r="O19" s="457"/>
      <c r="Q19" s="111">
        <f>VLOOKUP($D19,'INV Days Pivot'!$A:$T,4,0)</f>
        <v>18.054196914311213</v>
      </c>
      <c r="R19" s="87">
        <f>VLOOKUP($D19,'INV Days Pivot'!$A:$T,5,0)</f>
        <v>21.144294992556681</v>
      </c>
      <c r="S19" s="87">
        <f>VLOOKUP($D19,'INV Days Pivot'!$A:$T,8,0)</f>
        <v>53.728681306431838</v>
      </c>
      <c r="T19" s="87">
        <f>VLOOKUP($D19,'INV Days Pivot'!$A:$T,10,0)</f>
        <v>15.786437085442351</v>
      </c>
      <c r="U19" s="87">
        <f>VLOOKUP($D19,'INV Days Pivot'!$A:$T,11,0)</f>
        <v>18.63</v>
      </c>
      <c r="V19" s="87">
        <f>VLOOKUP($D19,'INV Days Pivot'!$A:$T,13,0)</f>
        <v>38.112927191679049</v>
      </c>
      <c r="W19" s="87">
        <f>VLOOKUP($D19,'INV Days Pivot'!$A:$T,15,0)</f>
        <v>17.81416197051151</v>
      </c>
      <c r="X19" s="87">
        <f>VLOOKUP($D19,'INV Days Pivot'!$A:$T,20,0)</f>
        <v>0</v>
      </c>
      <c r="Y19" s="113">
        <f>VLOOKUP($D19,'INV Days Pivot'!$A:$T,17,0)</f>
        <v>25.962707742196997</v>
      </c>
      <c r="Z19" s="159"/>
      <c r="AA19" s="290"/>
      <c r="AB19" s="256" t="str">
        <f>IFERROR(VLOOKUP(A19,#REF!,2,0),"")</f>
        <v/>
      </c>
      <c r="AC19" s="178" t="str">
        <f>IFERROR(VLOOKUP(B19,#REF!,2,0),"")</f>
        <v/>
      </c>
    </row>
    <row r="20" spans="1:29">
      <c r="A20" s="124" t="str">
        <f t="shared" ref="A20:A28" si="12">$AB$4&amp;D20</f>
        <v>PF15536</v>
      </c>
      <c r="B20" s="124" t="str">
        <f t="shared" ref="B20:B28" si="13">$AC$4&amp;D20</f>
        <v>HP15536</v>
      </c>
      <c r="D20" s="427" t="s">
        <v>71</v>
      </c>
      <c r="E20" s="188" t="s">
        <v>72</v>
      </c>
      <c r="G20" s="87">
        <f>VLOOKUP($D20,'INV Days Pivot'!$A:$T,14,0)</f>
        <v>23.385897054448083</v>
      </c>
      <c r="H20" s="87">
        <f>VLOOKUP($D20,'INV Days Pivot'!$A:$T,6,0)</f>
        <v>0</v>
      </c>
      <c r="I20" s="87">
        <f>VLOOKUP($D20,'INV Days Pivot'!$A:$T,7,0)</f>
        <v>22.094811914417566</v>
      </c>
      <c r="J20" s="87">
        <f>VLOOKUP($D20,'INV Days Pivot'!$A:$T,12,0)</f>
        <v>32.41126375334121</v>
      </c>
      <c r="K20" s="87">
        <f>VLOOKUP($D20,'INV Days Pivot'!$A:$T,19,0)</f>
        <v>39.199353515260768</v>
      </c>
      <c r="L20" s="87">
        <f>VLOOKUP($D20,'INV Days Pivot'!$A:$T,16,0)</f>
        <v>47.412189648758599</v>
      </c>
      <c r="M20" s="87">
        <f>VLOOKUP($D20,'INV Days Pivot'!$A:$T,18,0)</f>
        <v>31.262569015320487</v>
      </c>
      <c r="N20" s="87">
        <f>VLOOKUP($D20,'INV Days Pivot'!$A:$U,21,0)</f>
        <v>29.505882352941178</v>
      </c>
      <c r="O20" s="457"/>
      <c r="Q20" s="111">
        <f>VLOOKUP($D20,'INV Days Pivot'!$A:$T,4,0)</f>
        <v>23.544830776347236</v>
      </c>
      <c r="R20" s="87">
        <f>VLOOKUP($D20,'INV Days Pivot'!$A:$T,5,0)</f>
        <v>30.429998307093278</v>
      </c>
      <c r="S20" s="87">
        <f>VLOOKUP($D20,'INV Days Pivot'!$A:$T,8,0)</f>
        <v>33.326798666928056</v>
      </c>
      <c r="T20" s="87">
        <f>VLOOKUP($D20,'INV Days Pivot'!$A:$T,10,0)</f>
        <v>21.573571075819405</v>
      </c>
      <c r="U20" s="87">
        <f>VLOOKUP($D20,'INV Days Pivot'!$A:$T,11,0)</f>
        <v>32</v>
      </c>
      <c r="V20" s="87">
        <f>VLOOKUP($D20,'INV Days Pivot'!$A:$T,13,0)</f>
        <v>560.82399382912115</v>
      </c>
      <c r="W20" s="87">
        <f>VLOOKUP($D20,'INV Days Pivot'!$A:$T,15,0)</f>
        <v>30.455772767108577</v>
      </c>
      <c r="X20" s="87">
        <f>VLOOKUP($D20,'INV Days Pivot'!$A:$T,20,0)</f>
        <v>0</v>
      </c>
      <c r="Y20" s="113">
        <f>VLOOKUP($D20,'INV Days Pivot'!$A:$T,17,0)</f>
        <v>44.843171422348078</v>
      </c>
      <c r="Z20" s="159"/>
      <c r="AA20" s="290"/>
      <c r="AB20" s="256" t="str">
        <f>IFERROR(VLOOKUP(A20,#REF!,2,0),"")</f>
        <v/>
      </c>
      <c r="AC20" s="178" t="str">
        <f>IFERROR(VLOOKUP(B20,#REF!,2,0),"")</f>
        <v/>
      </c>
    </row>
    <row r="21" spans="1:29" hidden="1">
      <c r="A21" s="124" t="str">
        <f t="shared" si="12"/>
        <v>PF19602</v>
      </c>
      <c r="B21" s="124" t="str">
        <f t="shared" si="13"/>
        <v>HP19602</v>
      </c>
      <c r="D21" s="428" t="s">
        <v>114</v>
      </c>
      <c r="E21" s="188" t="s">
        <v>115</v>
      </c>
      <c r="G21" s="87" t="e">
        <f>VLOOKUP($D21,'INV Days Pivot'!$A:$T,14,0)</f>
        <v>#N/A</v>
      </c>
      <c r="H21" s="87" t="e">
        <f>VLOOKUP($D21,'INV Days Pivot'!$A:$T,6,0)</f>
        <v>#N/A</v>
      </c>
      <c r="I21" s="87" t="e">
        <f>VLOOKUP($D21,'INV Days Pivot'!$A:$T,7,0)</f>
        <v>#N/A</v>
      </c>
      <c r="J21" s="87" t="e">
        <f>VLOOKUP($D21,'INV Days Pivot'!$A:$T,12,0)</f>
        <v>#N/A</v>
      </c>
      <c r="K21" s="87" t="e">
        <f>VLOOKUP($D21,'INV Days Pivot'!$A:$T,19,0)</f>
        <v>#N/A</v>
      </c>
      <c r="L21" s="87" t="e">
        <f>VLOOKUP($D21,'INV Days Pivot'!$A:$T,16,0)</f>
        <v>#N/A</v>
      </c>
      <c r="M21" s="87" t="e">
        <f>VLOOKUP($D21,'INV Days Pivot'!$A:$T,18,0)</f>
        <v>#N/A</v>
      </c>
      <c r="N21" s="87" t="e">
        <f>VLOOKUP($D21,'INV Days Pivot'!$A:$U,21,0)</f>
        <v>#N/A</v>
      </c>
      <c r="O21" s="457"/>
      <c r="Q21" s="111" t="e">
        <f>VLOOKUP($D21,'INV Days Pivot'!$A:$T,4,0)</f>
        <v>#N/A</v>
      </c>
      <c r="R21" s="87" t="e">
        <f>VLOOKUP($D21,'INV Days Pivot'!$A:$T,5,0)</f>
        <v>#N/A</v>
      </c>
      <c r="S21" s="87" t="e">
        <f>VLOOKUP($D21,'INV Days Pivot'!$A:$T,8,0)</f>
        <v>#N/A</v>
      </c>
      <c r="T21" s="87" t="e">
        <f>VLOOKUP($D21,'INV Days Pivot'!$A:$T,10,0)</f>
        <v>#N/A</v>
      </c>
      <c r="U21" s="87" t="e">
        <f>VLOOKUP($D21,'INV Days Pivot'!$A:$T,11,0)</f>
        <v>#N/A</v>
      </c>
      <c r="V21" s="87" t="e">
        <f>VLOOKUP($D21,'INV Days Pivot'!$A:$T,13,0)</f>
        <v>#N/A</v>
      </c>
      <c r="W21" s="87" t="e">
        <f>VLOOKUP($D21,'INV Days Pivot'!$A:$T,15,0)</f>
        <v>#N/A</v>
      </c>
      <c r="X21" s="87" t="e">
        <f>VLOOKUP($D21,'INV Days Pivot'!$A:$T,20,0)</f>
        <v>#N/A</v>
      </c>
      <c r="Y21" s="113" t="e">
        <f>VLOOKUP($D21,'INV Days Pivot'!$A:$T,17,0)</f>
        <v>#N/A</v>
      </c>
      <c r="Z21" s="159"/>
      <c r="AA21" s="290"/>
      <c r="AB21" s="256" t="str">
        <f>IFERROR(VLOOKUP(A21,#REF!,2,0),"")</f>
        <v/>
      </c>
      <c r="AC21" s="178" t="str">
        <f>IFERROR(VLOOKUP(B21,#REF!,2,0),"")</f>
        <v/>
      </c>
    </row>
    <row r="22" spans="1:29" hidden="1">
      <c r="A22" s="124" t="str">
        <f t="shared" si="12"/>
        <v>PF16618</v>
      </c>
      <c r="B22" s="124" t="str">
        <f t="shared" si="13"/>
        <v>HP16618</v>
      </c>
      <c r="D22" s="428" t="s">
        <v>76</v>
      </c>
      <c r="E22" s="188" t="s">
        <v>77</v>
      </c>
      <c r="G22" s="87" t="e">
        <f>VLOOKUP($D22,'INV Days Pivot'!$A:$T,14,0)</f>
        <v>#N/A</v>
      </c>
      <c r="H22" s="87" t="e">
        <f>VLOOKUP($D22,'INV Days Pivot'!$A:$T,6,0)</f>
        <v>#N/A</v>
      </c>
      <c r="I22" s="87" t="e">
        <f>VLOOKUP($D22,'INV Days Pivot'!$A:$T,7,0)</f>
        <v>#N/A</v>
      </c>
      <c r="J22" s="87" t="e">
        <f>VLOOKUP($D22,'INV Days Pivot'!$A:$T,12,0)</f>
        <v>#N/A</v>
      </c>
      <c r="K22" s="87" t="e">
        <f>VLOOKUP($D22,'INV Days Pivot'!$A:$T,19,0)</f>
        <v>#N/A</v>
      </c>
      <c r="L22" s="87" t="e">
        <f>VLOOKUP($D22,'INV Days Pivot'!$A:$T,16,0)</f>
        <v>#N/A</v>
      </c>
      <c r="M22" s="87" t="e">
        <f>VLOOKUP($D22,'INV Days Pivot'!$A:$T,18,0)</f>
        <v>#N/A</v>
      </c>
      <c r="N22" s="87" t="e">
        <f>VLOOKUP($D22,'INV Days Pivot'!$A:$U,21,0)</f>
        <v>#N/A</v>
      </c>
      <c r="O22" s="457"/>
      <c r="Q22" s="111" t="e">
        <f>VLOOKUP($D22,'INV Days Pivot'!$A:$T,4,0)</f>
        <v>#N/A</v>
      </c>
      <c r="R22" s="87" t="e">
        <f>VLOOKUP($D22,'INV Days Pivot'!$A:$T,5,0)</f>
        <v>#N/A</v>
      </c>
      <c r="S22" s="87" t="e">
        <f>VLOOKUP($D22,'INV Days Pivot'!$A:$T,8,0)</f>
        <v>#N/A</v>
      </c>
      <c r="T22" s="87" t="e">
        <f>VLOOKUP($D22,'INV Days Pivot'!$A:$T,10,0)</f>
        <v>#N/A</v>
      </c>
      <c r="U22" s="87" t="e">
        <f>VLOOKUP($D22,'INV Days Pivot'!$A:$T,11,0)</f>
        <v>#N/A</v>
      </c>
      <c r="V22" s="87" t="e">
        <f>VLOOKUP($D22,'INV Days Pivot'!$A:$T,13,0)</f>
        <v>#N/A</v>
      </c>
      <c r="W22" s="87" t="e">
        <f>VLOOKUP($D22,'INV Days Pivot'!$A:$T,15,0)</f>
        <v>#N/A</v>
      </c>
      <c r="X22" s="87" t="e">
        <f>VLOOKUP($D22,'INV Days Pivot'!$A:$T,20,0)</f>
        <v>#N/A</v>
      </c>
      <c r="Y22" s="113" t="e">
        <f>VLOOKUP($D22,'INV Days Pivot'!$A:$T,17,0)</f>
        <v>#N/A</v>
      </c>
      <c r="Z22" s="159"/>
      <c r="AA22" s="290"/>
      <c r="AB22" s="256" t="str">
        <f>IFERROR(VLOOKUP(A22,#REF!,2,0),"")</f>
        <v/>
      </c>
      <c r="AC22" s="178" t="str">
        <f>IFERROR(VLOOKUP(B22,#REF!,2,0),"")</f>
        <v/>
      </c>
    </row>
    <row r="23" spans="1:29">
      <c r="A23" s="124" t="str">
        <f t="shared" si="12"/>
        <v>PF16984</v>
      </c>
      <c r="B23" s="124" t="str">
        <f t="shared" si="13"/>
        <v>HP16984</v>
      </c>
      <c r="D23" s="428" t="s">
        <v>78</v>
      </c>
      <c r="E23" s="188" t="s">
        <v>79</v>
      </c>
      <c r="G23" s="87">
        <f>VLOOKUP($D23,'INV Days Pivot'!$A:$T,14,0)</f>
        <v>70.588235294117652</v>
      </c>
      <c r="H23" s="87">
        <f>VLOOKUP($D23,'INV Days Pivot'!$A:$T,6,0)</f>
        <v>0</v>
      </c>
      <c r="I23" s="87">
        <f>VLOOKUP($D23,'INV Days Pivot'!$A:$T,7,0)</f>
        <v>90.951492537313442</v>
      </c>
      <c r="J23" s="87">
        <f>VLOOKUP($D23,'INV Days Pivot'!$A:$T,12,0)</f>
        <v>13.564536428471543</v>
      </c>
      <c r="K23" s="87">
        <f>VLOOKUP($D23,'INV Days Pivot'!$A:$T,19,0)</f>
        <v>51.772388059701498</v>
      </c>
      <c r="L23" s="87">
        <f>VLOOKUP($D23,'INV Days Pivot'!$A:$T,16,0)</f>
        <v>42.5</v>
      </c>
      <c r="M23" s="87">
        <f>VLOOKUP($D23,'INV Days Pivot'!$A:$T,18,0)</f>
        <v>16.791044776119406</v>
      </c>
      <c r="N23" s="87">
        <f>VLOOKUP($D23,'INV Days Pivot'!$A:$U,21,0)</f>
        <v>38.816108685104311</v>
      </c>
      <c r="O23" s="457"/>
      <c r="Q23" s="111">
        <f>VLOOKUP($D23,'INV Days Pivot'!$A:$T,4,0)</f>
        <v>31.094527363184081</v>
      </c>
      <c r="R23" s="87">
        <f>VLOOKUP($D23,'INV Days Pivot'!$A:$T,5,0)</f>
        <v>27.20269619643717</v>
      </c>
      <c r="S23" s="87">
        <f>VLOOKUP($D23,'INV Days Pivot'!$A:$T,8,0)</f>
        <v>20.860572922857482</v>
      </c>
      <c r="T23" s="87">
        <f>VLOOKUP($D23,'INV Days Pivot'!$A:$T,10,0)</f>
        <v>95.659875996457046</v>
      </c>
      <c r="U23" s="87">
        <f>VLOOKUP($D23,'INV Days Pivot'!$A:$T,11,0)</f>
        <v>189.32038834951459</v>
      </c>
      <c r="V23" s="87">
        <f>VLOOKUP($D23,'INV Days Pivot'!$A:$T,13,0)</f>
        <v>118.03161773445858</v>
      </c>
      <c r="W23" s="87">
        <f>VLOOKUP($D23,'INV Days Pivot'!$A:$T,15,0)</f>
        <v>36.653883884776604</v>
      </c>
      <c r="X23" s="87">
        <f>VLOOKUP($D23,'INV Days Pivot'!$A:$T,20,0)</f>
        <v>0</v>
      </c>
      <c r="Y23" s="113">
        <f>VLOOKUP($D23,'INV Days Pivot'!$A:$T,17,0)</f>
        <v>106.34328358208957</v>
      </c>
      <c r="Z23" s="159"/>
      <c r="AA23" s="290"/>
      <c r="AB23" s="256" t="str">
        <f>IFERROR(VLOOKUP(A23,#REF!,2,0),"")</f>
        <v/>
      </c>
      <c r="AC23" s="178" t="str">
        <f>IFERROR(VLOOKUP(B23,#REF!,2,0),"")</f>
        <v/>
      </c>
    </row>
    <row r="24" spans="1:29">
      <c r="A24" s="124" t="str">
        <f t="shared" si="12"/>
        <v>PF16998</v>
      </c>
      <c r="B24" s="124" t="str">
        <f t="shared" si="13"/>
        <v>HP16998</v>
      </c>
      <c r="D24" s="427" t="s">
        <v>80</v>
      </c>
      <c r="E24" s="188" t="s">
        <v>81</v>
      </c>
      <c r="G24" s="87">
        <f>VLOOKUP($D24,'INV Days Pivot'!$A:$T,14,0)</f>
        <v>38.76</v>
      </c>
      <c r="H24" s="87">
        <f>VLOOKUP($D24,'INV Days Pivot'!$A:$T,6,0)</f>
        <v>0</v>
      </c>
      <c r="I24" s="87">
        <f>VLOOKUP($D24,'INV Days Pivot'!$A:$T,7,0)</f>
        <v>38.875681722835971</v>
      </c>
      <c r="J24" s="87">
        <f>VLOOKUP($D24,'INV Days Pivot'!$A:$T,12,0)</f>
        <v>26.015198843768939</v>
      </c>
      <c r="K24" s="87">
        <f>VLOOKUP($D24,'INV Days Pivot'!$A:$T,19,0)</f>
        <v>49.503565934834292</v>
      </c>
      <c r="L24" s="87">
        <f>VLOOKUP($D24,'INV Days Pivot'!$A:$T,16,0)</f>
        <v>38.366834170854275</v>
      </c>
      <c r="M24" s="87">
        <f>VLOOKUP($D24,'INV Days Pivot'!$A:$T,18,0)</f>
        <v>56.293207505761004</v>
      </c>
      <c r="N24" s="87">
        <f>VLOOKUP($D24,'INV Days Pivot'!$A:$U,21,0)</f>
        <v>35.640356403564034</v>
      </c>
      <c r="O24" s="457"/>
      <c r="Q24" s="111">
        <f>VLOOKUP($D24,'INV Days Pivot'!$A:$T,4,0)</f>
        <v>41.683326669332267</v>
      </c>
      <c r="R24" s="87">
        <f>VLOOKUP($D24,'INV Days Pivot'!$A:$T,5,0)</f>
        <v>13.729977116704806</v>
      </c>
      <c r="S24" s="87">
        <f>VLOOKUP($D24,'INV Days Pivot'!$A:$T,8,0)</f>
        <v>42.797775342692333</v>
      </c>
      <c r="T24" s="87">
        <f>VLOOKUP($D24,'INV Days Pivot'!$A:$T,10,0)</f>
        <v>131.06796116504856</v>
      </c>
      <c r="U24" s="87">
        <f>VLOOKUP($D24,'INV Days Pivot'!$A:$T,11,0)</f>
        <v>64.093959731543634</v>
      </c>
      <c r="V24" s="87">
        <f>VLOOKUP($D24,'INV Days Pivot'!$A:$T,13,0)</f>
        <v>219.7213290460879</v>
      </c>
      <c r="W24" s="87">
        <f>VLOOKUP($D24,'INV Days Pivot'!$A:$T,15,0)</f>
        <v>22.469761190943863</v>
      </c>
      <c r="X24" s="87">
        <f>VLOOKUP($D24,'INV Days Pivot'!$A:$T,20,0)</f>
        <v>0</v>
      </c>
      <c r="Y24" s="113">
        <f>VLOOKUP($D24,'INV Days Pivot'!$A:$T,17,0)</f>
        <v>43.85221328591809</v>
      </c>
      <c r="Z24" s="159"/>
      <c r="AA24" s="290"/>
      <c r="AB24" s="256" t="str">
        <f>IFERROR(VLOOKUP(A24,#REF!,2,0),"")</f>
        <v/>
      </c>
      <c r="AC24" s="178" t="str">
        <f>IFERROR(VLOOKUP(B24,#REF!,2,0),"")</f>
        <v/>
      </c>
    </row>
    <row r="25" spans="1:29">
      <c r="A25" s="124" t="str">
        <f t="shared" si="12"/>
        <v>PF19750</v>
      </c>
      <c r="B25" s="124" t="str">
        <f t="shared" si="13"/>
        <v>HP19750</v>
      </c>
      <c r="D25" s="428" t="s">
        <v>92</v>
      </c>
      <c r="E25" s="188" t="s">
        <v>93</v>
      </c>
      <c r="G25" s="87" t="e">
        <f>VLOOKUP($D25,'INV Days Pivot'!$A:$T,14,0)</f>
        <v>#N/A</v>
      </c>
      <c r="H25" s="87" t="e">
        <f>VLOOKUP($D25,'INV Days Pivot'!$A:$T,6,0)</f>
        <v>#N/A</v>
      </c>
      <c r="I25" s="87" t="e">
        <f>VLOOKUP($D25,'INV Days Pivot'!$A:$T,7,0)</f>
        <v>#N/A</v>
      </c>
      <c r="J25" s="87" t="e">
        <f>VLOOKUP($D25,'INV Days Pivot'!$A:$T,12,0)</f>
        <v>#N/A</v>
      </c>
      <c r="K25" s="87" t="e">
        <f>VLOOKUP($D25,'INV Days Pivot'!$A:$T,19,0)</f>
        <v>#N/A</v>
      </c>
      <c r="L25" s="87" t="e">
        <f>VLOOKUP($D25,'INV Days Pivot'!$A:$T,16,0)</f>
        <v>#N/A</v>
      </c>
      <c r="M25" s="87" t="e">
        <f>VLOOKUP($D25,'INV Days Pivot'!$A:$T,18,0)</f>
        <v>#N/A</v>
      </c>
      <c r="N25" s="87" t="e">
        <f>VLOOKUP($D25,'INV Days Pivot'!$A:$U,21,0)</f>
        <v>#N/A</v>
      </c>
      <c r="O25" s="457"/>
      <c r="Q25" s="111" t="e">
        <f>VLOOKUP($D25,'INV Days Pivot'!$A:$T,4,0)</f>
        <v>#N/A</v>
      </c>
      <c r="R25" s="87" t="e">
        <f>VLOOKUP($D25,'INV Days Pivot'!$A:$T,5,0)</f>
        <v>#N/A</v>
      </c>
      <c r="S25" s="87" t="e">
        <f>VLOOKUP($D25,'INV Days Pivot'!$A:$T,8,0)</f>
        <v>#N/A</v>
      </c>
      <c r="T25" s="87" t="e">
        <f>VLOOKUP($D25,'INV Days Pivot'!$A:$T,10,0)</f>
        <v>#N/A</v>
      </c>
      <c r="U25" s="87" t="e">
        <f>VLOOKUP($D25,'INV Days Pivot'!$A:$T,11,0)</f>
        <v>#N/A</v>
      </c>
      <c r="V25" s="87" t="e">
        <f>VLOOKUP($D25,'INV Days Pivot'!$A:$T,13,0)</f>
        <v>#N/A</v>
      </c>
      <c r="W25" s="87" t="e">
        <f>VLOOKUP($D25,'INV Days Pivot'!$A:$T,15,0)</f>
        <v>#N/A</v>
      </c>
      <c r="X25" s="87" t="e">
        <f>VLOOKUP($D25,'INV Days Pivot'!$A:$T,20,0)</f>
        <v>#N/A</v>
      </c>
      <c r="Y25" s="113" t="e">
        <f>VLOOKUP($D25,'INV Days Pivot'!$A:$T,17,0)</f>
        <v>#N/A</v>
      </c>
      <c r="Z25" s="159"/>
      <c r="AA25" s="290"/>
      <c r="AB25" s="256" t="str">
        <f>IFERROR(VLOOKUP(A25,#REF!,2,0),"")</f>
        <v/>
      </c>
      <c r="AC25" s="178" t="str">
        <f>IFERROR(VLOOKUP(B25,#REF!,2,0),"")</f>
        <v/>
      </c>
    </row>
    <row r="26" spans="1:29" ht="12" hidden="1" customHeight="1">
      <c r="A26" s="124" t="str">
        <f t="shared" si="12"/>
        <v>PF20250</v>
      </c>
      <c r="B26" s="124" t="str">
        <f t="shared" si="13"/>
        <v>HP20250</v>
      </c>
      <c r="D26" s="429">
        <v>20250</v>
      </c>
      <c r="E26" s="188" t="s">
        <v>64</v>
      </c>
      <c r="G26" s="87" t="e">
        <f>VLOOKUP($D26,'INV Days Pivot'!$A:$T,14,0)+G27</f>
        <v>#N/A</v>
      </c>
      <c r="H26" s="87" t="e">
        <f>VLOOKUP($D26,'INV Days Pivot'!$A:$T,6,0)+H27</f>
        <v>#N/A</v>
      </c>
      <c r="I26" s="87" t="e">
        <f>VLOOKUP($D26,'INV Days Pivot'!$A:$T,7,0)+I27</f>
        <v>#N/A</v>
      </c>
      <c r="J26" s="87" t="e">
        <f>VLOOKUP($D26,'INV Days Pivot'!$A:$T,12,0)+J27</f>
        <v>#N/A</v>
      </c>
      <c r="K26" s="87" t="e">
        <f>VLOOKUP($D26,'INV Days Pivot'!$A:$T,19,0)+K27</f>
        <v>#N/A</v>
      </c>
      <c r="L26" s="87" t="e">
        <f>VLOOKUP($D26,'INV Days Pivot'!$A:$T,16,0)+L27</f>
        <v>#N/A</v>
      </c>
      <c r="M26" s="87" t="e">
        <f>VLOOKUP($D26,'INV Days Pivot'!$A:$T,18,0)+M27</f>
        <v>#N/A</v>
      </c>
      <c r="N26" s="87" t="e">
        <f>VLOOKUP($D26,'INV Days Pivot'!$A:$U,21,0)</f>
        <v>#N/A</v>
      </c>
      <c r="O26" s="457"/>
      <c r="Q26" s="111" t="e">
        <f>VLOOKUP($D26,'INV Days Pivot'!$A:$T,4,0)+Q27</f>
        <v>#N/A</v>
      </c>
      <c r="R26" s="87" t="e">
        <f>VLOOKUP($D26,'INV Days Pivot'!$A:$T,5,0)+R27</f>
        <v>#N/A</v>
      </c>
      <c r="S26" s="87" t="e">
        <f>VLOOKUP($D26,'INV Days Pivot'!$A:$T,8,0)+S27</f>
        <v>#N/A</v>
      </c>
      <c r="T26" s="87" t="e">
        <f>VLOOKUP($D26,'INV Days Pivot'!$A:$T,10,0)+T27</f>
        <v>#N/A</v>
      </c>
      <c r="U26" s="87" t="e">
        <f>VLOOKUP($D26,'INV Days Pivot'!$A:$T,11,0)+U27</f>
        <v>#N/A</v>
      </c>
      <c r="V26" s="87" t="e">
        <f>VLOOKUP($D26,'INV Days Pivot'!$A:$T,13,0)+V27</f>
        <v>#N/A</v>
      </c>
      <c r="W26" s="87" t="e">
        <f>VLOOKUP($D26,'INV Days Pivot'!$A:$T,15,0)+W27</f>
        <v>#N/A</v>
      </c>
      <c r="X26" s="87" t="e">
        <f>VLOOKUP($D26,'INV Days Pivot'!$A:$T,20,0)+X27</f>
        <v>#N/A</v>
      </c>
      <c r="Y26" s="113" t="e">
        <f>VLOOKUP($D26,'INV Days Pivot'!$A:$T,17,0)+Y27</f>
        <v>#N/A</v>
      </c>
      <c r="Z26" s="159"/>
      <c r="AA26" s="290"/>
      <c r="AB26" s="256" t="str">
        <f>IFERROR(VLOOKUP(A26,#REF!,2,0),"")</f>
        <v/>
      </c>
      <c r="AC26" s="178" t="str">
        <f>IFERROR(VLOOKUP(B26,#REF!,2,0),"")</f>
        <v/>
      </c>
    </row>
    <row r="27" spans="1:29" s="144" customFormat="1" ht="15">
      <c r="D27" s="471" t="s">
        <v>906</v>
      </c>
      <c r="E27" s="462" t="s">
        <v>912</v>
      </c>
      <c r="G27" s="463">
        <f>VLOOKUP($D27,'INV Days Pivot'!$A:$T,14,0)</f>
        <v>17.514096102988873</v>
      </c>
      <c r="H27" s="463">
        <f>VLOOKUP($D27,'INV Days Pivot'!$A:$T,6,0)</f>
        <v>0</v>
      </c>
      <c r="I27" s="463">
        <f>VLOOKUP($D27,'INV Days Pivot'!$A:$T,7,0)</f>
        <v>22.138157018408503</v>
      </c>
      <c r="J27" s="463">
        <f>VLOOKUP($D27,'INV Days Pivot'!$A:$T,12,0)</f>
        <v>26.591193312709805</v>
      </c>
      <c r="K27" s="463">
        <f>VLOOKUP($D27,'INV Days Pivot'!$A:$T,19,0)</f>
        <v>41.25121217395629</v>
      </c>
      <c r="L27" s="463">
        <f>VLOOKUP($D27,'INV Days Pivot'!$A:$T,16,0)</f>
        <v>21.703353219502159</v>
      </c>
      <c r="M27" s="463">
        <f>VLOOKUP($D27,'INV Days Pivot'!$A:$T,18,0)</f>
        <v>49.405745349890751</v>
      </c>
      <c r="N27" s="87">
        <f>VLOOKUP($D27,'INV Days Pivot'!$A:$U,21,0)</f>
        <v>21.747826140468558</v>
      </c>
      <c r="O27" s="472"/>
      <c r="P27" s="309"/>
      <c r="Q27" s="475">
        <f>VLOOKUP($D27,'INV Days Pivot'!$A:$T,4,0)</f>
        <v>97.319958077556521</v>
      </c>
      <c r="R27" s="463">
        <f>VLOOKUP($D27,'INV Days Pivot'!$A:$T,5,0)</f>
        <v>35.695086549833348</v>
      </c>
      <c r="S27" s="463">
        <f>VLOOKUP($D27,'INV Days Pivot'!$A:$T,8,0)</f>
        <v>27.704123617079638</v>
      </c>
      <c r="T27" s="463">
        <f>VLOOKUP($D27,'INV Days Pivot'!$A:$T,10,0)</f>
        <v>38.691588785046726</v>
      </c>
      <c r="U27" s="463">
        <f>VLOOKUP($D27,'INV Days Pivot'!$A:$T,11,0)</f>
        <v>31.08</v>
      </c>
      <c r="V27" s="463">
        <f>VLOOKUP($D27,'INV Days Pivot'!$A:$T,13,0)</f>
        <v>50.240770465489561</v>
      </c>
      <c r="W27" s="463">
        <f>VLOOKUP($D27,'INV Days Pivot'!$A:$T,15,0)</f>
        <v>33.812341504649197</v>
      </c>
      <c r="X27" s="463">
        <f>VLOOKUP($D27,'INV Days Pivot'!$A:$T,20,0)</f>
        <v>0</v>
      </c>
      <c r="Y27" s="476">
        <f>VLOOKUP($D27,'INV Days Pivot'!$A:$T,17,0)</f>
        <v>53.076511503477796</v>
      </c>
      <c r="Z27" s="313"/>
      <c r="AA27" s="314"/>
      <c r="AB27" s="315"/>
      <c r="AC27" s="312"/>
    </row>
    <row r="28" spans="1:29" ht="13.5" thickBot="1">
      <c r="A28" s="124" t="str">
        <f t="shared" si="12"/>
        <v>PF20827</v>
      </c>
      <c r="B28" s="124" t="str">
        <f t="shared" si="13"/>
        <v>HP20827</v>
      </c>
      <c r="D28" s="473" t="s">
        <v>149</v>
      </c>
      <c r="E28" s="464" t="s">
        <v>177</v>
      </c>
      <c r="G28" s="87">
        <f>VLOOKUP($D28,'INV Days Pivot'!$A:$T,14,0)</f>
        <v>33.988635160413651</v>
      </c>
      <c r="H28" s="87">
        <f>VLOOKUP($D28,'INV Days Pivot'!$A:$T,6,0)</f>
        <v>0</v>
      </c>
      <c r="I28" s="87">
        <f>VLOOKUP($D28,'INV Days Pivot'!$A:$T,7,0)</f>
        <v>23.652248028979333</v>
      </c>
      <c r="J28" s="87">
        <f>VLOOKUP($D28,'INV Days Pivot'!$A:$T,12,0)</f>
        <v>22.663682148852825</v>
      </c>
      <c r="K28" s="87">
        <f>VLOOKUP($D28,'INV Days Pivot'!$A:$T,19,0)</f>
        <v>24.716053568401424</v>
      </c>
      <c r="L28" s="87">
        <f>VLOOKUP($D28,'INV Days Pivot'!$A:$T,16,0)</f>
        <v>60.687101419461015</v>
      </c>
      <c r="M28" s="87">
        <f>VLOOKUP($D28,'INV Days Pivot'!$A:$T,18,0)</f>
        <v>33.855623950755451</v>
      </c>
      <c r="N28" s="87">
        <f>VLOOKUP($D28,'INV Days Pivot'!$A:$U,21,0)</f>
        <v>29.700106071807401</v>
      </c>
      <c r="O28" s="457"/>
      <c r="Q28" s="111">
        <f>VLOOKUP($D28,'INV Days Pivot'!$A:$T,4,0)</f>
        <v>11.049723756906078</v>
      </c>
      <c r="R28" s="87">
        <f>VLOOKUP($D28,'INV Days Pivot'!$A:$T,5,0)</f>
        <v>22.25905754203173</v>
      </c>
      <c r="S28" s="87">
        <f>VLOOKUP($D28,'INV Days Pivot'!$A:$T,8,0)</f>
        <v>31.406128755598509</v>
      </c>
      <c r="T28" s="87">
        <f>VLOOKUP($D28,'INV Days Pivot'!$A:$T,10,0)</f>
        <v>16.200294550810014</v>
      </c>
      <c r="U28" s="87">
        <f>VLOOKUP($D28,'INV Days Pivot'!$A:$T,11,0)</f>
        <v>47.828571428571429</v>
      </c>
      <c r="V28" s="87">
        <f>VLOOKUP($D28,'INV Days Pivot'!$A:$T,13,0)</f>
        <v>62.944678379555683</v>
      </c>
      <c r="W28" s="87">
        <f>VLOOKUP($D28,'INV Days Pivot'!$A:$T,15,0)</f>
        <v>21.456189075859061</v>
      </c>
      <c r="X28" s="87">
        <f>VLOOKUP($D28,'INV Days Pivot'!$A:$T,20,0)</f>
        <v>0</v>
      </c>
      <c r="Y28" s="113">
        <f>VLOOKUP($D28,'INV Days Pivot'!$A:$T,17,0)</f>
        <v>40.293306229127339</v>
      </c>
      <c r="Z28" s="163"/>
      <c r="AA28" s="291"/>
      <c r="AB28" s="257" t="str">
        <f>IFERROR(VLOOKUP(A28,#REF!,2,0),"")</f>
        <v/>
      </c>
      <c r="AC28" s="180" t="str">
        <f>IFERROR(VLOOKUP(B28,#REF!,2,0),"")</f>
        <v/>
      </c>
    </row>
    <row r="29" spans="1:29">
      <c r="D29" s="170" t="s">
        <v>59</v>
      </c>
      <c r="E29" s="459" t="s">
        <v>60</v>
      </c>
      <c r="F29" s="171"/>
      <c r="G29" s="55">
        <f>VLOOKUP($D29,'INV Days Pivot'!$A:$T,14,0)</f>
        <v>17.653846153846153</v>
      </c>
      <c r="H29" s="55">
        <f>VLOOKUP($D29,'INV Days Pivot'!$A:$T,6,0)</f>
        <v>0</v>
      </c>
      <c r="I29" s="55">
        <f>VLOOKUP($D29,'INV Days Pivot'!$A:$T,7,0)</f>
        <v>40.592371617302369</v>
      </c>
      <c r="J29" s="55">
        <f>VLOOKUP($D29,'INV Days Pivot'!$A:$T,12,0)</f>
        <v>17.972865867872628</v>
      </c>
      <c r="K29" s="55">
        <f>VLOOKUP($D29,'INV Days Pivot'!$A:$T,19,0)</f>
        <v>56.719072756483818</v>
      </c>
      <c r="L29" s="55">
        <f>VLOOKUP($D29,'INV Days Pivot'!$A:$T,16,0)</f>
        <v>75.319148936170208</v>
      </c>
      <c r="M29" s="55">
        <f>VLOOKUP($D29,'INV Days Pivot'!$A:$T,18,0)</f>
        <v>0</v>
      </c>
      <c r="N29" s="55">
        <f>VLOOKUP($D29,'INV Days Pivot'!$A:$U,21,0)</f>
        <v>24.428920413148756</v>
      </c>
      <c r="O29" s="460"/>
      <c r="Q29" s="114">
        <f>VLOOKUP($D29,'INV Days Pivot'!$A:$T,4,0)</f>
        <v>16.938904871032229</v>
      </c>
      <c r="R29" s="55">
        <f>VLOOKUP($D29,'INV Days Pivot'!$A:$T,5,0)</f>
        <v>16.813513372608313</v>
      </c>
      <c r="S29" s="55">
        <f>VLOOKUP($D29,'INV Days Pivot'!$A:$T,8,0)</f>
        <v>41.291409912045083</v>
      </c>
      <c r="T29" s="55">
        <f>VLOOKUP($D29,'INV Days Pivot'!$A:$T,10,0)</f>
        <v>40.592100614710667</v>
      </c>
      <c r="U29" s="55">
        <f>VLOOKUP($D29,'INV Days Pivot'!$A:$T,11,0)</f>
        <v>19.513533105414222</v>
      </c>
      <c r="V29" s="55">
        <f>VLOOKUP($D29,'INV Days Pivot'!$A:$T,13,0)</f>
        <v>91.492776886035301</v>
      </c>
      <c r="W29" s="55">
        <f>VLOOKUP($D29,'INV Days Pivot'!$A:$T,15,0)</f>
        <v>18.532897892068423</v>
      </c>
      <c r="X29" s="55">
        <f>VLOOKUP($D29,'INV Days Pivot'!$A:$T,20,0)</f>
        <v>0</v>
      </c>
      <c r="Y29" s="116">
        <f>VLOOKUP($D29,'INV Days Pivot'!$A:$T,17,0)</f>
        <v>38.00109682856035</v>
      </c>
    </row>
    <row r="45" spans="8:8">
      <c r="H45" s="181">
        <v>181.7</v>
      </c>
    </row>
    <row r="47" spans="8:8">
      <c r="H47" s="42">
        <f>H45*2</f>
        <v>363.4</v>
      </c>
    </row>
    <row r="48" spans="8:8">
      <c r="H48" s="42">
        <f>+H47*35</f>
        <v>12719</v>
      </c>
    </row>
  </sheetData>
  <conditionalFormatting sqref="G18:N29 Q18:Y29">
    <cfRule type="cellIs" dxfId="2175" priority="5" operator="lessThan">
      <formula>10</formula>
    </cfRule>
  </conditionalFormatting>
  <conditionalFormatting sqref="G5:O15 Q5:AA15">
    <cfRule type="cellIs" dxfId="2174" priority="7" operator="lessThanOrEqual">
      <formula>0</formula>
    </cfRule>
  </conditionalFormatting>
  <conditionalFormatting sqref="H20">
    <cfRule type="cellIs" dxfId="2173" priority="60" operator="lessThan">
      <formula>10</formula>
    </cfRule>
  </conditionalFormatting>
  <conditionalFormatting sqref="Y18:Y29">
    <cfRule type="cellIs" dxfId="2172" priority="29" operator="lessThan">
      <formula>10</formula>
    </cfRule>
  </conditionalFormatting>
  <conditionalFormatting sqref="Z18:AA28 O19:O29">
    <cfRule type="cellIs" dxfId="2171" priority="30" operator="lessThan">
      <formula>0</formula>
    </cfRule>
  </conditionalFormatting>
  <pageMargins left="0.7" right="0.7" top="0.75" bottom="0.75" header="0.3" footer="0.3"/>
  <pageSetup paperSize="9" orientation="portrait" r:id="rId1"/>
  <ignoredErrors>
    <ignoredError sqref="Q26:Y26 G26:M26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AEF8-8670-49E2-A0F2-9B0976ECFB63}">
  <sheetPr>
    <tabColor rgb="FF00B0F0"/>
  </sheetPr>
  <dimension ref="A1:AC29"/>
  <sheetViews>
    <sheetView showGridLines="0" topLeftCell="C1" zoomScale="80" zoomScaleNormal="80" workbookViewId="0">
      <selection activeCell="E4" sqref="E4"/>
    </sheetView>
  </sheetViews>
  <sheetFormatPr defaultColWidth="9.140625" defaultRowHeight="12.75"/>
  <cols>
    <col min="1" max="1" width="0" style="124" hidden="1" customWidth="1"/>
    <col min="2" max="2" width="9.140625" style="124" hidden="1" customWidth="1"/>
    <col min="3" max="3" width="3.85546875" style="124" customWidth="1"/>
    <col min="4" max="4" width="8.42578125" style="124" customWidth="1"/>
    <col min="5" max="5" width="31.5703125" style="124" bestFit="1" customWidth="1"/>
    <col min="6" max="6" width="6.140625" style="124" hidden="1" customWidth="1"/>
    <col min="7" max="9" width="5.85546875" style="42" bestFit="1" customWidth="1"/>
    <col min="10" max="10" width="6.28515625" style="42" bestFit="1" customWidth="1"/>
    <col min="11" max="12" width="5.85546875" style="42" bestFit="1" customWidth="1"/>
    <col min="13" max="14" width="6.28515625" style="42" bestFit="1" customWidth="1"/>
    <col min="15" max="15" width="9.85546875" style="42" bestFit="1" customWidth="1"/>
    <col min="16" max="16" width="2.5703125" style="124" customWidth="1"/>
    <col min="17" max="17" width="5.85546875" style="42" bestFit="1" customWidth="1"/>
    <col min="18" max="18" width="6.28515625" style="42" bestFit="1" customWidth="1"/>
    <col min="19" max="19" width="5.85546875" style="42" bestFit="1" customWidth="1"/>
    <col min="20" max="21" width="6.28515625" style="42" bestFit="1" customWidth="1"/>
    <col min="22" max="22" width="7.28515625" style="42" bestFit="1" customWidth="1"/>
    <col min="23" max="25" width="6.28515625" style="42" bestFit="1" customWidth="1"/>
    <col min="26" max="26" width="9.5703125" style="124" customWidth="1"/>
    <col min="27" max="27" width="7" style="124" customWidth="1"/>
    <col min="28" max="28" width="10.140625" style="42" customWidth="1"/>
    <col min="29" max="16384" width="9.140625" style="124"/>
  </cols>
  <sheetData>
    <row r="1" spans="1:29" ht="26.25" thickBot="1">
      <c r="G1" s="42">
        <v>14</v>
      </c>
      <c r="H1" s="42">
        <v>6</v>
      </c>
      <c r="I1" s="42">
        <v>7</v>
      </c>
      <c r="J1" s="42">
        <v>12</v>
      </c>
      <c r="K1" s="42">
        <v>19</v>
      </c>
      <c r="L1" s="42">
        <v>16</v>
      </c>
      <c r="M1" s="42">
        <v>18</v>
      </c>
      <c r="N1" s="42">
        <v>21</v>
      </c>
      <c r="Q1" s="42">
        <v>4</v>
      </c>
      <c r="R1" s="42">
        <v>5</v>
      </c>
      <c r="S1" s="42">
        <v>8</v>
      </c>
      <c r="T1" s="42">
        <v>10</v>
      </c>
      <c r="U1" s="42">
        <v>11</v>
      </c>
      <c r="V1" s="42">
        <v>13</v>
      </c>
      <c r="W1" s="42">
        <v>15</v>
      </c>
      <c r="X1" s="42">
        <v>20</v>
      </c>
      <c r="Y1" s="42">
        <v>17</v>
      </c>
      <c r="AB1" s="235" t="s">
        <v>897</v>
      </c>
      <c r="AC1" s="235" t="s">
        <v>897</v>
      </c>
    </row>
    <row r="2" spans="1:29" s="187" customFormat="1" ht="31.5" customHeight="1" thickBot="1">
      <c r="A2" s="187" t="s">
        <v>898</v>
      </c>
      <c r="B2" s="187" t="s">
        <v>899</v>
      </c>
      <c r="D2" s="344" t="s">
        <v>2</v>
      </c>
      <c r="E2" s="345" t="s">
        <v>4</v>
      </c>
      <c r="F2" s="335" t="s">
        <v>6</v>
      </c>
      <c r="G2" s="335" t="s">
        <v>121</v>
      </c>
      <c r="H2" s="335" t="s">
        <v>122</v>
      </c>
      <c r="I2" s="335" t="s">
        <v>123</v>
      </c>
      <c r="J2" s="335" t="s">
        <v>124</v>
      </c>
      <c r="K2" s="335" t="s">
        <v>717</v>
      </c>
      <c r="L2" s="335" t="s">
        <v>125</v>
      </c>
      <c r="M2" s="335" t="s">
        <v>176</v>
      </c>
      <c r="N2" s="335" t="s">
        <v>962</v>
      </c>
      <c r="O2" s="346" t="s">
        <v>126</v>
      </c>
      <c r="Q2" s="221" t="s">
        <v>127</v>
      </c>
      <c r="R2" s="186" t="s">
        <v>128</v>
      </c>
      <c r="S2" s="186" t="s">
        <v>129</v>
      </c>
      <c r="T2" s="186" t="s">
        <v>130</v>
      </c>
      <c r="U2" s="186" t="s">
        <v>131</v>
      </c>
      <c r="V2" s="186" t="s">
        <v>132</v>
      </c>
      <c r="W2" s="186" t="s">
        <v>133</v>
      </c>
      <c r="X2" s="186" t="s">
        <v>187</v>
      </c>
      <c r="Y2" s="222" t="s">
        <v>155</v>
      </c>
      <c r="Z2" s="182" t="s">
        <v>134</v>
      </c>
      <c r="AA2" s="183" t="s">
        <v>135</v>
      </c>
      <c r="AB2" s="251" t="s">
        <v>136</v>
      </c>
      <c r="AC2" s="252" t="s">
        <v>137</v>
      </c>
    </row>
    <row r="3" spans="1:29">
      <c r="A3" s="124" t="str">
        <f t="shared" ref="A3:A22" si="0">$AB$2&amp;$D3</f>
        <v>PF04145</v>
      </c>
      <c r="B3" s="124" t="str">
        <f t="shared" ref="B3:B22" si="1">$AC$2&amp;$D3</f>
        <v>HP04145</v>
      </c>
      <c r="D3" s="79" t="s">
        <v>34</v>
      </c>
      <c r="E3" s="233" t="s">
        <v>35</v>
      </c>
      <c r="F3" s="127"/>
      <c r="G3" s="128">
        <f>VLOOKUP($D3,'RF Pendency Pivot'!$A:$T,14,0)</f>
        <v>-189</v>
      </c>
      <c r="H3" s="128">
        <f>VLOOKUP($D3,'RF Pendency Pivot'!$A:$T,6,0)</f>
        <v>0</v>
      </c>
      <c r="I3" s="128">
        <f>VLOOKUP($D3,'RF Pendency Pivot'!$A:$T,7,0)</f>
        <v>-86.039999999999992</v>
      </c>
      <c r="J3" s="128">
        <f>VLOOKUP($D3,'RF Pendency Pivot'!$A:$T,12,0)</f>
        <v>-774</v>
      </c>
      <c r="K3" s="128">
        <f>VLOOKUP($D3,'RF Pendency Pivot'!$A:$T,19,0)</f>
        <v>-358.02</v>
      </c>
      <c r="L3" s="128">
        <f>VLOOKUP($D3,'RF Pendency Pivot'!$A:$T,16,0)</f>
        <v>-45</v>
      </c>
      <c r="M3" s="128">
        <f>VLOOKUP($D3,'RF Pendency Pivot'!$A:$T,18,0)</f>
        <v>-329.58</v>
      </c>
      <c r="N3" s="128">
        <f>VLOOKUP($D3,'RF Pendency Pivot'!$A:$U,21,0)</f>
        <v>-387</v>
      </c>
      <c r="O3" s="347">
        <f>IF(G3&lt;0,G3+SUMIF(G3:N3,"&gt;0"),SUMIF(G3:N3,"&gt;0"))</f>
        <v>-189</v>
      </c>
      <c r="Q3" s="166">
        <f>VLOOKUP($D3,'RF Pendency Pivot'!$A:$T,4,0)</f>
        <v>-294.20999999999998</v>
      </c>
      <c r="R3" s="132">
        <f>VLOOKUP($D3,'RF Pendency Pivot'!$A:$T,5,0)</f>
        <v>-12.420000000000002</v>
      </c>
      <c r="S3" s="132">
        <f>VLOOKUP($D3,'RF Pendency Pivot'!$A:$T,8,0)</f>
        <v>-22.32</v>
      </c>
      <c r="T3" s="132">
        <f>VLOOKUP($D3,'RF Pendency Pivot'!$A:$T,10,0)</f>
        <v>-101.07</v>
      </c>
      <c r="U3" s="132">
        <f>VLOOKUP($D3,'RF Pendency Pivot'!$A:$T,11,0)</f>
        <v>-162.63</v>
      </c>
      <c r="V3" s="132">
        <f>VLOOKUP($D3,'RF Pendency Pivot'!$A:$T,13,0)</f>
        <v>-1191.42</v>
      </c>
      <c r="W3" s="132">
        <f>VLOOKUP($D3,'RF Pendency Pivot'!$A:$T,15,0)</f>
        <v>-5.5799999999999841</v>
      </c>
      <c r="X3" s="132">
        <f>VLOOKUP($D3,'RF Pendency Pivot'!$A:$T,20,0)</f>
        <v>0</v>
      </c>
      <c r="Y3" s="165">
        <f>VLOOKUP($D3,'RF Pendency Pivot'!$A:$T,17,0)</f>
        <v>-200.52</v>
      </c>
      <c r="Z3" s="189">
        <f>IF(W3&lt;0,W3+SUMIF(Q3:Y3,"&gt;0"),SUMIF(Q3:Y3,"&gt;0"))</f>
        <v>-5.5799999999999841</v>
      </c>
      <c r="AA3" s="216">
        <f>O3+Z3</f>
        <v>-194.57999999999998</v>
      </c>
      <c r="AB3" s="255" t="str">
        <f>IFERROR(VLOOKUP($A3,#REF!,2,0),"")</f>
        <v/>
      </c>
      <c r="AC3" s="238" t="str">
        <f>IFERROR(VLOOKUP($B3,#REF!,2,0),"")</f>
        <v/>
      </c>
    </row>
    <row r="4" spans="1:29">
      <c r="A4" s="124" t="str">
        <f t="shared" si="0"/>
        <v>PF13490</v>
      </c>
      <c r="B4" s="124" t="str">
        <f t="shared" si="1"/>
        <v>HP13490</v>
      </c>
      <c r="D4" s="73" t="s">
        <v>37</v>
      </c>
      <c r="E4" s="188" t="s">
        <v>38</v>
      </c>
      <c r="G4" s="132">
        <f>VLOOKUP($D4,'RF Pendency Pivot'!$A:$T,14,0)</f>
        <v>-3950</v>
      </c>
      <c r="H4" s="132">
        <f>VLOOKUP($D4,'RF Pendency Pivot'!$A:$T,6,0)</f>
        <v>0</v>
      </c>
      <c r="I4" s="132">
        <f>VLOOKUP($D4,'RF Pendency Pivot'!$A:$T,7,0)</f>
        <v>78.100000000000023</v>
      </c>
      <c r="J4" s="132">
        <f>VLOOKUP($D4,'RF Pendency Pivot'!$A:$T,12,0)</f>
        <v>-1202.1999999999998</v>
      </c>
      <c r="K4" s="132">
        <f>VLOOKUP($D4,'RF Pendency Pivot'!$A:$T,19,0)</f>
        <v>-2040</v>
      </c>
      <c r="L4" s="132">
        <f>VLOOKUP($D4,'RF Pendency Pivot'!$A:$T,16,0)</f>
        <v>-900</v>
      </c>
      <c r="M4" s="132">
        <f>VLOOKUP($D4,'RF Pendency Pivot'!$A:$T,18,0)</f>
        <v>-1990</v>
      </c>
      <c r="N4" s="132">
        <f>VLOOKUP($D4,'RF Pendency Pivot'!$A:$U,21,0)</f>
        <v>-2460</v>
      </c>
      <c r="O4" s="348">
        <f t="shared" ref="O4:O10" si="2">IF(G4&lt;0,G4+SUMIF(G4:N4,"&gt;0"),SUMIF(G4:N4,"&gt;0"))</f>
        <v>-3871.9</v>
      </c>
      <c r="Q4" s="166">
        <f>VLOOKUP($D4,'RF Pendency Pivot'!$A:$T,4,0)</f>
        <v>-4794.6000000000004</v>
      </c>
      <c r="R4" s="132">
        <f>VLOOKUP($D4,'RF Pendency Pivot'!$A:$T,5,0)</f>
        <v>-65.199999999999818</v>
      </c>
      <c r="S4" s="132">
        <f>VLOOKUP($D4,'RF Pendency Pivot'!$A:$T,8,0)</f>
        <v>-6118.4</v>
      </c>
      <c r="T4" s="132">
        <f>VLOOKUP($D4,'RF Pendency Pivot'!$A:$T,10,0)</f>
        <v>-6094</v>
      </c>
      <c r="U4" s="132">
        <f>VLOOKUP($D4,'RF Pendency Pivot'!$A:$T,11,0)</f>
        <v>-1891.5</v>
      </c>
      <c r="V4" s="132">
        <f>VLOOKUP($D4,'RF Pendency Pivot'!$A:$T,13,0)</f>
        <v>-16635.099999999999</v>
      </c>
      <c r="W4" s="132">
        <f>VLOOKUP($D4,'RF Pendency Pivot'!$A:$T,15,0)</f>
        <v>244.89999999999964</v>
      </c>
      <c r="X4" s="132">
        <f>VLOOKUP($D4,'RF Pendency Pivot'!$A:$T,20,0)</f>
        <v>0</v>
      </c>
      <c r="Y4" s="165">
        <f>VLOOKUP($D4,'RF Pendency Pivot'!$A:$T,17,0)</f>
        <v>-1567.3000000000002</v>
      </c>
      <c r="Z4" s="189">
        <f t="shared" ref="Z4:Z10" si="3">IF(W4&lt;0,W4+SUMIF(Q4:Y4,"&gt;0"),SUMIF(Q4:Y4,"&gt;0"))</f>
        <v>244.89999999999964</v>
      </c>
      <c r="AA4" s="217">
        <f t="shared" ref="AA4:AA11" si="4">O4+Z4</f>
        <v>-3627.0000000000005</v>
      </c>
      <c r="AB4" s="256" t="str">
        <f>IFERROR(VLOOKUP($A4,#REF!,2,0),"")</f>
        <v/>
      </c>
      <c r="AC4" s="178" t="str">
        <f>IFERROR(VLOOKUP($B4,#REF!,2,0),"")</f>
        <v/>
      </c>
    </row>
    <row r="5" spans="1:29" hidden="1">
      <c r="A5" s="124" t="str">
        <f t="shared" si="0"/>
        <v>PF14220</v>
      </c>
      <c r="B5" s="124" t="str">
        <f t="shared" si="1"/>
        <v>HP14220</v>
      </c>
      <c r="D5" s="73" t="s">
        <v>39</v>
      </c>
      <c r="E5" s="188" t="s">
        <v>40</v>
      </c>
      <c r="G5" s="132" t="e">
        <f>VLOOKUP($D5,'RF Pendency Pivot'!$A:$T,14,0)</f>
        <v>#N/A</v>
      </c>
      <c r="H5" s="132" t="e">
        <f>VLOOKUP($D5,'RF Pendency Pivot'!$A:$T,6,0)</f>
        <v>#N/A</v>
      </c>
      <c r="I5" s="132" t="e">
        <f>VLOOKUP($D5,'RF Pendency Pivot'!$A:$T,7,0)</f>
        <v>#N/A</v>
      </c>
      <c r="J5" s="132" t="e">
        <f>VLOOKUP($D5,'RF Pendency Pivot'!$A:$T,12,0)</f>
        <v>#N/A</v>
      </c>
      <c r="K5" s="132" t="e">
        <f>VLOOKUP($D5,'RF Pendency Pivot'!$A:$T,19,0)</f>
        <v>#N/A</v>
      </c>
      <c r="L5" s="132" t="e">
        <f>VLOOKUP($D5,'RF Pendency Pivot'!$A:$T,16,0)</f>
        <v>#N/A</v>
      </c>
      <c r="M5" s="132" t="e">
        <f>VLOOKUP($D5,'RF Pendency Pivot'!$A:$T,18,0)</f>
        <v>#N/A</v>
      </c>
      <c r="N5" s="132" t="e">
        <f>VLOOKUP($D5,'RF Pendency Pivot'!$A:$U,21,0)</f>
        <v>#N/A</v>
      </c>
      <c r="O5" s="348" t="e">
        <f t="shared" si="2"/>
        <v>#N/A</v>
      </c>
      <c r="Q5" s="166" t="e">
        <f>VLOOKUP($D5,'RF Pendency Pivot'!$A:$T,4,0)</f>
        <v>#N/A</v>
      </c>
      <c r="R5" s="132" t="e">
        <f>VLOOKUP($D5,'RF Pendency Pivot'!$A:$T,5,0)</f>
        <v>#N/A</v>
      </c>
      <c r="S5" s="132" t="e">
        <f>VLOOKUP($D5,'RF Pendency Pivot'!$A:$T,8,0)</f>
        <v>#N/A</v>
      </c>
      <c r="T5" s="132" t="e">
        <f>VLOOKUP($D5,'RF Pendency Pivot'!$A:$T,10,0)</f>
        <v>#N/A</v>
      </c>
      <c r="U5" s="132" t="e">
        <f>VLOOKUP($D5,'RF Pendency Pivot'!$A:$T,11,0)</f>
        <v>#N/A</v>
      </c>
      <c r="V5" s="132" t="e">
        <f>VLOOKUP($D5,'RF Pendency Pivot'!$A:$T,13,0)</f>
        <v>#N/A</v>
      </c>
      <c r="W5" s="132" t="e">
        <f>VLOOKUP($D5,'RF Pendency Pivot'!$A:$T,15,0)</f>
        <v>#N/A</v>
      </c>
      <c r="X5" s="132" t="e">
        <f>VLOOKUP($D5,'RF Pendency Pivot'!$A:$T,20,0)</f>
        <v>#N/A</v>
      </c>
      <c r="Y5" s="165" t="e">
        <f>VLOOKUP($D5,'RF Pendency Pivot'!$A:$T,17,0)</f>
        <v>#N/A</v>
      </c>
      <c r="Z5" s="189" t="e">
        <f t="shared" si="3"/>
        <v>#N/A</v>
      </c>
      <c r="AA5" s="217" t="e">
        <f t="shared" si="4"/>
        <v>#N/A</v>
      </c>
      <c r="AB5" s="256" t="str">
        <f>IFERROR(VLOOKUP($A5,#REF!,2,0),"")</f>
        <v/>
      </c>
      <c r="AC5" s="178" t="str">
        <f>IFERROR(VLOOKUP($B5,#REF!,2,0),"")</f>
        <v/>
      </c>
    </row>
    <row r="6" spans="1:29">
      <c r="A6" s="124" t="str">
        <f t="shared" si="0"/>
        <v>PF14248</v>
      </c>
      <c r="B6" s="124" t="str">
        <f t="shared" si="1"/>
        <v>HP14248</v>
      </c>
      <c r="D6" s="73" t="s">
        <v>41</v>
      </c>
      <c r="E6" s="188" t="s">
        <v>42</v>
      </c>
      <c r="G6" s="132">
        <f>VLOOKUP($D6,'RF Pendency Pivot'!$A:$T,14,0)</f>
        <v>-240</v>
      </c>
      <c r="H6" s="132">
        <f>VLOOKUP($D6,'RF Pendency Pivot'!$A:$T,6,0)</f>
        <v>0</v>
      </c>
      <c r="I6" s="132">
        <f>VLOOKUP($D6,'RF Pendency Pivot'!$A:$T,7,0)</f>
        <v>-311.8</v>
      </c>
      <c r="J6" s="132">
        <f>VLOOKUP($D6,'RF Pendency Pivot'!$A:$T,12,0)</f>
        <v>-610.70000000000005</v>
      </c>
      <c r="K6" s="132">
        <f>VLOOKUP($D6,'RF Pendency Pivot'!$A:$T,19,0)</f>
        <v>-1030</v>
      </c>
      <c r="L6" s="132">
        <f>VLOOKUP($D6,'RF Pendency Pivot'!$A:$T,16,0)</f>
        <v>80</v>
      </c>
      <c r="M6" s="132">
        <f>VLOOKUP($D6,'RF Pendency Pivot'!$A:$T,18,0)</f>
        <v>-288.59999999999991</v>
      </c>
      <c r="N6" s="132">
        <f>VLOOKUP($D6,'RF Pendency Pivot'!$A:$U,21,0)</f>
        <v>-1510</v>
      </c>
      <c r="O6" s="348">
        <f t="shared" si="2"/>
        <v>-160</v>
      </c>
      <c r="Q6" s="166">
        <f>VLOOKUP($D6,'RF Pendency Pivot'!$A:$T,4,0)</f>
        <v>-1253.8</v>
      </c>
      <c r="R6" s="132">
        <f>VLOOKUP($D6,'RF Pendency Pivot'!$A:$T,5,0)</f>
        <v>2.8000000000000114</v>
      </c>
      <c r="S6" s="132">
        <f>VLOOKUP($D6,'RF Pendency Pivot'!$A:$T,8,0)</f>
        <v>-175.39999999999998</v>
      </c>
      <c r="T6" s="132">
        <f>VLOOKUP($D6,'RF Pendency Pivot'!$A:$T,10,0)</f>
        <v>-891.1</v>
      </c>
      <c r="U6" s="132">
        <f>VLOOKUP($D6,'RF Pendency Pivot'!$A:$T,11,0)</f>
        <v>-88</v>
      </c>
      <c r="V6" s="132">
        <f>VLOOKUP($D6,'RF Pendency Pivot'!$A:$T,13,0)</f>
        <v>-13020.4</v>
      </c>
      <c r="W6" s="132">
        <f>VLOOKUP($D6,'RF Pendency Pivot'!$A:$T,15,0)</f>
        <v>1200.8000000000002</v>
      </c>
      <c r="X6" s="132">
        <f>VLOOKUP($D6,'RF Pendency Pivot'!$A:$T,20,0)</f>
        <v>0</v>
      </c>
      <c r="Y6" s="165">
        <f>VLOOKUP($D6,'RF Pendency Pivot'!$A:$T,17,0)</f>
        <v>-203.20000000000005</v>
      </c>
      <c r="Z6" s="189">
        <f t="shared" si="3"/>
        <v>1203.6000000000001</v>
      </c>
      <c r="AA6" s="217">
        <f t="shared" si="4"/>
        <v>1043.6000000000001</v>
      </c>
      <c r="AB6" s="256" t="str">
        <f>IFERROR(VLOOKUP($A6,#REF!,2,0),"")</f>
        <v/>
      </c>
      <c r="AC6" s="178" t="str">
        <f>IFERROR(VLOOKUP($B6,#REF!,2,0),"")</f>
        <v/>
      </c>
    </row>
    <row r="7" spans="1:29">
      <c r="A7" s="124" t="str">
        <f t="shared" si="0"/>
        <v>PF15300</v>
      </c>
      <c r="B7" s="124" t="str">
        <f t="shared" si="1"/>
        <v>HP15300</v>
      </c>
      <c r="D7" s="73" t="s">
        <v>43</v>
      </c>
      <c r="E7" s="188" t="s">
        <v>44</v>
      </c>
      <c r="G7" s="132">
        <f>VLOOKUP($D7,'RF Pendency Pivot'!$A:$T,14,0)</f>
        <v>-27</v>
      </c>
      <c r="H7" s="132">
        <f>VLOOKUP($D7,'RF Pendency Pivot'!$A:$T,6,0)</f>
        <v>0</v>
      </c>
      <c r="I7" s="132">
        <f>VLOOKUP($D7,'RF Pendency Pivot'!$A:$T,7,0)</f>
        <v>0</v>
      </c>
      <c r="J7" s="132">
        <f>VLOOKUP($D7,'RF Pendency Pivot'!$A:$T,12,0)</f>
        <v>131.31</v>
      </c>
      <c r="K7" s="132">
        <f>VLOOKUP($D7,'RF Pendency Pivot'!$A:$T,19,0)</f>
        <v>-390.06</v>
      </c>
      <c r="L7" s="132">
        <f>VLOOKUP($D7,'RF Pendency Pivot'!$A:$T,16,0)</f>
        <v>-63</v>
      </c>
      <c r="M7" s="132">
        <f>VLOOKUP($D7,'RF Pendency Pivot'!$A:$T,18,0)</f>
        <v>-236.97</v>
      </c>
      <c r="N7" s="132">
        <f>VLOOKUP($D7,'RF Pendency Pivot'!$A:$U,21,0)</f>
        <v>-234</v>
      </c>
      <c r="O7" s="348">
        <f t="shared" si="2"/>
        <v>104.31</v>
      </c>
      <c r="Q7" s="166">
        <f>VLOOKUP($D7,'RF Pendency Pivot'!$A:$T,4,0)</f>
        <v>-237.42</v>
      </c>
      <c r="R7" s="132">
        <f>VLOOKUP($D7,'RF Pendency Pivot'!$A:$T,5,0)</f>
        <v>-4.2300000000000004</v>
      </c>
      <c r="S7" s="132">
        <f>VLOOKUP($D7,'RF Pendency Pivot'!$A:$T,8,0)</f>
        <v>-4.4099999999999966</v>
      </c>
      <c r="T7" s="132">
        <f>VLOOKUP($D7,'RF Pendency Pivot'!$A:$T,10,0)</f>
        <v>-53.55</v>
      </c>
      <c r="U7" s="132">
        <f>VLOOKUP($D7,'RF Pendency Pivot'!$A:$T,11,0)</f>
        <v>-13.14</v>
      </c>
      <c r="V7" s="132">
        <f>VLOOKUP($D7,'RF Pendency Pivot'!$A:$T,13,0)</f>
        <v>-1268.19</v>
      </c>
      <c r="W7" s="132">
        <f>VLOOKUP($D7,'RF Pendency Pivot'!$A:$T,15,0)</f>
        <v>3.1499999999999773</v>
      </c>
      <c r="X7" s="132">
        <f>VLOOKUP($D7,'RF Pendency Pivot'!$A:$T,20,0)</f>
        <v>0</v>
      </c>
      <c r="Y7" s="165">
        <f>VLOOKUP($D7,'RF Pendency Pivot'!$A:$T,17,0)</f>
        <v>-242.19</v>
      </c>
      <c r="Z7" s="189">
        <f t="shared" si="3"/>
        <v>3.1499999999999773</v>
      </c>
      <c r="AA7" s="217">
        <f>O7+Z7+W7</f>
        <v>110.60999999999996</v>
      </c>
      <c r="AB7" s="256" t="str">
        <f>IFERROR(VLOOKUP($A7,#REF!,2,0),"")</f>
        <v/>
      </c>
      <c r="AC7" s="178" t="str">
        <f>IFERROR(VLOOKUP($B7,#REF!,2,0),"")</f>
        <v/>
      </c>
    </row>
    <row r="8" spans="1:29">
      <c r="A8" s="124" t="str">
        <f t="shared" si="0"/>
        <v>PF15305</v>
      </c>
      <c r="B8" s="124" t="str">
        <f t="shared" si="1"/>
        <v>HP15305</v>
      </c>
      <c r="D8" s="73" t="s">
        <v>45</v>
      </c>
      <c r="E8" s="188" t="s">
        <v>46</v>
      </c>
      <c r="G8" s="132">
        <f>VLOOKUP($D8,'RF Pendency Pivot'!$A:$T,14,0)</f>
        <v>-225</v>
      </c>
      <c r="H8" s="132">
        <f>VLOOKUP($D8,'RF Pendency Pivot'!$A:$T,6,0)</f>
        <v>0</v>
      </c>
      <c r="I8" s="132">
        <f>VLOOKUP($D8,'RF Pendency Pivot'!$A:$T,7,0)</f>
        <v>-59.58</v>
      </c>
      <c r="J8" s="132">
        <f>VLOOKUP($D8,'RF Pendency Pivot'!$A:$T,12,0)</f>
        <v>-86.039999999999992</v>
      </c>
      <c r="K8" s="132">
        <f>VLOOKUP($D8,'RF Pendency Pivot'!$A:$T,19,0)</f>
        <v>-3.0600000000000023</v>
      </c>
      <c r="L8" s="132">
        <f>VLOOKUP($D8,'RF Pendency Pivot'!$A:$T,16,0)</f>
        <v>-81</v>
      </c>
      <c r="M8" s="132">
        <f>VLOOKUP($D8,'RF Pendency Pivot'!$A:$T,18,0)</f>
        <v>-182.97</v>
      </c>
      <c r="N8" s="132">
        <f>VLOOKUP($D8,'RF Pendency Pivot'!$A:$U,21,0)</f>
        <v>-279</v>
      </c>
      <c r="O8" s="348">
        <f t="shared" si="2"/>
        <v>-225</v>
      </c>
      <c r="Q8" s="166">
        <f>VLOOKUP($D8,'RF Pendency Pivot'!$A:$T,4,0)</f>
        <v>-101.97</v>
      </c>
      <c r="R8" s="132">
        <f>VLOOKUP($D8,'RF Pendency Pivot'!$A:$T,5,0)</f>
        <v>19.350000000000001</v>
      </c>
      <c r="S8" s="132">
        <f>VLOOKUP($D8,'RF Pendency Pivot'!$A:$T,8,0)</f>
        <v>-6.9300000000000068</v>
      </c>
      <c r="T8" s="132">
        <f>VLOOKUP($D8,'RF Pendency Pivot'!$A:$T,10,0)</f>
        <v>0</v>
      </c>
      <c r="U8" s="132">
        <f>VLOOKUP($D8,'RF Pendency Pivot'!$A:$T,11,0)</f>
        <v>0</v>
      </c>
      <c r="V8" s="132">
        <f>VLOOKUP($D8,'RF Pendency Pivot'!$A:$T,13,0)</f>
        <v>-3428.64</v>
      </c>
      <c r="W8" s="132">
        <f>VLOOKUP($D8,'RF Pendency Pivot'!$A:$T,15,0)</f>
        <v>-72.180000000000007</v>
      </c>
      <c r="X8" s="132">
        <f>VLOOKUP($D8,'RF Pendency Pivot'!$A:$T,20,0)</f>
        <v>0</v>
      </c>
      <c r="Y8" s="165">
        <f>VLOOKUP($D8,'RF Pendency Pivot'!$A:$T,17,0)</f>
        <v>-61.83</v>
      </c>
      <c r="Z8" s="189">
        <f t="shared" si="3"/>
        <v>-52.830000000000005</v>
      </c>
      <c r="AA8" s="217">
        <f t="shared" si="4"/>
        <v>-277.83</v>
      </c>
      <c r="AB8" s="256" t="str">
        <f>IFERROR(VLOOKUP($A8,#REF!,2,0),"")</f>
        <v/>
      </c>
      <c r="AC8" s="178" t="str">
        <f>IFERROR(VLOOKUP($B8,#REF!,2,0),"")</f>
        <v/>
      </c>
    </row>
    <row r="9" spans="1:29">
      <c r="A9" s="124" t="str">
        <f t="shared" si="0"/>
        <v>PF15312</v>
      </c>
      <c r="B9" s="124" t="str">
        <f t="shared" si="1"/>
        <v>HP15312</v>
      </c>
      <c r="D9" s="73" t="s">
        <v>47</v>
      </c>
      <c r="E9" s="188" t="s">
        <v>48</v>
      </c>
      <c r="G9" s="132">
        <f>VLOOKUP($D9,'RF Pendency Pivot'!$A:$T,14,0)</f>
        <v>-369</v>
      </c>
      <c r="H9" s="132">
        <f>VLOOKUP($D9,'RF Pendency Pivot'!$A:$T,6,0)</f>
        <v>0</v>
      </c>
      <c r="I9" s="132">
        <f>VLOOKUP($D9,'RF Pendency Pivot'!$A:$T,7,0)</f>
        <v>-76.77</v>
      </c>
      <c r="J9" s="132">
        <f>VLOOKUP($D9,'RF Pendency Pivot'!$A:$T,12,0)</f>
        <v>-116.55000000000001</v>
      </c>
      <c r="K9" s="132">
        <f>VLOOKUP($D9,'RF Pendency Pivot'!$A:$T,19,0)</f>
        <v>-92.07</v>
      </c>
      <c r="L9" s="132">
        <f>VLOOKUP($D9,'RF Pendency Pivot'!$A:$T,16,0)</f>
        <v>0</v>
      </c>
      <c r="M9" s="132">
        <f>VLOOKUP($D9,'RF Pendency Pivot'!$A:$T,18,0)</f>
        <v>-2.9699999999999989</v>
      </c>
      <c r="N9" s="132">
        <f>VLOOKUP($D9,'RF Pendency Pivot'!$A:$U,21,0)</f>
        <v>0</v>
      </c>
      <c r="O9" s="348">
        <f t="shared" si="2"/>
        <v>-369</v>
      </c>
      <c r="Q9" s="166">
        <f>VLOOKUP($D9,'RF Pendency Pivot'!$A:$T,4,0)</f>
        <v>-79.11</v>
      </c>
      <c r="R9" s="132">
        <f>VLOOKUP($D9,'RF Pendency Pivot'!$A:$T,5,0)</f>
        <v>-13.23</v>
      </c>
      <c r="S9" s="132">
        <f>VLOOKUP($D9,'RF Pendency Pivot'!$A:$T,8,0)</f>
        <v>0</v>
      </c>
      <c r="T9" s="132">
        <f>VLOOKUP($D9,'RF Pendency Pivot'!$A:$T,10,0)</f>
        <v>0</v>
      </c>
      <c r="U9" s="132">
        <f>VLOOKUP($D9,'RF Pendency Pivot'!$A:$T,11,0)</f>
        <v>0</v>
      </c>
      <c r="V9" s="132">
        <f>VLOOKUP($D9,'RF Pendency Pivot'!$A:$T,13,0)</f>
        <v>-1602</v>
      </c>
      <c r="W9" s="132">
        <f>VLOOKUP($D9,'RF Pendency Pivot'!$A:$T,15,0)</f>
        <v>-1.4399999999999977</v>
      </c>
      <c r="X9" s="132">
        <f>VLOOKUP($D9,'RF Pendency Pivot'!$A:$T,20,0)</f>
        <v>0</v>
      </c>
      <c r="Y9" s="165">
        <f>VLOOKUP($D9,'RF Pendency Pivot'!$A:$T,17,0)</f>
        <v>-28.26</v>
      </c>
      <c r="Z9" s="189">
        <f t="shared" si="3"/>
        <v>-1.4399999999999977</v>
      </c>
      <c r="AA9" s="217">
        <f t="shared" si="4"/>
        <v>-370.44</v>
      </c>
      <c r="AB9" s="256" t="str">
        <f>IFERROR(VLOOKUP($A9,#REF!,2,0),"")</f>
        <v/>
      </c>
      <c r="AC9" s="178" t="str">
        <f>IFERROR(VLOOKUP($B9,#REF!,2,0),"")</f>
        <v/>
      </c>
    </row>
    <row r="10" spans="1:29" ht="13.5" thickBot="1">
      <c r="A10" s="124" t="str">
        <f t="shared" si="0"/>
        <v>PF16407</v>
      </c>
      <c r="B10" s="124" t="str">
        <f t="shared" si="1"/>
        <v>HP16407</v>
      </c>
      <c r="D10" s="184" t="s">
        <v>49</v>
      </c>
      <c r="E10" s="190" t="s">
        <v>50</v>
      </c>
      <c r="F10" s="135"/>
      <c r="G10" s="136">
        <f>VLOOKUP($D10,'RF Pendency Pivot'!$A:$T,14,0)</f>
        <v>-441</v>
      </c>
      <c r="H10" s="136">
        <f>VLOOKUP($D10,'RF Pendency Pivot'!$A:$T,6,0)</f>
        <v>0</v>
      </c>
      <c r="I10" s="136">
        <f>VLOOKUP($D10,'RF Pendency Pivot'!$A:$T,7,0)</f>
        <v>-140.57999999999998</v>
      </c>
      <c r="J10" s="136">
        <f>VLOOKUP($D10,'RF Pendency Pivot'!$A:$T,12,0)</f>
        <v>-96.029999999999973</v>
      </c>
      <c r="K10" s="136">
        <f>VLOOKUP($D10,'RF Pendency Pivot'!$A:$T,19,0)</f>
        <v>-4.67999999999995</v>
      </c>
      <c r="L10" s="136">
        <f>VLOOKUP($D10,'RF Pendency Pivot'!$A:$T,16,0)</f>
        <v>-144</v>
      </c>
      <c r="M10" s="136">
        <f>VLOOKUP($D10,'RF Pendency Pivot'!$A:$T,18,0)</f>
        <v>-8.9999999999974989E-2</v>
      </c>
      <c r="N10" s="136">
        <f>VLOOKUP($D10,'RF Pendency Pivot'!$A:$U,21,0)</f>
        <v>-423</v>
      </c>
      <c r="O10" s="349">
        <f t="shared" si="2"/>
        <v>-441</v>
      </c>
      <c r="Q10" s="169">
        <f>VLOOKUP($D10,'RF Pendency Pivot'!$A:$T,4,0)</f>
        <v>-520.38</v>
      </c>
      <c r="R10" s="136">
        <f>VLOOKUP($D10,'RF Pendency Pivot'!$A:$T,5,0)</f>
        <v>-5.4900000000000091</v>
      </c>
      <c r="S10" s="136">
        <f>VLOOKUP($D10,'RF Pendency Pivot'!$A:$T,8,0)</f>
        <v>-557.54999999999995</v>
      </c>
      <c r="T10" s="136">
        <f>VLOOKUP($D10,'RF Pendency Pivot'!$A:$T,10,0)</f>
        <v>-210.6</v>
      </c>
      <c r="U10" s="136">
        <f>VLOOKUP($D10,'RF Pendency Pivot'!$A:$T,11,0)</f>
        <v>-255.33</v>
      </c>
      <c r="V10" s="136">
        <f>VLOOKUP($D10,'RF Pendency Pivot'!$A:$T,13,0)</f>
        <v>-1930.41</v>
      </c>
      <c r="W10" s="136">
        <f>VLOOKUP($D10,'RF Pendency Pivot'!$A:$T,15,0)</f>
        <v>-83.519999999999982</v>
      </c>
      <c r="X10" s="136">
        <f>VLOOKUP($D10,'RF Pendency Pivot'!$A:$T,20,0)</f>
        <v>0</v>
      </c>
      <c r="Y10" s="168">
        <f>VLOOKUP($D10,'RF Pendency Pivot'!$A:$T,17,0)</f>
        <v>-177.92999999999995</v>
      </c>
      <c r="Z10" s="322">
        <f t="shared" si="3"/>
        <v>-83.519999999999982</v>
      </c>
      <c r="AA10" s="191">
        <f t="shared" si="4"/>
        <v>-524.52</v>
      </c>
      <c r="AB10" s="257" t="str">
        <f>IFERROR(VLOOKUP($A10,#REF!,2,0),"")</f>
        <v/>
      </c>
      <c r="AC10" s="180" t="str">
        <f>IFERROR(VLOOKUP($B10,#REF!,2,0),"")</f>
        <v/>
      </c>
    </row>
    <row r="11" spans="1:29" hidden="1">
      <c r="A11" s="124" t="str">
        <f t="shared" si="0"/>
        <v>PF17979</v>
      </c>
      <c r="B11" s="124" t="str">
        <f t="shared" si="1"/>
        <v>HP17979</v>
      </c>
      <c r="D11" s="185" t="s">
        <v>82</v>
      </c>
      <c r="E11" s="188" t="s">
        <v>83</v>
      </c>
      <c r="G11" s="132" t="e">
        <f>VLOOKUP($D11,'RF Pendency Pivot'!$A$5:$O$50,14,0)</f>
        <v>#N/A</v>
      </c>
      <c r="H11" s="132" t="e">
        <f>VLOOKUP(D11,'RF Pendency Pivot'!A13:F53,6,0)</f>
        <v>#N/A</v>
      </c>
      <c r="I11" s="132" t="e">
        <f>VLOOKUP(D11,'RF Pendency Pivot'!A13:G53,7,0)</f>
        <v>#N/A</v>
      </c>
      <c r="J11" s="132" t="e">
        <f>VLOOKUP(D11,'RF Pendency Pivot'!A13:L53,12,0)</f>
        <v>#N/A</v>
      </c>
      <c r="K11" s="132" t="e">
        <f>VLOOKUP($D11,'RF Pendency Pivot'!A13:T57,20,0)</f>
        <v>#N/A</v>
      </c>
      <c r="L11" s="132" t="e">
        <f>VLOOKUP(D11,'RF Pendency Pivot'!A13:Q53,16,0)</f>
        <v>#N/A</v>
      </c>
      <c r="M11" s="132" t="e">
        <f>VLOOKUP($D11,'RF Pendency Pivot'!A13:S50,19,0)</f>
        <v>#N/A</v>
      </c>
      <c r="N11" s="132"/>
      <c r="O11" s="189">
        <f>SUMIF(G11:L11,"&gt;0")</f>
        <v>0</v>
      </c>
      <c r="Q11" s="192" t="e">
        <f>VLOOKUP(D11,'RF Pendency Pivot'!A13:D53,4,0)</f>
        <v>#N/A</v>
      </c>
      <c r="R11" s="193" t="e">
        <f>VLOOKUP(D11,'RF Pendency Pivot'!A13:E53,5,0)</f>
        <v>#N/A</v>
      </c>
      <c r="S11" s="193" t="e">
        <f>VLOOKUP(D11,'RF Pendency Pivot'!A13:H53,8,0)</f>
        <v>#N/A</v>
      </c>
      <c r="T11" s="193" t="e">
        <f>VLOOKUP(D11,'RF Pendency Pivot'!A13:J53,10,0)</f>
        <v>#N/A</v>
      </c>
      <c r="U11" s="193" t="e">
        <f>VLOOKUP(D11,'RF Pendency Pivot'!A13:K53,11,0)</f>
        <v>#N/A</v>
      </c>
      <c r="V11" s="193" t="e">
        <f>VLOOKUP(D11,'RF Pendency Pivot'!A13:N53,14,0)</f>
        <v>#N/A</v>
      </c>
      <c r="W11" s="193" t="e">
        <f>VLOOKUP(D11,'RF Pendency Pivot'!A13:P53,16,0)</f>
        <v>#N/A</v>
      </c>
      <c r="X11" s="132" t="e">
        <f>VLOOKUP($D11,'RF Pendency Pivot'!A13:S57,19,0)</f>
        <v>#N/A</v>
      </c>
      <c r="Y11" s="194" t="e">
        <f>VLOOKUP($D11,'RF Pendency Pivot'!A13:R51,18,0)</f>
        <v>#N/A</v>
      </c>
      <c r="Z11" s="154">
        <f t="shared" ref="Z11" si="5">SUMIF(Q11:Y11,"&gt;0")</f>
        <v>0</v>
      </c>
      <c r="AA11" s="195">
        <f t="shared" si="4"/>
        <v>0</v>
      </c>
      <c r="AB11" s="196"/>
    </row>
    <row r="12" spans="1:29">
      <c r="A12" s="124" t="str">
        <f t="shared" si="0"/>
        <v>PF</v>
      </c>
      <c r="B12" s="124" t="str">
        <f t="shared" si="1"/>
        <v>HP</v>
      </c>
    </row>
    <row r="13" spans="1:29" ht="26.25" thickBot="1">
      <c r="A13" s="124" t="str">
        <f t="shared" si="0"/>
        <v>PF</v>
      </c>
      <c r="B13" s="124" t="str">
        <f t="shared" si="1"/>
        <v>HP</v>
      </c>
      <c r="AB13" s="235" t="s">
        <v>897</v>
      </c>
      <c r="AC13" s="235" t="s">
        <v>897</v>
      </c>
    </row>
    <row r="14" spans="1:29" ht="51.75" thickBot="1">
      <c r="A14" s="124" t="str">
        <f t="shared" si="0"/>
        <v>PFMaterial Code</v>
      </c>
      <c r="B14" s="124" t="str">
        <f t="shared" si="1"/>
        <v>HPMaterial Code</v>
      </c>
      <c r="D14" s="211" t="s">
        <v>2</v>
      </c>
      <c r="E14" s="176" t="s">
        <v>4</v>
      </c>
      <c r="F14" s="177" t="s">
        <v>6</v>
      </c>
      <c r="G14" s="177" t="s">
        <v>121</v>
      </c>
      <c r="H14" s="177" t="s">
        <v>122</v>
      </c>
      <c r="I14" s="177" t="s">
        <v>123</v>
      </c>
      <c r="J14" s="177" t="s">
        <v>124</v>
      </c>
      <c r="K14" s="177" t="s">
        <v>717</v>
      </c>
      <c r="L14" s="177" t="s">
        <v>125</v>
      </c>
      <c r="M14" s="177" t="s">
        <v>176</v>
      </c>
      <c r="N14" s="350" t="s">
        <v>962</v>
      </c>
      <c r="O14" s="157" t="s">
        <v>126</v>
      </c>
      <c r="Q14" s="211" t="s">
        <v>127</v>
      </c>
      <c r="R14" s="212" t="s">
        <v>128</v>
      </c>
      <c r="S14" s="212" t="s">
        <v>129</v>
      </c>
      <c r="T14" s="212" t="s">
        <v>130</v>
      </c>
      <c r="U14" s="212" t="s">
        <v>131</v>
      </c>
      <c r="V14" s="212" t="s">
        <v>132</v>
      </c>
      <c r="W14" s="212" t="s">
        <v>133</v>
      </c>
      <c r="X14" s="212" t="s">
        <v>187</v>
      </c>
      <c r="Y14" s="213" t="s">
        <v>155</v>
      </c>
      <c r="Z14" s="280" t="s">
        <v>134</v>
      </c>
      <c r="AA14" s="281" t="s">
        <v>135</v>
      </c>
      <c r="AB14" s="276" t="s">
        <v>136</v>
      </c>
      <c r="AC14" s="243" t="s">
        <v>137</v>
      </c>
    </row>
    <row r="15" spans="1:29">
      <c r="A15" s="124" t="str">
        <f t="shared" si="0"/>
        <v>PF04145</v>
      </c>
      <c r="B15" s="124" t="str">
        <f t="shared" si="1"/>
        <v>HP04145</v>
      </c>
      <c r="D15" s="79" t="s">
        <v>34</v>
      </c>
      <c r="E15" s="319" t="s">
        <v>35</v>
      </c>
      <c r="G15" s="87">
        <f>VLOOKUP($D15,'INV Days Pivot'!$A:$T,14,0)</f>
        <v>49.5</v>
      </c>
      <c r="H15" s="87">
        <f>VLOOKUP($D15,'INV Days Pivot'!$A:$T,6,0)</f>
        <v>0</v>
      </c>
      <c r="I15" s="87">
        <f>VLOOKUP($D15,'INV Days Pivot'!$A:$T,7,0)</f>
        <v>22.388059701492537</v>
      </c>
      <c r="J15" s="87">
        <f>VLOOKUP($D15,'INV Days Pivot'!$A:$T,12,0)</f>
        <v>49.875</v>
      </c>
      <c r="K15" s="87">
        <f>VLOOKUP($D15,'INV Days Pivot'!$A:$T,19,0)</f>
        <v>54.003724394785849</v>
      </c>
      <c r="L15" s="87">
        <f>VLOOKUP($D15,'INV Days Pivot'!$A:$T,16,0)</f>
        <v>50</v>
      </c>
      <c r="M15" s="87">
        <f>VLOOKUP($D15,'INV Days Pivot'!$A:$T,18,0)</f>
        <v>144.98141263940519</v>
      </c>
      <c r="N15" s="87">
        <f>VLOOKUP($D15,'INV Days Pivot'!$A:$U,21,0)</f>
        <v>45</v>
      </c>
      <c r="O15" s="240"/>
      <c r="Q15" s="272">
        <f>VLOOKUP($D15,'INV Days Pivot'!$A:$T,4,0)</f>
        <v>29.720804563194235</v>
      </c>
      <c r="R15" s="86">
        <f>VLOOKUP($D15,'INV Days Pivot'!$A:$T,5,0)</f>
        <v>41.436464088397798</v>
      </c>
      <c r="S15" s="86">
        <f>VLOOKUP($D15,'INV Days Pivot'!$A:$T,8,0)</f>
        <v>47.61904761904762</v>
      </c>
      <c r="T15" s="86">
        <f>VLOOKUP($D15,'INV Days Pivot'!$A:$T,10,0)</f>
        <v>52.924791086350972</v>
      </c>
      <c r="U15" s="86">
        <f>VLOOKUP($D15,'INV Days Pivot'!$A:$T,11,0)</f>
        <v>47.844063792085059</v>
      </c>
      <c r="V15" s="86">
        <f>VLOOKUP($D15,'INV Days Pivot'!$A:$T,13,0)</f>
        <v>289.32968536251707</v>
      </c>
      <c r="W15" s="273">
        <f>VLOOKUP($D15,'INV Days Pivot'!$A:$T,15,0)</f>
        <v>4.3406366267052494</v>
      </c>
      <c r="X15" s="274">
        <f>VLOOKUP($D15,'INV Days Pivot'!$A:$T,20,0)</f>
        <v>0</v>
      </c>
      <c r="Y15" s="234">
        <f>VLOOKUP($D15,'INV Days Pivot'!$A:$T,17,0)</f>
        <v>40.419161676646709</v>
      </c>
      <c r="Z15" s="278"/>
      <c r="AA15" s="160"/>
      <c r="AB15" s="267" t="str">
        <f>IFERROR(VLOOKUP($A15,#REF!,2,0),"")</f>
        <v/>
      </c>
      <c r="AC15" s="238" t="str">
        <f>IFERROR(VLOOKUP($B15,#REF!,2,0),"")</f>
        <v/>
      </c>
    </row>
    <row r="16" spans="1:29">
      <c r="A16" s="124" t="str">
        <f t="shared" si="0"/>
        <v>PF13490</v>
      </c>
      <c r="B16" s="124" t="str">
        <f t="shared" si="1"/>
        <v>HP13490</v>
      </c>
      <c r="D16" s="73" t="s">
        <v>37</v>
      </c>
      <c r="E16" s="155" t="s">
        <v>38</v>
      </c>
      <c r="G16" s="87">
        <f>VLOOKUP($D16,'INV Days Pivot'!$A:$T,14,0)</f>
        <v>41.174999999999997</v>
      </c>
      <c r="H16" s="87">
        <f>VLOOKUP($D16,'INV Days Pivot'!$A:$T,6,0)</f>
        <v>0</v>
      </c>
      <c r="I16" s="87">
        <f>VLOOKUP($D16,'INV Days Pivot'!$A:$T,7,0)</f>
        <v>25.171891387950122</v>
      </c>
      <c r="J16" s="87">
        <f>VLOOKUP($D16,'INV Days Pivot'!$A:$T,12,0)</f>
        <v>26.865845603947317</v>
      </c>
      <c r="K16" s="87">
        <f>VLOOKUP($D16,'INV Days Pivot'!$A:$T,19,0)</f>
        <v>41.036269430051817</v>
      </c>
      <c r="L16" s="87">
        <f>VLOOKUP($D16,'INV Days Pivot'!$A:$T,16,0)</f>
        <v>50.333333333333336</v>
      </c>
      <c r="M16" s="87">
        <f>VLOOKUP($D16,'INV Days Pivot'!$A:$T,18,0)</f>
        <v>51.139896373056999</v>
      </c>
      <c r="N16" s="87">
        <f>VLOOKUP($D16,'INV Days Pivot'!$A:$U,21,0)</f>
        <v>34.775086505190316</v>
      </c>
      <c r="O16" s="134"/>
      <c r="Q16" s="150">
        <f>VLOOKUP($D16,'INV Days Pivot'!$A:$T,4,0)</f>
        <v>25.613425642782005</v>
      </c>
      <c r="R16" s="87">
        <f>VLOOKUP($D16,'INV Days Pivot'!$A:$T,5,0)</f>
        <v>15.641430073606729</v>
      </c>
      <c r="S16" s="87">
        <f>VLOOKUP($D16,'INV Days Pivot'!$A:$T,8,0)</f>
        <v>157.24682564261383</v>
      </c>
      <c r="T16" s="87">
        <f>VLOOKUP($D16,'INV Days Pivot'!$A:$T,10,0)</f>
        <v>29.942897930049966</v>
      </c>
      <c r="U16" s="87">
        <f>VLOOKUP($D16,'INV Days Pivot'!$A:$T,11,0)</f>
        <v>23.58525009127419</v>
      </c>
      <c r="V16" s="87">
        <f>VLOOKUP($D16,'INV Days Pivot'!$A:$T,13,0)</f>
        <v>656.21370499419288</v>
      </c>
      <c r="W16" s="112">
        <f>VLOOKUP($D16,'INV Days Pivot'!$A:$T,15,0)</f>
        <v>0</v>
      </c>
      <c r="X16" s="206">
        <f>VLOOKUP($D16,'INV Days Pivot'!$A:$T,20,0)</f>
        <v>0</v>
      </c>
      <c r="Y16" s="149">
        <f>VLOOKUP($D16,'INV Days Pivot'!$A:$T,17,0)</f>
        <v>33.02829005435035</v>
      </c>
      <c r="Z16" s="278"/>
      <c r="AA16" s="160"/>
      <c r="AB16" s="42" t="str">
        <f>IFERROR(VLOOKUP($A16,#REF!,2,0),"")</f>
        <v/>
      </c>
      <c r="AC16" s="178" t="str">
        <f>IFERROR(VLOOKUP($B16,#REF!,2,0),"")</f>
        <v/>
      </c>
    </row>
    <row r="17" spans="1:29" hidden="1">
      <c r="A17" s="124" t="str">
        <f t="shared" si="0"/>
        <v>PF14220</v>
      </c>
      <c r="B17" s="124" t="str">
        <f t="shared" si="1"/>
        <v>HP14220</v>
      </c>
      <c r="D17" s="73" t="s">
        <v>39</v>
      </c>
      <c r="E17" s="155" t="s">
        <v>40</v>
      </c>
      <c r="G17" s="87" t="e">
        <f>VLOOKUP($D17,'INV Days Pivot'!$A:$T,14,0)</f>
        <v>#N/A</v>
      </c>
      <c r="H17" s="87" t="e">
        <f>VLOOKUP($D17,'INV Days Pivot'!$A:$T,6,0)</f>
        <v>#N/A</v>
      </c>
      <c r="I17" s="87" t="e">
        <f>VLOOKUP($D17,'INV Days Pivot'!$A:$T,7,0)</f>
        <v>#N/A</v>
      </c>
      <c r="J17" s="87" t="e">
        <f>VLOOKUP($D17,'INV Days Pivot'!$A:$T,12,0)</f>
        <v>#N/A</v>
      </c>
      <c r="K17" s="87" t="e">
        <f>VLOOKUP($D17,'INV Days Pivot'!$A:$T,19,0)</f>
        <v>#N/A</v>
      </c>
      <c r="L17" s="87" t="e">
        <f>VLOOKUP($D17,'INV Days Pivot'!$A:$T,16,0)</f>
        <v>#N/A</v>
      </c>
      <c r="M17" s="87" t="e">
        <f>VLOOKUP($D17,'INV Days Pivot'!$A:$T,18,0)</f>
        <v>#N/A</v>
      </c>
      <c r="N17" s="87" t="e">
        <f>VLOOKUP($D17,'INV Days Pivot'!$A:$U,21,0)</f>
        <v>#N/A</v>
      </c>
      <c r="O17" s="351"/>
      <c r="P17" s="197"/>
      <c r="Q17" s="150" t="e">
        <f>VLOOKUP($D17,'INV Days Pivot'!$A:$T,4,0)</f>
        <v>#N/A</v>
      </c>
      <c r="R17" s="87" t="e">
        <f>VLOOKUP($D17,'INV Days Pivot'!$A:$T,5,0)</f>
        <v>#N/A</v>
      </c>
      <c r="S17" s="87" t="e">
        <f>VLOOKUP($D17,'INV Days Pivot'!$A:$T,8,0)</f>
        <v>#N/A</v>
      </c>
      <c r="T17" s="87" t="e">
        <f>VLOOKUP($D17,'INV Days Pivot'!$A:$T,10,0)</f>
        <v>#N/A</v>
      </c>
      <c r="U17" s="87" t="e">
        <f>VLOOKUP($D17,'INV Days Pivot'!$A:$T,11,0)</f>
        <v>#N/A</v>
      </c>
      <c r="V17" s="87" t="e">
        <f>VLOOKUP($D17,'INV Days Pivot'!$A:$T,13,0)</f>
        <v>#N/A</v>
      </c>
      <c r="W17" s="112" t="e">
        <f>VLOOKUP($D17,'INV Days Pivot'!$A:$T,15,0)</f>
        <v>#N/A</v>
      </c>
      <c r="X17" s="206" t="e">
        <f>VLOOKUP($D17,'INV Days Pivot'!$A:$T,20,0)</f>
        <v>#N/A</v>
      </c>
      <c r="Y17" s="149" t="e">
        <f>VLOOKUP($D17,'INV Days Pivot'!$A:$T,17,0)</f>
        <v>#N/A</v>
      </c>
      <c r="Z17" s="278"/>
      <c r="AA17" s="160"/>
      <c r="AB17" s="42" t="str">
        <f>IFERROR(VLOOKUP($A17,#REF!,2,0),"")</f>
        <v/>
      </c>
      <c r="AC17" s="178" t="str">
        <f>IFERROR(VLOOKUP($B17,#REF!,2,0),"")</f>
        <v/>
      </c>
    </row>
    <row r="18" spans="1:29">
      <c r="A18" s="124" t="str">
        <f t="shared" si="0"/>
        <v>PF14248</v>
      </c>
      <c r="B18" s="124" t="str">
        <f t="shared" si="1"/>
        <v>HP14248</v>
      </c>
      <c r="D18" s="73" t="s">
        <v>41</v>
      </c>
      <c r="E18" s="319" t="s">
        <v>42</v>
      </c>
      <c r="G18" s="87">
        <f>VLOOKUP($D18,'INV Days Pivot'!$A:$T,14,0)</f>
        <v>11.77570093457944</v>
      </c>
      <c r="H18" s="87">
        <f>VLOOKUP($D18,'INV Days Pivot'!$A:$T,6,0)</f>
        <v>0</v>
      </c>
      <c r="I18" s="87">
        <f>VLOOKUP($D18,'INV Days Pivot'!$A:$T,7,0)</f>
        <v>49.217002237136469</v>
      </c>
      <c r="J18" s="87">
        <f>VLOOKUP($D18,'INV Days Pivot'!$A:$T,12,0)</f>
        <v>35.266686097347716</v>
      </c>
      <c r="K18" s="87">
        <f>VLOOKUP($D18,'INV Days Pivot'!$A:$T,19,0)</f>
        <v>36.062176165803109</v>
      </c>
      <c r="L18" s="87">
        <f>VLOOKUP($D18,'INV Days Pivot'!$A:$T,16,0)</f>
        <v>0</v>
      </c>
      <c r="M18" s="87">
        <f>VLOOKUP($D18,'INV Days Pivot'!$A:$T,18,0)</f>
        <v>21.380045291061677</v>
      </c>
      <c r="N18" s="87">
        <f>VLOOKUP($D18,'INV Days Pivot'!$A:$U,21,0)</f>
        <v>36.734693877551024</v>
      </c>
      <c r="O18" s="134"/>
      <c r="Q18" s="150">
        <f>VLOOKUP($D18,'INV Days Pivot'!$A:$T,4,0)</f>
        <v>41.836568259663999</v>
      </c>
      <c r="R18" s="87">
        <f>VLOOKUP($D18,'INV Days Pivot'!$A:$T,5,0)</f>
        <v>11.889035667107001</v>
      </c>
      <c r="S18" s="87">
        <f>VLOOKUP($D18,'INV Days Pivot'!$A:$T,8,0)</f>
        <v>28.189254919301348</v>
      </c>
      <c r="T18" s="87">
        <f>VLOOKUP($D18,'INV Days Pivot'!$A:$T,10,0)</f>
        <v>37.155537207142117</v>
      </c>
      <c r="U18" s="87">
        <f>VLOOKUP($D18,'INV Days Pivot'!$A:$T,11,0)</f>
        <v>58.695652173913039</v>
      </c>
      <c r="V18" s="87">
        <f>VLOOKUP($D18,'INV Days Pivot'!$A:$T,13,0)</f>
        <v>3025.4629629629635</v>
      </c>
      <c r="W18" s="112">
        <f>VLOOKUP($D18,'INV Days Pivot'!$A:$T,15,0)</f>
        <v>6.6882853668423179</v>
      </c>
      <c r="X18" s="206">
        <f>VLOOKUP($D18,'INV Days Pivot'!$A:$T,20,0)</f>
        <v>0</v>
      </c>
      <c r="Y18" s="149">
        <f>VLOOKUP($D18,'INV Days Pivot'!$A:$T,17,0)</f>
        <v>13.37295690936107</v>
      </c>
      <c r="Z18" s="278"/>
      <c r="AA18" s="160"/>
      <c r="AB18" s="42" t="str">
        <f>IFERROR(VLOOKUP($A18,#REF!,2,0),"")</f>
        <v/>
      </c>
      <c r="AC18" s="178" t="str">
        <f>IFERROR(VLOOKUP($B18,#REF!,2,0),"")</f>
        <v/>
      </c>
    </row>
    <row r="19" spans="1:29">
      <c r="A19" s="124" t="str">
        <f t="shared" si="0"/>
        <v>PF15300</v>
      </c>
      <c r="B19" s="124" t="str">
        <f t="shared" si="1"/>
        <v>HP15300</v>
      </c>
      <c r="D19" s="295" t="s">
        <v>43</v>
      </c>
      <c r="E19" s="155" t="s">
        <v>44</v>
      </c>
      <c r="G19" s="87">
        <f>VLOOKUP($D19,'INV Days Pivot'!$A:$T,14,0)</f>
        <v>31.428571428571431</v>
      </c>
      <c r="H19" s="87">
        <f>VLOOKUP($D19,'INV Days Pivot'!$A:$T,6,0)</f>
        <v>0</v>
      </c>
      <c r="I19" s="87">
        <f>VLOOKUP($D19,'INV Days Pivot'!$A:$T,7,0)</f>
        <v>0</v>
      </c>
      <c r="J19" s="87">
        <f>VLOOKUP($D19,'INV Days Pivot'!$A:$T,12,0)</f>
        <v>13.641133263378803</v>
      </c>
      <c r="K19" s="87">
        <f>VLOOKUP($D19,'INV Days Pivot'!$A:$T,19,0)</f>
        <v>38.017144986954904</v>
      </c>
      <c r="L19" s="87">
        <f>VLOOKUP($D19,'INV Days Pivot'!$A:$T,16,0)</f>
        <v>38.82352941176471</v>
      </c>
      <c r="M19" s="87">
        <f>VLOOKUP($D19,'INV Days Pivot'!$A:$T,18,0)</f>
        <v>59.481443823080838</v>
      </c>
      <c r="N19" s="87">
        <f>VLOOKUP($D19,'INV Days Pivot'!$A:$U,21,0)</f>
        <v>45.882352941176471</v>
      </c>
      <c r="O19" s="134"/>
      <c r="Q19" s="150">
        <f>VLOOKUP($D19,'INV Days Pivot'!$A:$T,4,0)</f>
        <v>36.555645816409424</v>
      </c>
      <c r="R19" s="87">
        <f>VLOOKUP($D19,'INV Days Pivot'!$A:$T,5,0)</f>
        <v>0</v>
      </c>
      <c r="S19" s="87">
        <f>VLOOKUP($D19,'INV Days Pivot'!$A:$T,8,0)</f>
        <v>24.810475534114406</v>
      </c>
      <c r="T19" s="87">
        <f>VLOOKUP($D19,'INV Days Pivot'!$A:$T,10,0)</f>
        <v>59.259259259259252</v>
      </c>
      <c r="U19" s="87">
        <f>VLOOKUP($D19,'INV Days Pivot'!$A:$T,11,0)</f>
        <v>111.11111111111111</v>
      </c>
      <c r="V19" s="87">
        <f>VLOOKUP($D19,'INV Days Pivot'!$A:$T,13,0)</f>
        <v>206.58293633607622</v>
      </c>
      <c r="W19" s="112">
        <f>VLOOKUP($D19,'INV Days Pivot'!$A:$T,15,0)</f>
        <v>4.4609665427509295</v>
      </c>
      <c r="X19" s="206">
        <f>VLOOKUP($D19,'INV Days Pivot'!$A:$T,20,0)</f>
        <v>0</v>
      </c>
      <c r="Y19" s="149">
        <f>VLOOKUP($D19,'INV Days Pivot'!$A:$T,17,0)</f>
        <v>51.97055002165439</v>
      </c>
      <c r="Z19" s="278"/>
      <c r="AA19" s="160"/>
      <c r="AB19" s="42" t="str">
        <f>IFERROR(VLOOKUP($A19,#REF!,2,0),"")</f>
        <v/>
      </c>
      <c r="AC19" s="178" t="str">
        <f>IFERROR(VLOOKUP($B19,#REF!,2,0),"")</f>
        <v/>
      </c>
    </row>
    <row r="20" spans="1:29">
      <c r="A20" s="124" t="str">
        <f t="shared" si="0"/>
        <v>PF15305</v>
      </c>
      <c r="B20" s="124" t="str">
        <f t="shared" si="1"/>
        <v>HP15305</v>
      </c>
      <c r="D20" s="296" t="s">
        <v>45</v>
      </c>
      <c r="E20" s="297" t="s">
        <v>46</v>
      </c>
      <c r="G20" s="87">
        <f>VLOOKUP($D20,'INV Days Pivot'!$A:$T,14,0)</f>
        <v>330</v>
      </c>
      <c r="H20" s="87">
        <f>VLOOKUP($D20,'INV Days Pivot'!$A:$T,6,0)</f>
        <v>0</v>
      </c>
      <c r="I20" s="87">
        <f>VLOOKUP($D20,'INV Days Pivot'!$A:$T,7,0)</f>
        <v>33.457249070631967</v>
      </c>
      <c r="J20" s="87">
        <f>VLOOKUP($D20,'INV Days Pivot'!$A:$T,12,0)</f>
        <v>27.985074626865671</v>
      </c>
      <c r="K20" s="87">
        <f>VLOOKUP($D20,'INV Days Pivot'!$A:$T,19,0)</f>
        <v>19.008572493477452</v>
      </c>
      <c r="L20" s="87">
        <f>VLOOKUP($D20,'INV Days Pivot'!$A:$T,16,0)</f>
        <v>46.666666666666664</v>
      </c>
      <c r="M20" s="87">
        <f>VLOOKUP($D20,'INV Days Pivot'!$A:$T,18,0)</f>
        <v>50.330452465683784</v>
      </c>
      <c r="N20" s="87">
        <f>VLOOKUP($D20,'INV Days Pivot'!$A:$U,21,0)</f>
        <v>42.857142857142854</v>
      </c>
      <c r="O20" s="134"/>
      <c r="Q20" s="150">
        <f>VLOOKUP($D20,'INV Days Pivot'!$A:$T,4,0)</f>
        <v>41.522491349480973</v>
      </c>
      <c r="R20" s="87">
        <f>VLOOKUP($D20,'INV Days Pivot'!$A:$T,5,0)</f>
        <v>0</v>
      </c>
      <c r="S20" s="87">
        <f>VLOOKUP($D20,'INV Days Pivot'!$A:$T,8,0)</f>
        <v>29.252437703141933</v>
      </c>
      <c r="T20" s="87">
        <f>VLOOKUP($D20,'INV Days Pivot'!$A:$T,10,0)</f>
        <v>0</v>
      </c>
      <c r="U20" s="87">
        <f>VLOOKUP($D20,'INV Days Pivot'!$A:$T,11,0)</f>
        <v>0</v>
      </c>
      <c r="V20" s="87">
        <f>VLOOKUP($D20,'INV Days Pivot'!$A:$T,13,0)</f>
        <v>1902.317880794702</v>
      </c>
      <c r="W20" s="112">
        <f>VLOOKUP($D20,'INV Days Pivot'!$A:$T,15,0)</f>
        <v>35.248041775456919</v>
      </c>
      <c r="X20" s="206">
        <f>VLOOKUP($D20,'INV Days Pivot'!$A:$T,20,0)</f>
        <v>0</v>
      </c>
      <c r="Y20" s="149">
        <f>VLOOKUP($D20,'INV Days Pivot'!$A:$T,17,0)</f>
        <v>40.59040590405904</v>
      </c>
      <c r="Z20" s="278"/>
      <c r="AA20" s="160"/>
      <c r="AB20" s="42" t="str">
        <f>IFERROR(VLOOKUP($A20,#REF!,2,0),"")</f>
        <v/>
      </c>
      <c r="AC20" s="178" t="str">
        <f>IFERROR(VLOOKUP($B20,#REF!,2,0),"")</f>
        <v/>
      </c>
    </row>
    <row r="21" spans="1:29">
      <c r="A21" s="124" t="str">
        <f t="shared" si="0"/>
        <v>PF15312</v>
      </c>
      <c r="B21" s="124" t="str">
        <f t="shared" si="1"/>
        <v>HP15312</v>
      </c>
      <c r="D21" s="73" t="s">
        <v>47</v>
      </c>
      <c r="E21" s="155" t="s">
        <v>48</v>
      </c>
      <c r="G21" s="87">
        <f>VLOOKUP($D21,'INV Days Pivot'!$A:$T,14,0)</f>
        <v>307.5</v>
      </c>
      <c r="H21" s="87">
        <f>VLOOKUP($D21,'INV Days Pivot'!$A:$T,6,0)</f>
        <v>0</v>
      </c>
      <c r="I21" s="87">
        <f>VLOOKUP($D21,'INV Days Pivot'!$A:$T,7,0)</f>
        <v>64.257028112449802</v>
      </c>
      <c r="J21" s="87">
        <f>VLOOKUP($D21,'INV Days Pivot'!$A:$T,12,0)</f>
        <v>42.990654205607484</v>
      </c>
      <c r="K21" s="87">
        <f>VLOOKUP($D21,'INV Days Pivot'!$A:$T,19,0)</f>
        <v>50.139275766016709</v>
      </c>
      <c r="L21" s="87">
        <f>VLOOKUP($D21,'INV Days Pivot'!$A:$T,16,0)</f>
        <v>0</v>
      </c>
      <c r="M21" s="87">
        <f>VLOOKUP($D21,'INV Days Pivot'!$A:$T,18,0)</f>
        <v>22.87747839349263</v>
      </c>
      <c r="N21" s="87">
        <f>VLOOKUP($D21,'INV Days Pivot'!$A:$U,21,0)</f>
        <v>0</v>
      </c>
      <c r="O21" s="134"/>
      <c r="Q21" s="150">
        <f>VLOOKUP($D21,'INV Days Pivot'!$A:$T,4,0)</f>
        <v>23.506366307541626</v>
      </c>
      <c r="R21" s="87">
        <f>VLOOKUP($D21,'INV Days Pivot'!$A:$T,5,0)</f>
        <v>39.215686274509807</v>
      </c>
      <c r="S21" s="87">
        <f>VLOOKUP($D21,'INV Days Pivot'!$A:$T,8,0)</f>
        <v>0</v>
      </c>
      <c r="T21" s="87">
        <f>VLOOKUP($D21,'INV Days Pivot'!$A:$T,10,0)</f>
        <v>0</v>
      </c>
      <c r="U21" s="87">
        <f>VLOOKUP($D21,'INV Days Pivot'!$A:$T,11,0)</f>
        <v>0</v>
      </c>
      <c r="V21" s="87">
        <f>VLOOKUP($D21,'INV Days Pivot'!$A:$T,13,0)</f>
        <v>0</v>
      </c>
      <c r="W21" s="112">
        <f>VLOOKUP($D21,'INV Days Pivot'!$A:$T,15,0)</f>
        <v>27.540563620836892</v>
      </c>
      <c r="X21" s="206">
        <f>VLOOKUP($D21,'INV Days Pivot'!$A:$T,20,0)</f>
        <v>0</v>
      </c>
      <c r="Y21" s="149">
        <f>VLOOKUP($D21,'INV Days Pivot'!$A:$T,17,0)</f>
        <v>64.516129032258078</v>
      </c>
      <c r="Z21" s="278"/>
      <c r="AA21" s="160"/>
      <c r="AB21" s="42" t="str">
        <f>IFERROR(VLOOKUP($A21,#REF!,2,0),"")</f>
        <v/>
      </c>
      <c r="AC21" s="178" t="str">
        <f>IFERROR(VLOOKUP($B21,#REF!,2,0),"")</f>
        <v/>
      </c>
    </row>
    <row r="22" spans="1:29" ht="13.5" thickBot="1">
      <c r="A22" s="124" t="str">
        <f t="shared" si="0"/>
        <v>PF16407</v>
      </c>
      <c r="B22" s="124" t="str">
        <f t="shared" si="1"/>
        <v>HP16407</v>
      </c>
      <c r="D22" s="184" t="s">
        <v>49</v>
      </c>
      <c r="E22" s="320" t="s">
        <v>50</v>
      </c>
      <c r="F22" s="135"/>
      <c r="G22" s="74">
        <f>VLOOKUP($D22,'INV Days Pivot'!$A:$T,14,0)</f>
        <v>34.615384615384613</v>
      </c>
      <c r="H22" s="74">
        <f>VLOOKUP($D22,'INV Days Pivot'!$A:$T,6,0)</f>
        <v>0</v>
      </c>
      <c r="I22" s="74">
        <f>VLOOKUP($D22,'INV Days Pivot'!$A:$T,7,0)</f>
        <v>94.795539033457246</v>
      </c>
      <c r="J22" s="74">
        <f>VLOOKUP($D22,'INV Days Pivot'!$A:$T,12,0)</f>
        <v>25.182651950878284</v>
      </c>
      <c r="K22" s="74">
        <f>VLOOKUP($D22,'INV Days Pivot'!$A:$T,19,0)</f>
        <v>18.886401790710686</v>
      </c>
      <c r="L22" s="74">
        <f>VLOOKUP($D22,'INV Days Pivot'!$A:$T,16,0)</f>
        <v>45</v>
      </c>
      <c r="M22" s="74">
        <f>VLOOKUP($D22,'INV Days Pivot'!$A:$T,18,0)</f>
        <v>19.539427773900908</v>
      </c>
      <c r="N22" s="74">
        <f>VLOOKUP($D22,'INV Days Pivot'!$A:$U,21,0)</f>
        <v>32.790697674418603</v>
      </c>
      <c r="O22" s="179"/>
      <c r="Q22" s="153">
        <f>VLOOKUP($D22,'INV Days Pivot'!$A:$T,4,0)</f>
        <v>44.174967518406234</v>
      </c>
      <c r="R22" s="74">
        <f>VLOOKUP($D22,'INV Days Pivot'!$A:$T,5,0)</f>
        <v>25.341130604288498</v>
      </c>
      <c r="S22" s="74">
        <f>VLOOKUP($D22,'INV Days Pivot'!$A:$T,8,0)</f>
        <v>51.391862955032117</v>
      </c>
      <c r="T22" s="74">
        <f>VLOOKUP($D22,'INV Days Pivot'!$A:$T,10,0)</f>
        <v>36.090225563909776</v>
      </c>
      <c r="U22" s="74">
        <f>VLOOKUP($D22,'INV Days Pivot'!$A:$T,11,0)</f>
        <v>64.555420219244823</v>
      </c>
      <c r="V22" s="74">
        <f>VLOOKUP($D22,'INV Days Pivot'!$A:$T,13,0)</f>
        <v>467.26395589248796</v>
      </c>
      <c r="W22" s="151">
        <f>VLOOKUP($D22,'INV Days Pivot'!$A:$T,15,0)</f>
        <v>17.749863462588749</v>
      </c>
      <c r="X22" s="275">
        <f>VLOOKUP($D22,'INV Days Pivot'!$A:$T,20,0)</f>
        <v>0</v>
      </c>
      <c r="Y22" s="152">
        <f>VLOOKUP($D22,'INV Days Pivot'!$A:$T,17,0)</f>
        <v>21.824060352957023</v>
      </c>
      <c r="Z22" s="279"/>
      <c r="AA22" s="162"/>
      <c r="AB22" s="277" t="str">
        <f>IFERROR(VLOOKUP($A22,#REF!,2,0),"")</f>
        <v/>
      </c>
      <c r="AC22" s="180" t="str">
        <f>IFERROR(VLOOKUP($B22,#REF!,2,0),"")</f>
        <v/>
      </c>
    </row>
    <row r="23" spans="1:29" hidden="1">
      <c r="D23" s="185" t="s">
        <v>82</v>
      </c>
      <c r="E23" s="188" t="s">
        <v>83</v>
      </c>
      <c r="G23" s="87" t="e">
        <f>VLOOKUP(D23,'INV Days Pivot'!A16:O65,15,0)</f>
        <v>#N/A</v>
      </c>
      <c r="H23" s="87" t="e">
        <f>VLOOKUP(D23,'INV Days Pivot'!A16:F65,6,0)</f>
        <v>#N/A</v>
      </c>
      <c r="I23" s="87" t="e">
        <f>VLOOKUP(D23,'INV Days Pivot'!A16:G65,7,0)</f>
        <v>#N/A</v>
      </c>
      <c r="J23" s="87" t="e">
        <f>VLOOKUP(D23,'INV Days Pivot'!A16:L65,12,0)</f>
        <v>#N/A</v>
      </c>
      <c r="K23" s="87" t="e">
        <f>VLOOKUP(D23,'INV Days Pivot'!A16:M65,13,0)</f>
        <v>#N/A</v>
      </c>
      <c r="L23" s="87" t="e">
        <f>VLOOKUP(D23,'INV Days Pivot'!A16:Q65,17,0)</f>
        <v>#N/A</v>
      </c>
      <c r="M23" s="113" t="e">
        <f>VLOOKUP($D23,'INV Days Pivot'!$A$5:$S$50,19,0)</f>
        <v>#N/A</v>
      </c>
      <c r="N23" s="113"/>
      <c r="O23" s="198"/>
      <c r="Q23" s="111" t="e">
        <f>VLOOKUP(D23,'INV Days Pivot'!A16:D65,4,0)</f>
        <v>#N/A</v>
      </c>
      <c r="R23" s="87" t="e">
        <f>VLOOKUP(D23,'INV Days Pivot'!A16:E65,5,0)</f>
        <v>#N/A</v>
      </c>
      <c r="S23" s="87" t="e">
        <f>VLOOKUP(D23,'INV Days Pivot'!A16:H65,8,0)</f>
        <v>#N/A</v>
      </c>
      <c r="T23" s="87" t="e">
        <f>VLOOKUP(D23,'INV Days Pivot'!A16:J65,10,0)</f>
        <v>#N/A</v>
      </c>
      <c r="U23" s="87" t="e">
        <f>VLOOKUP(D23,'INV Days Pivot'!A16:K65,11,0)</f>
        <v>#N/A</v>
      </c>
      <c r="V23" s="87" t="e">
        <f>VLOOKUP(D23,'INV Days Pivot'!A16:N65,14,0)</f>
        <v>#N/A</v>
      </c>
      <c r="W23" s="87" t="e">
        <f>VLOOKUP(D23,'INV Days Pivot'!A16:P65,16,0)</f>
        <v>#N/A</v>
      </c>
      <c r="X23" s="87" t="e">
        <f>VLOOKUP($D23,'INV Days Pivot'!A16:S62,19,0)</f>
        <v>#N/A</v>
      </c>
      <c r="Y23" s="113" t="e">
        <f>VLOOKUP($D23,'INV Days Pivot'!A13:R60,18,0)</f>
        <v>#N/A</v>
      </c>
    </row>
    <row r="29" spans="1:29">
      <c r="D29" s="73" t="s">
        <v>41</v>
      </c>
      <c r="E29" s="155" t="s">
        <v>42</v>
      </c>
    </row>
  </sheetData>
  <conditionalFormatting sqref="G15:J22 L15:L22 G23:N23">
    <cfRule type="cellIs" dxfId="2170" priority="13" operator="lessThan">
      <formula>15</formula>
    </cfRule>
  </conditionalFormatting>
  <conditionalFormatting sqref="G3:N11">
    <cfRule type="cellIs" dxfId="2169" priority="7" operator="lessThanOrEqual">
      <formula>0</formula>
    </cfRule>
  </conditionalFormatting>
  <conditionalFormatting sqref="K16">
    <cfRule type="cellIs" dxfId="2168" priority="4" operator="lessThan">
      <formula>15</formula>
    </cfRule>
  </conditionalFormatting>
  <conditionalFormatting sqref="Q11:W11 Y11">
    <cfRule type="cellIs" priority="27" operator="lessThan">
      <formula>0</formula>
    </cfRule>
  </conditionalFormatting>
  <conditionalFormatting sqref="Q3:X11">
    <cfRule type="cellIs" dxfId="2167" priority="6" operator="lessThan">
      <formula>0</formula>
    </cfRule>
  </conditionalFormatting>
  <conditionalFormatting sqref="Q15:Y23">
    <cfRule type="cellIs" dxfId="2166" priority="5" operator="lessThan">
      <formula>15</formula>
    </cfRule>
  </conditionalFormatting>
  <conditionalFormatting sqref="Y3:Y10">
    <cfRule type="cellIs" dxfId="2165" priority="21" operator="lessThan">
      <formula>0</formula>
    </cfRule>
  </conditionalFormatting>
  <conditionalFormatting sqref="Y11:Z11">
    <cfRule type="cellIs" dxfId="2164" priority="3" operator="lessThan">
      <formula>0</formula>
    </cfRule>
  </conditionalFormatting>
  <conditionalFormatting sqref="Z3:AA10">
    <cfRule type="cellIs" dxfId="2163" priority="1" operator="lessThanOrEqual">
      <formula>0</formula>
    </cfRule>
  </conditionalFormatting>
  <pageMargins left="0.7" right="0.7" top="0.75" bottom="0.75" header="0.3" footer="0.3"/>
  <pageSetup paperSize="9" orientation="portrait" r:id="rId1"/>
  <ignoredErrors>
    <ignoredError sqref="AA7" formula="1"/>
    <ignoredError sqref="O17:P17" evalErro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9684-F293-4601-A49E-E96ADFF518EA}">
  <sheetPr>
    <tabColor theme="4"/>
  </sheetPr>
  <dimension ref="A2:AC13"/>
  <sheetViews>
    <sheetView showGridLines="0" topLeftCell="C1" zoomScale="80" zoomScaleNormal="80" workbookViewId="0">
      <selection activeCell="E6" sqref="E6"/>
    </sheetView>
  </sheetViews>
  <sheetFormatPr defaultRowHeight="15"/>
  <cols>
    <col min="1" max="1" width="0" hidden="1" customWidth="1"/>
    <col min="2" max="2" width="8.7109375" hidden="1" customWidth="1"/>
    <col min="3" max="3" width="5.140625" customWidth="1"/>
    <col min="4" max="4" width="7.85546875" bestFit="1" customWidth="1"/>
    <col min="5" max="5" width="31.5703125" bestFit="1" customWidth="1"/>
    <col min="6" max="6" width="6.140625" hidden="1" customWidth="1"/>
    <col min="7" max="26" width="8.42578125" customWidth="1"/>
    <col min="27" max="27" width="7.5703125" bestFit="1" customWidth="1"/>
    <col min="28" max="28" width="7.5703125" customWidth="1"/>
    <col min="29" max="29" width="12.42578125" customWidth="1"/>
  </cols>
  <sheetData>
    <row r="2" spans="1:29" ht="39.75" thickBot="1">
      <c r="D2" s="62"/>
      <c r="E2" s="63"/>
      <c r="F2" s="63"/>
      <c r="G2" s="12">
        <v>14</v>
      </c>
      <c r="H2" s="12">
        <v>6</v>
      </c>
      <c r="I2" s="12">
        <v>7</v>
      </c>
      <c r="J2" s="12">
        <v>12</v>
      </c>
      <c r="K2" s="12">
        <v>19</v>
      </c>
      <c r="L2" s="12">
        <v>16</v>
      </c>
      <c r="M2" s="12">
        <v>18</v>
      </c>
      <c r="N2" s="12"/>
      <c r="O2" s="53"/>
      <c r="P2" s="63"/>
      <c r="Q2" s="12">
        <v>4</v>
      </c>
      <c r="R2" s="12">
        <v>5</v>
      </c>
      <c r="S2" s="12">
        <v>8</v>
      </c>
      <c r="T2" s="12">
        <v>10</v>
      </c>
      <c r="U2" s="12">
        <v>11</v>
      </c>
      <c r="V2" s="12">
        <v>13</v>
      </c>
      <c r="W2" s="12">
        <v>15</v>
      </c>
      <c r="X2" s="12">
        <v>20</v>
      </c>
      <c r="Y2" s="12">
        <v>17</v>
      </c>
      <c r="Z2" s="63"/>
      <c r="AA2" s="64"/>
      <c r="AB2" s="235" t="s">
        <v>897</v>
      </c>
      <c r="AC2" s="235" t="s">
        <v>897</v>
      </c>
    </row>
    <row r="3" spans="1:29" ht="39" thickBot="1">
      <c r="A3" t="s">
        <v>900</v>
      </c>
      <c r="B3" t="s">
        <v>901</v>
      </c>
      <c r="D3" s="336" t="s">
        <v>2</v>
      </c>
      <c r="E3" s="337" t="s">
        <v>4</v>
      </c>
      <c r="F3" s="94" t="s">
        <v>6</v>
      </c>
      <c r="G3" s="94" t="s">
        <v>121</v>
      </c>
      <c r="H3" s="94" t="s">
        <v>122</v>
      </c>
      <c r="I3" s="94" t="s">
        <v>123</v>
      </c>
      <c r="J3" s="94" t="s">
        <v>124</v>
      </c>
      <c r="K3" s="94" t="s">
        <v>717</v>
      </c>
      <c r="L3" s="94" t="s">
        <v>125</v>
      </c>
      <c r="M3" s="95" t="s">
        <v>176</v>
      </c>
      <c r="N3" s="94" t="s">
        <v>962</v>
      </c>
      <c r="O3" s="338" t="s">
        <v>126</v>
      </c>
      <c r="P3" s="102"/>
      <c r="Q3" s="122" t="s">
        <v>127</v>
      </c>
      <c r="R3" s="121" t="s">
        <v>128</v>
      </c>
      <c r="S3" s="121" t="s">
        <v>129</v>
      </c>
      <c r="T3" s="121" t="s">
        <v>130</v>
      </c>
      <c r="U3" s="121" t="s">
        <v>131</v>
      </c>
      <c r="V3" s="121" t="s">
        <v>132</v>
      </c>
      <c r="W3" s="121" t="s">
        <v>133</v>
      </c>
      <c r="X3" s="121" t="s">
        <v>187</v>
      </c>
      <c r="Y3" s="121" t="s">
        <v>155</v>
      </c>
      <c r="Z3" s="223" t="s">
        <v>134</v>
      </c>
      <c r="AA3" s="260" t="s">
        <v>135</v>
      </c>
      <c r="AB3" s="250" t="s">
        <v>136</v>
      </c>
      <c r="AC3" s="243" t="s">
        <v>137</v>
      </c>
    </row>
    <row r="4" spans="1:29">
      <c r="A4" t="str">
        <f>$AB$3&amp;$D4</f>
        <v>PF06151</v>
      </c>
      <c r="B4" t="str">
        <f>$AC$3&amp;$D4</f>
        <v>HP06151</v>
      </c>
      <c r="D4" s="339" t="s">
        <v>28</v>
      </c>
      <c r="E4" s="340" t="s">
        <v>29</v>
      </c>
      <c r="F4" s="340"/>
      <c r="G4" s="106">
        <f>VLOOKUP($D4,'RF Pendency Pivot'!$A:$T,14,0)</f>
        <v>3063.9599999999991</v>
      </c>
      <c r="H4" s="106">
        <f>VLOOKUP($D4,'RF Pendency Pivot'!$A:$T,6,0)</f>
        <v>0</v>
      </c>
      <c r="I4" s="106">
        <f>VLOOKUP($D4,'RF Pendency Pivot'!$A:$T,7,0)</f>
        <v>256.4399999999996</v>
      </c>
      <c r="J4" s="8">
        <f>VLOOKUP($D4,'RF Pendency Pivot'!$A:$T,12,0)</f>
        <v>-5765.16</v>
      </c>
      <c r="K4" s="106">
        <f>VLOOKUP($D4,'RF Pendency Pivot'!$A:$T,19,0)</f>
        <v>9097.68</v>
      </c>
      <c r="L4" s="106">
        <f>VLOOKUP($D4,'RF Pendency Pivot'!$A:$T,16,0)</f>
        <v>-4580.0400000000009</v>
      </c>
      <c r="M4" s="106">
        <f>VLOOKUP($D4,'RF Pendency Pivot'!$A:$T,18,0)</f>
        <v>-9132</v>
      </c>
      <c r="N4" s="106">
        <f>VLOOKUP($D4,'RF Pendency Pivot'!$A:$U,21,0)</f>
        <v>-9520.0800000000017</v>
      </c>
      <c r="O4" s="341">
        <f>IF(G4&lt;0,G4+SUMIF(G4:N4,"&gt;0"),SUMIF(G4:N4,"&gt;0"))</f>
        <v>12418.079999999998</v>
      </c>
      <c r="P4" s="4"/>
      <c r="Q4" s="107">
        <f>VLOOKUP($D4,'RF Pendency Pivot'!$A:$T,4,0)</f>
        <v>700.55999999999767</v>
      </c>
      <c r="R4" s="106">
        <f>VLOOKUP($D4,'RF Pendency Pivot'!$A:$T,5,0)</f>
        <v>-10335.36</v>
      </c>
      <c r="S4" s="106">
        <f>VLOOKUP($D4,'RF Pendency Pivot'!$A:$T,8,0)</f>
        <v>2769.4800000000032</v>
      </c>
      <c r="T4" s="106">
        <f>VLOOKUP($D4,'RF Pendency Pivot'!$A:$T,10,0)</f>
        <v>6219</v>
      </c>
      <c r="U4" s="106">
        <f>VLOOKUP($D4,'RF Pendency Pivot'!$A:$T,11,0)</f>
        <v>-4.0799999999999272</v>
      </c>
      <c r="V4" s="106">
        <f>VLOOKUP($D4,'RF Pendency Pivot'!$A:$T,13,0)</f>
        <v>-6857.76</v>
      </c>
      <c r="W4" s="106">
        <f>VLOOKUP($D4,'RF Pendency Pivot'!$A:$T,15,0)</f>
        <v>419.27999999999884</v>
      </c>
      <c r="X4" s="106">
        <f>VLOOKUP($D4,'RF Pendency Pivot'!$A:$T,20,0)</f>
        <v>0</v>
      </c>
      <c r="Y4" s="106">
        <f>VLOOKUP($D4,'RF Pendency Pivot'!$A:$T,17,0)</f>
        <v>-7164.3600000000006</v>
      </c>
      <c r="Z4" s="224">
        <f>IF(W4&lt;0,W4+SUMIF(Q4:Y4,"&gt;0"),SUMIF(Q4:Y4,"&gt;0"))</f>
        <v>10108.32</v>
      </c>
      <c r="AA4" s="261">
        <f>O4+Z4</f>
        <v>22526.399999999998</v>
      </c>
      <c r="AB4" s="77" t="str">
        <f>IFERROR(VLOOKUP(A4,#REF!,2,0),"")</f>
        <v/>
      </c>
      <c r="AC4" s="263" t="str">
        <f>IFERROR(VLOOKUP(B4,#REF!,2,0),"")</f>
        <v/>
      </c>
    </row>
    <row r="5" spans="1:29">
      <c r="A5" t="str">
        <f t="shared" ref="A5:A13" si="0">$AB$3&amp;$D5</f>
        <v>PF19690</v>
      </c>
      <c r="B5" t="str">
        <f t="shared" ref="B5:B13" si="1">$AC$3&amp;$D5</f>
        <v>HP19690</v>
      </c>
      <c r="D5" s="104" t="s">
        <v>88</v>
      </c>
      <c r="E5" s="4" t="s">
        <v>89</v>
      </c>
      <c r="F5" s="4"/>
      <c r="G5" s="8">
        <f>VLOOKUP($D5,'RF Pendency Pivot'!$A:$T,14,0)</f>
        <v>-192</v>
      </c>
      <c r="H5" s="8">
        <f>VLOOKUP($D5,'RF Pendency Pivot'!$A:$T,6,0)</f>
        <v>0</v>
      </c>
      <c r="I5" s="8">
        <f>VLOOKUP($D5,'RF Pendency Pivot'!$A:$T,7,0)</f>
        <v>-39.360000000000014</v>
      </c>
      <c r="J5" s="8">
        <f>VLOOKUP($D5,'RF Pendency Pivot'!$A:$T,12,0)</f>
        <v>-126.72000000000003</v>
      </c>
      <c r="K5" s="8">
        <f>VLOOKUP($D5,'RF Pendency Pivot'!$A:$T,19,0)</f>
        <v>-104.03999999999996</v>
      </c>
      <c r="L5" s="8">
        <f>VLOOKUP($D5,'RF Pendency Pivot'!$A:$T,16,0)</f>
        <v>-96</v>
      </c>
      <c r="M5" s="8">
        <f>VLOOKUP($D5,'RF Pendency Pivot'!$A:$T,18,0)</f>
        <v>0.96000000000000796</v>
      </c>
      <c r="N5" s="8">
        <f>VLOOKUP($D5,'RF Pendency Pivot'!$A:$U,21,0)</f>
        <v>-1980</v>
      </c>
      <c r="O5" s="342">
        <f t="shared" ref="O5:O7" si="2">IF(G5&lt;0,G5+SUMIF(G5:N5,"&gt;0"),SUMIF(G5:N5,"&gt;0"))</f>
        <v>-191.04</v>
      </c>
      <c r="P5" s="4"/>
      <c r="Q5" s="80">
        <f>VLOOKUP($D5,'RF Pendency Pivot'!$A:$T,4,0)</f>
        <v>-858.24</v>
      </c>
      <c r="R5" s="8">
        <f>VLOOKUP($D5,'RF Pendency Pivot'!$A:$T,5,0)</f>
        <v>-105.36</v>
      </c>
      <c r="S5" s="8">
        <f>VLOOKUP($D5,'RF Pendency Pivot'!$A:$T,8,0)</f>
        <v>-145.44</v>
      </c>
      <c r="T5" s="8">
        <f>VLOOKUP($D5,'RF Pendency Pivot'!$A:$T,10,0)</f>
        <v>70.199999999999989</v>
      </c>
      <c r="U5" s="8">
        <f>VLOOKUP($D5,'RF Pendency Pivot'!$A:$T,11,0)</f>
        <v>213.60000000000002</v>
      </c>
      <c r="V5" s="8">
        <f>VLOOKUP($D5,'RF Pendency Pivot'!$A:$T,13,0)</f>
        <v>14.759999999999991</v>
      </c>
      <c r="W5" s="8">
        <f>VLOOKUP($D5,'RF Pendency Pivot'!$A:$T,15,0)</f>
        <v>-63.360000000000014</v>
      </c>
      <c r="X5" s="8">
        <f>VLOOKUP($D5,'RF Pendency Pivot'!$A:$T,20,0)</f>
        <v>0</v>
      </c>
      <c r="Y5" s="8">
        <f>VLOOKUP($D5,'RF Pendency Pivot'!$A:$T,17,0)</f>
        <v>-180</v>
      </c>
      <c r="Z5" s="225">
        <f t="shared" ref="Z5:Z7" si="3">IF(W5&lt;0,W5+SUMIF(Q5:Y5,"&gt;0"),SUMIF(Q5:Y5,"&gt;0"))</f>
        <v>235.2</v>
      </c>
      <c r="AA5" s="8">
        <f t="shared" ref="AA5:AA6" si="4">O5+Z5</f>
        <v>44.16</v>
      </c>
      <c r="AB5" s="77" t="str">
        <f>IFERROR(VLOOKUP(A5,#REF!,2,0),"")</f>
        <v/>
      </c>
      <c r="AC5" s="263" t="str">
        <f>IFERROR(VLOOKUP(B5,#REF!,2,0),"")</f>
        <v/>
      </c>
    </row>
    <row r="6" spans="1:29">
      <c r="A6" t="str">
        <f t="shared" si="0"/>
        <v>PF20661</v>
      </c>
      <c r="B6" t="str">
        <f t="shared" si="1"/>
        <v>HP20661</v>
      </c>
      <c r="D6" s="103" t="s">
        <v>167</v>
      </c>
      <c r="E6" s="4" t="s">
        <v>168</v>
      </c>
      <c r="F6" s="4"/>
      <c r="G6" s="8">
        <f>VLOOKUP($D6,'RF Pendency Pivot'!$A:$T,14,0)</f>
        <v>1423.92</v>
      </c>
      <c r="H6" s="8">
        <f>VLOOKUP($D6,'RF Pendency Pivot'!$A:$T,6,0)</f>
        <v>0</v>
      </c>
      <c r="I6" s="8">
        <f>VLOOKUP($D6,'RF Pendency Pivot'!$A:$T,7,0)</f>
        <v>154.32</v>
      </c>
      <c r="J6" s="8">
        <f>VLOOKUP($D6,'RF Pendency Pivot'!$A:$T,12,0)</f>
        <v>-67.440000000000055</v>
      </c>
      <c r="K6" s="8">
        <f>VLOOKUP($D6,'RF Pendency Pivot'!$A:$T,19,0)</f>
        <v>153.96000000000004</v>
      </c>
      <c r="L6" s="8">
        <f>VLOOKUP($D6,'RF Pendency Pivot'!$A:$T,16,0)</f>
        <v>282</v>
      </c>
      <c r="M6" s="8">
        <f>VLOOKUP($D6,'RF Pendency Pivot'!$A:$T,18,0)</f>
        <v>-1000.9200000000001</v>
      </c>
      <c r="N6" s="8">
        <f>VLOOKUP($D6,'RF Pendency Pivot'!$A:$U,21,0)</f>
        <v>243.92000000000007</v>
      </c>
      <c r="O6" s="342">
        <f t="shared" si="2"/>
        <v>2258.12</v>
      </c>
      <c r="P6" s="4"/>
      <c r="Q6" s="80">
        <f>VLOOKUP($D6,'RF Pendency Pivot'!$A:$T,4,0)</f>
        <v>-2304.6000000000004</v>
      </c>
      <c r="R6" s="8">
        <f>VLOOKUP($D6,'RF Pendency Pivot'!$A:$T,5,0)</f>
        <v>-1239.8400000000001</v>
      </c>
      <c r="S6" s="8">
        <f>VLOOKUP($D6,'RF Pendency Pivot'!$A:$T,8,0)</f>
        <v>448.32</v>
      </c>
      <c r="T6" s="8">
        <f>VLOOKUP($D6,'RF Pendency Pivot'!$A:$T,10,0)</f>
        <v>-2629.4399999999996</v>
      </c>
      <c r="U6" s="8">
        <f>VLOOKUP($D6,'RF Pendency Pivot'!$A:$T,11,0)</f>
        <v>4299.9599999999991</v>
      </c>
      <c r="V6" s="8">
        <f>VLOOKUP($D6,'RF Pendency Pivot'!$A:$T,13,0)</f>
        <v>1202.6400000000001</v>
      </c>
      <c r="W6" s="8">
        <f>VLOOKUP($D6,'RF Pendency Pivot'!$A:$T,15,0)</f>
        <v>-3261.96</v>
      </c>
      <c r="X6" s="8">
        <f>VLOOKUP($D6,'RF Pendency Pivot'!$A:$T,20,0)</f>
        <v>0</v>
      </c>
      <c r="Y6" s="8">
        <f>VLOOKUP($D6,'RF Pendency Pivot'!$A:$T,17,0)</f>
        <v>-407.6400000000001</v>
      </c>
      <c r="Z6" s="225">
        <f t="shared" si="3"/>
        <v>2688.9599999999991</v>
      </c>
      <c r="AA6" s="8">
        <f t="shared" si="4"/>
        <v>4947.079999999999</v>
      </c>
      <c r="AB6" s="77" t="str">
        <f>IFERROR(VLOOKUP(A6,#REF!,2,0),"")</f>
        <v/>
      </c>
      <c r="AC6" s="263" t="str">
        <f>IFERROR(VLOOKUP(B6,#REF!,2,0),"")</f>
        <v/>
      </c>
    </row>
    <row r="7" spans="1:29" ht="15.75" thickBot="1">
      <c r="A7" t="str">
        <f t="shared" si="0"/>
        <v>PF23638</v>
      </c>
      <c r="B7" t="str">
        <f t="shared" si="1"/>
        <v>HP23638</v>
      </c>
      <c r="D7" s="105" t="s">
        <v>198</v>
      </c>
      <c r="E7" s="85" t="s">
        <v>199</v>
      </c>
      <c r="F7" s="85"/>
      <c r="G7" s="82">
        <f>VLOOKUP($D7,'RF Pendency Pivot'!$A:$T,14,0)</f>
        <v>5587.92</v>
      </c>
      <c r="H7" s="82">
        <f>VLOOKUP($D7,'RF Pendency Pivot'!$A:$T,6,0)</f>
        <v>0</v>
      </c>
      <c r="I7" s="82">
        <f>VLOOKUP($D7,'RF Pendency Pivot'!$A:$T,7,0)</f>
        <v>-1139.6400000000001</v>
      </c>
      <c r="J7" s="82">
        <f>VLOOKUP($D7,'RF Pendency Pivot'!$A:$T,12,0)</f>
        <v>2767.08</v>
      </c>
      <c r="K7" s="82">
        <f>VLOOKUP($D7,'RF Pendency Pivot'!$A:$T,19,0)</f>
        <v>2165.5200000000004</v>
      </c>
      <c r="L7" s="82">
        <f>VLOOKUP($D7,'RF Pendency Pivot'!$A:$T,16,0)</f>
        <v>1176</v>
      </c>
      <c r="M7" s="82">
        <f>VLOOKUP($D7,'RF Pendency Pivot'!$A:$T,18,0)</f>
        <v>-1540.3200000000002</v>
      </c>
      <c r="N7" s="82">
        <f>VLOOKUP($D7,'RF Pendency Pivot'!$A:$U,21,0)</f>
        <v>-500.15999999999985</v>
      </c>
      <c r="O7" s="343">
        <f t="shared" si="2"/>
        <v>11696.52</v>
      </c>
      <c r="P7" s="5"/>
      <c r="Q7" s="81">
        <f>VLOOKUP($D7,'RF Pendency Pivot'!$A:$T,4,0)</f>
        <v>-10973.52</v>
      </c>
      <c r="R7" s="82">
        <f>VLOOKUP($D7,'RF Pendency Pivot'!$A:$T,5,0)</f>
        <v>-915</v>
      </c>
      <c r="S7" s="82">
        <f>VLOOKUP($D7,'RF Pendency Pivot'!$A:$T,8,0)</f>
        <v>-2796</v>
      </c>
      <c r="T7" s="82">
        <f>VLOOKUP($D7,'RF Pendency Pivot'!$A:$T,10,0)</f>
        <v>-8180.2800000000007</v>
      </c>
      <c r="U7" s="82">
        <f>VLOOKUP($D7,'RF Pendency Pivot'!$A:$T,11,0)</f>
        <v>3712.6800000000003</v>
      </c>
      <c r="V7" s="82">
        <f>VLOOKUP($D7,'RF Pendency Pivot'!$A:$T,13,0)</f>
        <v>-11812.08</v>
      </c>
      <c r="W7" s="82">
        <f>VLOOKUP($D7,'RF Pendency Pivot'!$A:$T,15,0)</f>
        <v>7327.9199999999983</v>
      </c>
      <c r="X7" s="82">
        <f>VLOOKUP($D7,'RF Pendency Pivot'!$A:$T,20,0)</f>
        <v>0</v>
      </c>
      <c r="Y7" s="82">
        <f>VLOOKUP($D7,'RF Pendency Pivot'!$A:$T,17,0)</f>
        <v>3175.92</v>
      </c>
      <c r="Z7" s="226">
        <f t="shared" si="3"/>
        <v>14216.519999999999</v>
      </c>
      <c r="AA7" s="82">
        <f>O7+Z7+W7</f>
        <v>33240.959999999999</v>
      </c>
      <c r="AB7" s="78" t="str">
        <f>IFERROR(VLOOKUP(A7,#REF!,2,0),"")</f>
        <v/>
      </c>
      <c r="AC7" s="264" t="str">
        <f>IFERROR(VLOOKUP(B7,#REF!,2,0),"")</f>
        <v/>
      </c>
    </row>
    <row r="8" spans="1:29" ht="39.75" thickBot="1">
      <c r="A8" t="str">
        <f t="shared" si="0"/>
        <v>PF</v>
      </c>
      <c r="B8" t="str">
        <f t="shared" si="1"/>
        <v>HP</v>
      </c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4"/>
      <c r="Q8" s="3"/>
      <c r="R8" s="3"/>
      <c r="S8" s="3"/>
      <c r="T8" s="3"/>
      <c r="U8" s="3"/>
      <c r="V8" s="3"/>
      <c r="W8" s="3"/>
      <c r="X8" s="3"/>
      <c r="Y8" s="3"/>
      <c r="Z8" s="54"/>
      <c r="AA8" s="54"/>
      <c r="AB8" s="235" t="s">
        <v>897</v>
      </c>
      <c r="AC8" s="235" t="s">
        <v>897</v>
      </c>
    </row>
    <row r="9" spans="1:29" ht="39" thickBot="1">
      <c r="A9" t="str">
        <f t="shared" si="0"/>
        <v>PFMaterial Code</v>
      </c>
      <c r="B9" t="str">
        <f t="shared" si="1"/>
        <v>HPMaterial Code</v>
      </c>
      <c r="D9" s="108" t="s">
        <v>2</v>
      </c>
      <c r="E9" s="92" t="s">
        <v>4</v>
      </c>
      <c r="F9" s="91" t="s">
        <v>6</v>
      </c>
      <c r="G9" s="91" t="s">
        <v>121</v>
      </c>
      <c r="H9" s="91" t="s">
        <v>122</v>
      </c>
      <c r="I9" s="91" t="s">
        <v>123</v>
      </c>
      <c r="J9" s="91" t="s">
        <v>124</v>
      </c>
      <c r="K9" s="91" t="s">
        <v>717</v>
      </c>
      <c r="L9" s="91" t="s">
        <v>125</v>
      </c>
      <c r="M9" s="92" t="s">
        <v>176</v>
      </c>
      <c r="N9" s="91" t="s">
        <v>962</v>
      </c>
      <c r="O9" s="109" t="s">
        <v>126</v>
      </c>
      <c r="P9" s="56"/>
      <c r="Q9" s="200" t="s">
        <v>127</v>
      </c>
      <c r="R9" s="201" t="s">
        <v>128</v>
      </c>
      <c r="S9" s="201" t="s">
        <v>129</v>
      </c>
      <c r="T9" s="201" t="s">
        <v>130</v>
      </c>
      <c r="U9" s="201" t="s">
        <v>131</v>
      </c>
      <c r="V9" s="201" t="s">
        <v>132</v>
      </c>
      <c r="W9" s="201" t="s">
        <v>133</v>
      </c>
      <c r="X9" s="201" t="s">
        <v>187</v>
      </c>
      <c r="Y9" s="202" t="s">
        <v>155</v>
      </c>
      <c r="Z9" s="199" t="s">
        <v>134</v>
      </c>
      <c r="AA9" s="262" t="s">
        <v>135</v>
      </c>
      <c r="AB9" s="250" t="s">
        <v>136</v>
      </c>
      <c r="AC9" s="243" t="s">
        <v>137</v>
      </c>
    </row>
    <row r="10" spans="1:29">
      <c r="A10" t="str">
        <f t="shared" si="0"/>
        <v>PF06151</v>
      </c>
      <c r="B10" t="str">
        <f t="shared" si="1"/>
        <v>HP06151</v>
      </c>
      <c r="D10" s="103" t="s">
        <v>28</v>
      </c>
      <c r="E10" s="65" t="s">
        <v>29</v>
      </c>
      <c r="F10" s="4"/>
      <c r="G10" s="230">
        <f>VLOOKUP($D10,'INV Days Pivot'!$A:$T,14,0)</f>
        <v>11.047527618819046</v>
      </c>
      <c r="H10" s="231">
        <f>VLOOKUP($D10,'INV Days Pivot'!$A:$T,6,0)</f>
        <v>0</v>
      </c>
      <c r="I10" s="231">
        <f>VLOOKUP($D10,'INV Days Pivot'!$A:$T,7,0)</f>
        <v>16.463755760982497</v>
      </c>
      <c r="J10" s="231">
        <f>VLOOKUP($D10,'INV Days Pivot'!$A:$T,12,0)</f>
        <v>26.652841701664219</v>
      </c>
      <c r="K10" s="231">
        <f>VLOOKUP($D10,'INV Days Pivot'!$A:$T,19,0)</f>
        <v>0.14182832469231132</v>
      </c>
      <c r="L10" s="231">
        <f>VLOOKUP($D10,'INV Days Pivot'!$A:$T,16,0)</f>
        <v>24.784691645205061</v>
      </c>
      <c r="M10" s="232">
        <f>VLOOKUP($D10,'INV Days Pivot'!$A:$T,18,0)</f>
        <v>47.264653641207815</v>
      </c>
      <c r="N10" s="98">
        <f>VLOOKUP($D10,'INV Days Pivot'!$A:$U,21,0)</f>
        <v>26.364829952140951</v>
      </c>
      <c r="O10" s="83"/>
      <c r="P10" s="4"/>
      <c r="Q10" s="97">
        <f>VLOOKUP($D10,'INV Days Pivot'!$A:$T,4,0)</f>
        <v>10.505183906993334</v>
      </c>
      <c r="R10" s="123">
        <f>VLOOKUP($D10,'INV Days Pivot'!$A:$T,5,0)</f>
        <v>55.127943725150374</v>
      </c>
      <c r="S10" s="123">
        <f>VLOOKUP($D10,'INV Days Pivot'!$A:$T,8,0)</f>
        <v>14.351818468890716</v>
      </c>
      <c r="T10" s="123">
        <f>VLOOKUP($D10,'INV Days Pivot'!$A:$T,10,0)</f>
        <v>12.176894069249229</v>
      </c>
      <c r="U10" s="123">
        <f>VLOOKUP($D10,'INV Days Pivot'!$A:$T,11,0)</f>
        <v>13.500135001350014</v>
      </c>
      <c r="V10" s="123">
        <f>VLOOKUP($D10,'INV Days Pivot'!$A:$T,13,0)</f>
        <v>40.138612630532073</v>
      </c>
      <c r="W10" s="205">
        <f>VLOOKUP($D10,'INV Days Pivot'!$A:$T,15,0)</f>
        <v>16.168058294521604</v>
      </c>
      <c r="X10" s="228">
        <f>VLOOKUP($D10,'INV Days Pivot'!$A:$T,20,0)</f>
        <v>0</v>
      </c>
      <c r="Y10" s="98">
        <f>VLOOKUP($D10,'INV Days Pivot'!$A:$T,17,0)</f>
        <v>34.057134864855414</v>
      </c>
      <c r="Z10" s="203"/>
      <c r="AA10" s="4"/>
      <c r="AB10" s="265" t="str">
        <f>IFERROR(VLOOKUP($A10,#REF!,2,0),"")</f>
        <v/>
      </c>
      <c r="AC10" s="266" t="str">
        <f>IFERROR(VLOOKUP($B10,#REF!,2,0),"")</f>
        <v/>
      </c>
    </row>
    <row r="11" spans="1:29">
      <c r="A11" t="str">
        <f t="shared" si="0"/>
        <v>PF19690</v>
      </c>
      <c r="B11" t="str">
        <f t="shared" si="1"/>
        <v>HP19690</v>
      </c>
      <c r="D11" s="307" t="s">
        <v>88</v>
      </c>
      <c r="E11" s="308" t="s">
        <v>89</v>
      </c>
      <c r="F11" s="4"/>
      <c r="G11" s="97">
        <f>VLOOKUP($D11,'INV Days Pivot'!$A:$T,14,0)</f>
        <v>70</v>
      </c>
      <c r="H11" s="123">
        <f>VLOOKUP($D11,'INV Days Pivot'!$A:$T,6,0)</f>
        <v>0</v>
      </c>
      <c r="I11" s="123">
        <f>VLOOKUP($D11,'INV Days Pivot'!$A:$T,7,0)</f>
        <v>39.179104477611943</v>
      </c>
      <c r="J11" s="123">
        <f>VLOOKUP($D11,'INV Days Pivot'!$A:$T,12,0)</f>
        <v>39.179104477611943</v>
      </c>
      <c r="K11" s="123">
        <f>VLOOKUP($D11,'INV Days Pivot'!$A:$T,19,0)</f>
        <v>32.644178454842219</v>
      </c>
      <c r="L11" s="123">
        <f>VLOOKUP($D11,'INV Days Pivot'!$A:$T,16,0)</f>
        <v>66</v>
      </c>
      <c r="M11" s="98">
        <f>VLOOKUP($D11,'INV Days Pivot'!$A:$T,18,0)</f>
        <v>13.059701492537313</v>
      </c>
      <c r="N11" s="98">
        <f>VLOOKUP($D11,'INV Days Pivot'!$A:$U,21,0)</f>
        <v>55.38461538461538</v>
      </c>
      <c r="O11" s="83"/>
      <c r="P11" s="4"/>
      <c r="Q11" s="97">
        <f>VLOOKUP($D11,'INV Days Pivot'!$A:$T,4,0)</f>
        <v>116.70480549199085</v>
      </c>
      <c r="R11" s="123">
        <f>VLOOKUP($D11,'INV Days Pivot'!$A:$T,5,0)</f>
        <v>52.837573385518589</v>
      </c>
      <c r="S11" s="123">
        <f>VLOOKUP($D11,'INV Days Pivot'!$A:$T,8,0)</f>
        <v>156.24999999999997</v>
      </c>
      <c r="T11" s="123">
        <f>VLOOKUP($D11,'INV Days Pivot'!$A:$T,10,0)</f>
        <v>15.16245487364621</v>
      </c>
      <c r="U11" s="123">
        <f>VLOOKUP($D11,'INV Days Pivot'!$A:$T,11,0)</f>
        <v>3.3582089552238803</v>
      </c>
      <c r="V11" s="123">
        <f>VLOOKUP($D11,'INV Days Pivot'!$A:$T,13,0)</f>
        <v>26.117237376668605</v>
      </c>
      <c r="W11" s="205">
        <f>VLOOKUP($D11,'INV Days Pivot'!$A:$T,15,0)</f>
        <v>6.7365269461077855</v>
      </c>
      <c r="X11" s="228">
        <f>VLOOKUP($D11,'INV Days Pivot'!$A:$T,20,0)</f>
        <v>0</v>
      </c>
      <c r="Y11" s="98">
        <f>VLOOKUP($D11,'INV Days Pivot'!$A:$T,17,0)</f>
        <v>0</v>
      </c>
      <c r="Z11" s="203"/>
      <c r="AA11" s="4"/>
      <c r="AB11" s="77" t="str">
        <f>IFERROR(VLOOKUP($A11,#REF!,2,0),"")</f>
        <v/>
      </c>
      <c r="AC11" s="263" t="str">
        <f>IFERROR(VLOOKUP($B11,#REF!,2,0),"")</f>
        <v/>
      </c>
    </row>
    <row r="12" spans="1:29">
      <c r="A12" t="str">
        <f t="shared" si="0"/>
        <v>PF20661</v>
      </c>
      <c r="B12" t="str">
        <f t="shared" si="1"/>
        <v>HP20661</v>
      </c>
      <c r="D12" s="103" t="s">
        <v>167</v>
      </c>
      <c r="E12" s="65" t="s">
        <v>168</v>
      </c>
      <c r="F12" s="4"/>
      <c r="G12" s="97">
        <f>VLOOKUP($D12,'INV Days Pivot'!$A:$T,14,0)</f>
        <v>2.2987150772132501</v>
      </c>
      <c r="H12" s="123">
        <f>VLOOKUP($D12,'INV Days Pivot'!$A:$T,6,0)</f>
        <v>0</v>
      </c>
      <c r="I12" s="123">
        <f>VLOOKUP($D12,'INV Days Pivot'!$A:$T,7,0)</f>
        <v>0</v>
      </c>
      <c r="J12" s="123">
        <f>VLOOKUP($D12,'INV Days Pivot'!$A:$T,12,0)</f>
        <v>20.52692160122778</v>
      </c>
      <c r="K12" s="123">
        <f>VLOOKUP($D12,'INV Days Pivot'!$A:$T,19,0)</f>
        <v>27.047192687931354</v>
      </c>
      <c r="L12" s="123">
        <f>VLOOKUP($D12,'INV Days Pivot'!$A:$T,16,0)</f>
        <v>7.0408163265306118</v>
      </c>
      <c r="M12" s="98">
        <f>VLOOKUP($D12,'INV Days Pivot'!$A:$T,18,0)</f>
        <v>76.962943767815503</v>
      </c>
      <c r="N12" s="98">
        <f>VLOOKUP($D12,'INV Days Pivot'!$A:$U,21,0)</f>
        <v>6.0001371459919079</v>
      </c>
      <c r="O12" s="83"/>
      <c r="P12" s="4"/>
      <c r="Q12" s="97">
        <f>VLOOKUP($D12,'INV Days Pivot'!$A:$T,4,0)</f>
        <v>18.440871158151843</v>
      </c>
      <c r="R12" s="123">
        <f>VLOOKUP($D12,'INV Days Pivot'!$A:$T,5,0)</f>
        <v>69.408740359897166</v>
      </c>
      <c r="S12" s="123">
        <f>VLOOKUP($D12,'INV Days Pivot'!$A:$T,8,0)</f>
        <v>0</v>
      </c>
      <c r="T12" s="123">
        <f>VLOOKUP($D12,'INV Days Pivot'!$A:$T,10,0)</f>
        <v>30.545112781954884</v>
      </c>
      <c r="U12" s="123">
        <f>VLOOKUP($D12,'INV Days Pivot'!$A:$T,11,0)</f>
        <v>3.6000175610612737</v>
      </c>
      <c r="V12" s="123">
        <f>VLOOKUP($D12,'INV Days Pivot'!$A:$T,13,0)</f>
        <v>0</v>
      </c>
      <c r="W12" s="205">
        <f>VLOOKUP($D12,'INV Days Pivot'!$A:$T,15,0)</f>
        <v>30.584081358629437</v>
      </c>
      <c r="X12" s="228">
        <f>VLOOKUP($D12,'INV Days Pivot'!$A:$T,20,0)</f>
        <v>0</v>
      </c>
      <c r="Y12" s="98">
        <f>VLOOKUP($D12,'INV Days Pivot'!$A:$T,17,0)</f>
        <v>17.011116914123704</v>
      </c>
      <c r="Z12" s="203"/>
      <c r="AA12" s="4"/>
      <c r="AB12" s="77" t="str">
        <f>IFERROR(VLOOKUP($A12,#REF!,2,0),"")</f>
        <v/>
      </c>
      <c r="AC12" s="263" t="str">
        <f>IFERROR(VLOOKUP($B12,#REF!,2,0),"")</f>
        <v/>
      </c>
    </row>
    <row r="13" spans="1:29" ht="15.75" thickBot="1">
      <c r="A13" t="str">
        <f t="shared" si="0"/>
        <v>PF23638</v>
      </c>
      <c r="B13" t="str">
        <f t="shared" si="1"/>
        <v>HP23638</v>
      </c>
      <c r="D13" s="105" t="s">
        <v>198</v>
      </c>
      <c r="E13" s="300" t="s">
        <v>199</v>
      </c>
      <c r="F13" s="85"/>
      <c r="G13" s="99">
        <f>VLOOKUP($D13,'INV Days Pivot'!$A:$T,14,0)</f>
        <v>8.3342922426972201</v>
      </c>
      <c r="H13" s="96">
        <f>VLOOKUP($D13,'INV Days Pivot'!$A:$T,6,0)</f>
        <v>0</v>
      </c>
      <c r="I13" s="96">
        <f>VLOOKUP($D13,'INV Days Pivot'!$A:$T,7,0)</f>
        <v>43.646944713870035</v>
      </c>
      <c r="J13" s="96">
        <f>VLOOKUP($D13,'INV Days Pivot'!$A:$T,12,0)</f>
        <v>6.7759381669740355</v>
      </c>
      <c r="K13" s="96">
        <f>VLOOKUP($D13,'INV Days Pivot'!$A:$T,19,0)</f>
        <v>9.905583146864597</v>
      </c>
      <c r="L13" s="96">
        <f>VLOOKUP($D13,'INV Days Pivot'!$A:$T,16,0)</f>
        <v>7.26</v>
      </c>
      <c r="M13" s="101">
        <f>VLOOKUP($D13,'INV Days Pivot'!$A:$T,18,0)</f>
        <v>27.339586442123217</v>
      </c>
      <c r="N13" s="98">
        <f>VLOOKUP($D13,'INV Days Pivot'!$A:$U,21,0)</f>
        <v>15.777610818933132</v>
      </c>
      <c r="O13" s="84"/>
      <c r="P13" s="5"/>
      <c r="Q13" s="99">
        <f>VLOOKUP($D13,'INV Days Pivot'!$A:$T,4,0)</f>
        <v>58.828299866999714</v>
      </c>
      <c r="R13" s="96">
        <f>VLOOKUP($D13,'INV Days Pivot'!$A:$T,5,0)</f>
        <v>21.535806729939601</v>
      </c>
      <c r="S13" s="96">
        <f>VLOOKUP($D13,'INV Days Pivot'!$A:$T,8,0)</f>
        <v>49.05</v>
      </c>
      <c r="T13" s="96">
        <f>VLOOKUP($D13,'INV Days Pivot'!$A:$T,10,0)</f>
        <v>45.132472974349277</v>
      </c>
      <c r="U13" s="96">
        <f>VLOOKUP($D13,'INV Days Pivot'!$A:$T,11,0)</f>
        <v>0</v>
      </c>
      <c r="V13" s="96">
        <f>VLOOKUP($D13,'INV Days Pivot'!$A:$T,13,0)</f>
        <v>78.553256852109627</v>
      </c>
      <c r="W13" s="100">
        <f>VLOOKUP($D13,'INV Days Pivot'!$A:$T,15,0)</f>
        <v>5.3100212400849607</v>
      </c>
      <c r="X13" s="229">
        <f>VLOOKUP($D13,'INV Days Pivot'!$A:$T,20,0)</f>
        <v>0</v>
      </c>
      <c r="Y13" s="101">
        <f>VLOOKUP($D13,'INV Days Pivot'!$A:$T,17,0)</f>
        <v>0</v>
      </c>
      <c r="Z13" s="204"/>
      <c r="AA13" s="5"/>
      <c r="AB13" s="78" t="str">
        <f>IFERROR(VLOOKUP($A13,#REF!,2,0),"")</f>
        <v/>
      </c>
      <c r="AC13" s="264" t="str">
        <f>IFERROR(VLOOKUP($B13,#REF!,2,0),"")</f>
        <v/>
      </c>
    </row>
  </sheetData>
  <conditionalFormatting sqref="G10:J13 L10:L13 Q10:Y13">
    <cfRule type="cellIs" dxfId="2162" priority="9" operator="lessThan">
      <formula>10</formula>
    </cfRule>
  </conditionalFormatting>
  <conditionalFormatting sqref="G4:N7 Q4:Y7">
    <cfRule type="cellIs" dxfId="2161" priority="7" operator="lessThan">
      <formula>0</formula>
    </cfRule>
  </conditionalFormatting>
  <conditionalFormatting sqref="G10:N13">
    <cfRule type="cellIs" dxfId="2160" priority="1" operator="lessThan">
      <formula>10</formula>
    </cfRule>
    <cfRule type="cellIs" dxfId="2159" priority="2" operator="lessThan">
      <formula>10</formula>
    </cfRule>
  </conditionalFormatting>
  <conditionalFormatting sqref="O4:O7">
    <cfRule type="cellIs" dxfId="2158" priority="4" operator="lessThanOrEqual">
      <formula>0</formula>
    </cfRule>
  </conditionalFormatting>
  <conditionalFormatting sqref="Z4:Z7">
    <cfRule type="cellIs" dxfId="2157" priority="3" operator="lessThan">
      <formula>0</formula>
    </cfRule>
  </conditionalFormatting>
  <conditionalFormatting sqref="AA4">
    <cfRule type="cellIs" dxfId="2156" priority="8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D53E74-7B9A-4E13-A3CD-8653CB73DD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Sale Summary</vt:lpstr>
      <vt:lpstr>Category wise INV days</vt:lpstr>
      <vt:lpstr>Item wise</vt:lpstr>
      <vt:lpstr>ITEM_WISE</vt:lpstr>
      <vt:lpstr>RF Pendency Pivot</vt:lpstr>
      <vt:lpstr>INV Days Pivot</vt:lpstr>
      <vt:lpstr>HUB wise lifting</vt:lpstr>
      <vt:lpstr>Master</vt:lpstr>
      <vt:lpstr>BAse</vt:lpstr>
      <vt:lpstr>Common T&amp;I</vt:lpstr>
      <vt:lpstr>HP Ex T&amp;I</vt:lpstr>
      <vt:lpstr>UF Exclusive</vt:lpstr>
      <vt:lpstr>DRY NGL+DD</vt:lpstr>
      <vt:lpstr>Coman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Biswanath</dc:creator>
  <cp:lastModifiedBy>Inventory, FG</cp:lastModifiedBy>
  <cp:lastPrinted>2023-02-06T04:52:42Z</cp:lastPrinted>
  <dcterms:created xsi:type="dcterms:W3CDTF">2015-06-05T18:17:20Z</dcterms:created>
  <dcterms:modified xsi:type="dcterms:W3CDTF">2026-05-25T02:39:54Z</dcterms:modified>
</cp:coreProperties>
</file>