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DF45C45B-428A-49CC-AC70-903AE6D0D1E6}" xr6:coauthVersionLast="47" xr6:coauthVersionMax="47" xr10:uidLastSave="{00000000-0000-0000-0000-000000000000}"/>
  <bookViews>
    <workbookView xWindow="-98" yWindow="-98" windowWidth="21795" windowHeight="12975" tabRatio="879" activeTab="1" xr2:uid="{00000000-000D-0000-FFFF-FFFF00000000}"/>
  </bookViews>
  <sheets>
    <sheet name="BAse" sheetId="1" r:id="rId1"/>
    <sheet name="Sheet1" sheetId="72" r:id="rId2"/>
  </sheets>
  <definedNames>
    <definedName name="_xlnm._FilterDatabase" localSheetId="0" hidden="1">BAse!$A$1:$R$626</definedName>
    <definedName name="_xlnm._FilterDatabase" localSheetId="1" hidden="1">Sheet1!$A$1:$F$626</definedName>
    <definedName name="Common">#REF!</definedName>
    <definedName name="Common_TI">#REF!</definedName>
    <definedName name="Dry_NGL_DD">#REF!</definedName>
    <definedName name="HP_Ex_TI">#REF!</definedName>
    <definedName name="PF_Exclusiv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624" i="1" l="1"/>
  <c r="R625" i="1"/>
  <c r="R626" i="1"/>
  <c r="P624" i="1"/>
  <c r="Q624" i="1"/>
  <c r="P625" i="1"/>
  <c r="Q625" i="1"/>
  <c r="P626" i="1"/>
  <c r="Q626" i="1"/>
  <c r="K624" i="1"/>
  <c r="K625" i="1"/>
  <c r="K626" i="1"/>
  <c r="G624" i="1"/>
  <c r="H624" i="1"/>
  <c r="G625" i="1"/>
  <c r="H625" i="1"/>
  <c r="G626" i="1"/>
  <c r="H626" i="1"/>
  <c r="E620" i="1"/>
  <c r="E621" i="1"/>
  <c r="E622" i="1"/>
  <c r="E623" i="1"/>
  <c r="E624" i="1"/>
  <c r="E625" i="1"/>
  <c r="E626" i="1"/>
  <c r="C624" i="1"/>
  <c r="C625" i="1"/>
  <c r="C626" i="1"/>
  <c r="A624" i="1"/>
  <c r="A625" i="1"/>
  <c r="A62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P620" i="1"/>
  <c r="Q620" i="1"/>
  <c r="R620" i="1"/>
  <c r="P621" i="1"/>
  <c r="Q621" i="1"/>
  <c r="R621" i="1"/>
  <c r="P622" i="1"/>
  <c r="Q622" i="1"/>
  <c r="R622" i="1"/>
  <c r="P623" i="1"/>
  <c r="Q623" i="1"/>
  <c r="R623" i="1"/>
  <c r="G620" i="1"/>
  <c r="H620" i="1"/>
  <c r="G621" i="1"/>
  <c r="H621" i="1"/>
  <c r="G622" i="1"/>
  <c r="H622" i="1"/>
  <c r="G623" i="1"/>
  <c r="H623" i="1"/>
  <c r="C620" i="1"/>
  <c r="C621" i="1"/>
  <c r="C622" i="1"/>
  <c r="C623" i="1"/>
  <c r="A620" i="1"/>
  <c r="A621" i="1"/>
  <c r="A622" i="1"/>
  <c r="A623" i="1"/>
  <c r="C618" i="1"/>
  <c r="C619" i="1"/>
  <c r="A618" i="1"/>
  <c r="A619" i="1"/>
  <c r="E618" i="1"/>
  <c r="E619" i="1"/>
  <c r="G618" i="1"/>
  <c r="H618" i="1"/>
  <c r="G619" i="1"/>
  <c r="H619" i="1"/>
  <c r="P618" i="1"/>
  <c r="Q618" i="1"/>
  <c r="R618" i="1"/>
  <c r="P619" i="1"/>
  <c r="Q619" i="1"/>
  <c r="R619" i="1"/>
  <c r="C617" i="1"/>
  <c r="A617" i="1"/>
  <c r="E617" i="1"/>
  <c r="G617" i="1"/>
  <c r="H617" i="1"/>
  <c r="R617" i="1"/>
  <c r="Q617" i="1"/>
  <c r="P617" i="1"/>
  <c r="R616" i="1"/>
  <c r="Q616" i="1"/>
  <c r="P616" i="1"/>
  <c r="H616" i="1"/>
  <c r="G616" i="1"/>
  <c r="E615" i="1"/>
  <c r="E616" i="1"/>
  <c r="C616" i="1"/>
  <c r="A616" i="1"/>
  <c r="R615" i="1"/>
  <c r="Q615" i="1"/>
  <c r="P615" i="1"/>
  <c r="H615" i="1"/>
  <c r="G615" i="1"/>
  <c r="C615" i="1"/>
  <c r="A61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P135" i="1"/>
  <c r="Q135" i="1"/>
  <c r="R135" i="1"/>
  <c r="P136" i="1"/>
  <c r="Q136" i="1"/>
  <c r="R136" i="1"/>
  <c r="P137" i="1"/>
  <c r="Q137" i="1"/>
  <c r="R137" i="1"/>
  <c r="P138" i="1"/>
  <c r="Q138" i="1"/>
  <c r="R138" i="1"/>
  <c r="P139" i="1"/>
  <c r="Q139" i="1"/>
  <c r="R139" i="1"/>
  <c r="P140" i="1"/>
  <c r="Q140" i="1"/>
  <c r="R140" i="1"/>
  <c r="P141" i="1"/>
  <c r="Q141" i="1"/>
  <c r="R141" i="1"/>
  <c r="P142" i="1"/>
  <c r="Q142" i="1"/>
  <c r="R142" i="1"/>
  <c r="P143" i="1"/>
  <c r="Q143" i="1"/>
  <c r="R143" i="1"/>
  <c r="P144" i="1"/>
  <c r="Q144" i="1"/>
  <c r="R144" i="1"/>
  <c r="P145" i="1"/>
  <c r="Q145" i="1"/>
  <c r="R145" i="1"/>
  <c r="P146" i="1"/>
  <c r="Q146" i="1"/>
  <c r="R146" i="1"/>
  <c r="P147" i="1"/>
  <c r="Q147" i="1"/>
  <c r="R147" i="1"/>
  <c r="P148" i="1"/>
  <c r="Q148" i="1"/>
  <c r="R148" i="1"/>
  <c r="P149" i="1"/>
  <c r="Q149" i="1"/>
  <c r="R149" i="1"/>
  <c r="P150" i="1"/>
  <c r="Q150" i="1"/>
  <c r="R150" i="1"/>
  <c r="P151" i="1"/>
  <c r="Q151" i="1"/>
  <c r="R151" i="1"/>
  <c r="P152" i="1"/>
  <c r="Q152" i="1"/>
  <c r="R152" i="1"/>
  <c r="P153" i="1"/>
  <c r="Q153" i="1"/>
  <c r="R153" i="1"/>
  <c r="P154" i="1"/>
  <c r="Q154" i="1"/>
  <c r="R154" i="1"/>
  <c r="P155" i="1"/>
  <c r="Q155" i="1"/>
  <c r="R155" i="1"/>
  <c r="P156" i="1"/>
  <c r="Q156" i="1"/>
  <c r="R156" i="1"/>
  <c r="P157" i="1"/>
  <c r="Q157" i="1"/>
  <c r="R157" i="1"/>
  <c r="P158" i="1"/>
  <c r="Q158" i="1"/>
  <c r="R158" i="1"/>
  <c r="P159" i="1"/>
  <c r="Q159" i="1"/>
  <c r="R159" i="1"/>
  <c r="P160" i="1"/>
  <c r="Q160" i="1"/>
  <c r="R160" i="1"/>
  <c r="P161" i="1"/>
  <c r="Q161" i="1"/>
  <c r="R161" i="1"/>
  <c r="P162" i="1"/>
  <c r="Q162" i="1"/>
  <c r="R162" i="1"/>
  <c r="P163" i="1"/>
  <c r="Q163" i="1"/>
  <c r="R163" i="1"/>
  <c r="P164" i="1"/>
  <c r="Q164" i="1"/>
  <c r="R164" i="1"/>
  <c r="P165" i="1"/>
  <c r="Q165" i="1"/>
  <c r="R165" i="1"/>
  <c r="P166" i="1"/>
  <c r="Q166" i="1"/>
  <c r="R166" i="1"/>
  <c r="P167" i="1"/>
  <c r="Q167" i="1"/>
  <c r="R167" i="1"/>
  <c r="P168" i="1"/>
  <c r="Q168" i="1"/>
  <c r="R168" i="1"/>
  <c r="P169" i="1"/>
  <c r="Q169" i="1"/>
  <c r="R169" i="1"/>
  <c r="P170" i="1"/>
  <c r="Q170" i="1"/>
  <c r="R170" i="1"/>
  <c r="P171" i="1"/>
  <c r="Q171" i="1"/>
  <c r="R171" i="1"/>
  <c r="P172" i="1"/>
  <c r="Q172" i="1"/>
  <c r="R172" i="1"/>
  <c r="P173" i="1"/>
  <c r="Q173" i="1"/>
  <c r="R173" i="1"/>
  <c r="P174" i="1"/>
  <c r="Q174" i="1"/>
  <c r="R174" i="1"/>
  <c r="P175" i="1"/>
  <c r="Q175" i="1"/>
  <c r="R175" i="1"/>
  <c r="P176" i="1"/>
  <c r="Q176" i="1"/>
  <c r="R176" i="1"/>
  <c r="P177" i="1"/>
  <c r="Q177" i="1"/>
  <c r="R177" i="1"/>
  <c r="P178" i="1"/>
  <c r="Q178" i="1"/>
  <c r="R178" i="1"/>
  <c r="P179" i="1"/>
  <c r="Q179" i="1"/>
  <c r="R179" i="1"/>
  <c r="P180" i="1"/>
  <c r="Q180" i="1"/>
  <c r="R180" i="1"/>
  <c r="P181" i="1"/>
  <c r="Q181" i="1"/>
  <c r="R181" i="1"/>
  <c r="P182" i="1"/>
  <c r="Q182" i="1"/>
  <c r="R182" i="1"/>
  <c r="P183" i="1"/>
  <c r="Q183" i="1"/>
  <c r="R183" i="1"/>
  <c r="P184" i="1"/>
  <c r="Q184" i="1"/>
  <c r="R184" i="1"/>
  <c r="P185" i="1"/>
  <c r="Q185" i="1"/>
  <c r="R185" i="1"/>
  <c r="P186" i="1"/>
  <c r="Q186" i="1"/>
  <c r="R186" i="1"/>
  <c r="P187" i="1"/>
  <c r="Q187" i="1"/>
  <c r="R187" i="1"/>
  <c r="P188" i="1"/>
  <c r="Q188" i="1"/>
  <c r="R188" i="1"/>
  <c r="P189" i="1"/>
  <c r="Q189" i="1"/>
  <c r="R189" i="1"/>
  <c r="P190" i="1"/>
  <c r="Q190" i="1"/>
  <c r="R190" i="1"/>
  <c r="P191" i="1"/>
  <c r="Q191" i="1"/>
  <c r="R191" i="1"/>
  <c r="P192" i="1"/>
  <c r="Q192" i="1"/>
  <c r="R192" i="1"/>
  <c r="P193" i="1"/>
  <c r="Q193" i="1"/>
  <c r="R193" i="1"/>
  <c r="P194" i="1"/>
  <c r="Q194" i="1"/>
  <c r="R194" i="1"/>
  <c r="P195" i="1"/>
  <c r="Q195" i="1"/>
  <c r="R195" i="1"/>
  <c r="P196" i="1"/>
  <c r="Q196" i="1"/>
  <c r="R196" i="1"/>
  <c r="P197" i="1"/>
  <c r="Q197" i="1"/>
  <c r="R197" i="1"/>
  <c r="P198" i="1"/>
  <c r="Q198" i="1"/>
  <c r="R198" i="1"/>
  <c r="P199" i="1"/>
  <c r="Q199" i="1"/>
  <c r="R199" i="1"/>
  <c r="P200" i="1"/>
  <c r="Q200" i="1"/>
  <c r="R200" i="1"/>
  <c r="P201" i="1"/>
  <c r="Q201" i="1"/>
  <c r="R201" i="1"/>
  <c r="P202" i="1"/>
  <c r="Q202" i="1"/>
  <c r="R202" i="1"/>
  <c r="P203" i="1"/>
  <c r="Q203" i="1"/>
  <c r="R203" i="1"/>
  <c r="P204" i="1"/>
  <c r="Q204" i="1"/>
  <c r="R204" i="1"/>
  <c r="P205" i="1"/>
  <c r="Q205" i="1"/>
  <c r="R205" i="1"/>
  <c r="P206" i="1"/>
  <c r="Q206" i="1"/>
  <c r="R206" i="1"/>
  <c r="P207" i="1"/>
  <c r="Q207" i="1"/>
  <c r="R207" i="1"/>
  <c r="P208" i="1"/>
  <c r="Q208" i="1"/>
  <c r="R208" i="1"/>
  <c r="P209" i="1"/>
  <c r="Q209" i="1"/>
  <c r="R209" i="1"/>
  <c r="P210" i="1"/>
  <c r="Q210" i="1"/>
  <c r="R210" i="1"/>
  <c r="P211" i="1"/>
  <c r="Q211" i="1"/>
  <c r="R211" i="1"/>
  <c r="P212" i="1"/>
  <c r="Q212" i="1"/>
  <c r="R212" i="1"/>
  <c r="P213" i="1"/>
  <c r="Q213" i="1"/>
  <c r="R213" i="1"/>
  <c r="P214" i="1"/>
  <c r="Q214" i="1"/>
  <c r="R214" i="1"/>
  <c r="P215" i="1"/>
  <c r="Q215" i="1"/>
  <c r="R215" i="1"/>
  <c r="P216" i="1"/>
  <c r="Q216" i="1"/>
  <c r="R216" i="1"/>
  <c r="P217" i="1"/>
  <c r="Q217" i="1"/>
  <c r="R217" i="1"/>
  <c r="P218" i="1"/>
  <c r="Q218" i="1"/>
  <c r="R218" i="1"/>
  <c r="P219" i="1"/>
  <c r="Q219" i="1"/>
  <c r="R219" i="1"/>
  <c r="P220" i="1"/>
  <c r="Q220" i="1"/>
  <c r="R220" i="1"/>
  <c r="P221" i="1"/>
  <c r="Q221" i="1"/>
  <c r="R221" i="1"/>
  <c r="P222" i="1"/>
  <c r="Q222" i="1"/>
  <c r="R222" i="1"/>
  <c r="P223" i="1"/>
  <c r="Q223" i="1"/>
  <c r="R223" i="1"/>
  <c r="P224" i="1"/>
  <c r="Q224" i="1"/>
  <c r="R224" i="1"/>
  <c r="P225" i="1"/>
  <c r="Q225" i="1"/>
  <c r="R225" i="1"/>
  <c r="P226" i="1"/>
  <c r="Q226" i="1"/>
  <c r="R226" i="1"/>
  <c r="P227" i="1"/>
  <c r="Q227" i="1"/>
  <c r="R227" i="1"/>
  <c r="P228" i="1"/>
  <c r="Q228" i="1"/>
  <c r="R228" i="1"/>
  <c r="P229" i="1"/>
  <c r="Q229" i="1"/>
  <c r="R229" i="1"/>
  <c r="P230" i="1"/>
  <c r="Q230" i="1"/>
  <c r="R230" i="1"/>
  <c r="P231" i="1"/>
  <c r="Q231" i="1"/>
  <c r="R231" i="1"/>
  <c r="P232" i="1"/>
  <c r="Q232" i="1"/>
  <c r="R232" i="1"/>
  <c r="P233" i="1"/>
  <c r="Q233" i="1"/>
  <c r="R233" i="1"/>
  <c r="P234" i="1"/>
  <c r="Q234" i="1"/>
  <c r="R234" i="1"/>
  <c r="P235" i="1"/>
  <c r="Q235" i="1"/>
  <c r="R235" i="1"/>
  <c r="P236" i="1"/>
  <c r="Q236" i="1"/>
  <c r="R236" i="1"/>
  <c r="P237" i="1"/>
  <c r="Q237" i="1"/>
  <c r="R237" i="1"/>
  <c r="P238" i="1"/>
  <c r="Q238" i="1"/>
  <c r="R238" i="1"/>
  <c r="P239" i="1"/>
  <c r="Q239" i="1"/>
  <c r="R239" i="1"/>
  <c r="P240" i="1"/>
  <c r="Q240" i="1"/>
  <c r="R240" i="1"/>
  <c r="P241" i="1"/>
  <c r="Q241" i="1"/>
  <c r="R241" i="1"/>
  <c r="P242" i="1"/>
  <c r="Q242" i="1"/>
  <c r="R242" i="1"/>
  <c r="P243" i="1"/>
  <c r="Q243" i="1"/>
  <c r="R243" i="1"/>
  <c r="P244" i="1"/>
  <c r="Q244" i="1"/>
  <c r="R244" i="1"/>
  <c r="P245" i="1"/>
  <c r="Q245" i="1"/>
  <c r="R245" i="1"/>
  <c r="P246" i="1"/>
  <c r="Q246" i="1"/>
  <c r="R246" i="1"/>
  <c r="P247" i="1"/>
  <c r="Q247" i="1"/>
  <c r="R247" i="1"/>
  <c r="P248" i="1"/>
  <c r="Q248" i="1"/>
  <c r="R248" i="1"/>
  <c r="P249" i="1"/>
  <c r="Q249" i="1"/>
  <c r="R249" i="1"/>
  <c r="P250" i="1"/>
  <c r="Q250" i="1"/>
  <c r="R250" i="1"/>
  <c r="P251" i="1"/>
  <c r="Q251" i="1"/>
  <c r="R251" i="1"/>
  <c r="P252" i="1"/>
  <c r="Q252" i="1"/>
  <c r="R252" i="1"/>
  <c r="P253" i="1"/>
  <c r="Q253" i="1"/>
  <c r="R253" i="1"/>
  <c r="P254" i="1"/>
  <c r="Q254" i="1"/>
  <c r="R254" i="1"/>
  <c r="P255" i="1"/>
  <c r="Q255" i="1"/>
  <c r="R255" i="1"/>
  <c r="P256" i="1"/>
  <c r="Q256" i="1"/>
  <c r="R256" i="1"/>
  <c r="P257" i="1"/>
  <c r="Q257" i="1"/>
  <c r="R257" i="1"/>
  <c r="P258" i="1"/>
  <c r="Q258" i="1"/>
  <c r="R258" i="1"/>
  <c r="P259" i="1"/>
  <c r="Q259" i="1"/>
  <c r="R259" i="1"/>
  <c r="P260" i="1"/>
  <c r="Q260" i="1"/>
  <c r="R260" i="1"/>
  <c r="P261" i="1"/>
  <c r="Q261" i="1"/>
  <c r="R261" i="1"/>
  <c r="P262" i="1"/>
  <c r="Q262" i="1"/>
  <c r="R262" i="1"/>
  <c r="P263" i="1"/>
  <c r="Q263" i="1"/>
  <c r="R263" i="1"/>
  <c r="P264" i="1"/>
  <c r="Q264" i="1"/>
  <c r="R264" i="1"/>
  <c r="P265" i="1"/>
  <c r="Q265" i="1"/>
  <c r="R265" i="1"/>
  <c r="P266" i="1"/>
  <c r="Q266" i="1"/>
  <c r="R266" i="1"/>
  <c r="P267" i="1"/>
  <c r="Q267" i="1"/>
  <c r="R267" i="1"/>
  <c r="P268" i="1"/>
  <c r="Q268" i="1"/>
  <c r="R268" i="1"/>
  <c r="P269" i="1"/>
  <c r="Q269" i="1"/>
  <c r="R269" i="1"/>
  <c r="P270" i="1"/>
  <c r="Q270" i="1"/>
  <c r="R270" i="1"/>
  <c r="P271" i="1"/>
  <c r="Q271" i="1"/>
  <c r="R271" i="1"/>
  <c r="P272" i="1"/>
  <c r="Q272" i="1"/>
  <c r="R272" i="1"/>
  <c r="P273" i="1"/>
  <c r="Q273" i="1"/>
  <c r="R273" i="1"/>
  <c r="P274" i="1"/>
  <c r="Q274" i="1"/>
  <c r="R274" i="1"/>
  <c r="P275" i="1"/>
  <c r="Q275" i="1"/>
  <c r="R275" i="1"/>
  <c r="P276" i="1"/>
  <c r="Q276" i="1"/>
  <c r="R276" i="1"/>
  <c r="P277" i="1"/>
  <c r="Q277" i="1"/>
  <c r="R277" i="1"/>
  <c r="P278" i="1"/>
  <c r="Q278" i="1"/>
  <c r="R278" i="1"/>
  <c r="P279" i="1"/>
  <c r="Q279" i="1"/>
  <c r="R279" i="1"/>
  <c r="P280" i="1"/>
  <c r="Q280" i="1"/>
  <c r="R280" i="1"/>
  <c r="P281" i="1"/>
  <c r="Q281" i="1"/>
  <c r="R281" i="1"/>
  <c r="P282" i="1"/>
  <c r="Q282" i="1"/>
  <c r="R282" i="1"/>
  <c r="P283" i="1"/>
  <c r="Q283" i="1"/>
  <c r="R283" i="1"/>
  <c r="P284" i="1"/>
  <c r="Q284" i="1"/>
  <c r="R284" i="1"/>
  <c r="P285" i="1"/>
  <c r="Q285" i="1"/>
  <c r="R285" i="1"/>
  <c r="P286" i="1"/>
  <c r="Q286" i="1"/>
  <c r="R286" i="1"/>
  <c r="P287" i="1"/>
  <c r="Q287" i="1"/>
  <c r="R287" i="1"/>
  <c r="P288" i="1"/>
  <c r="Q288" i="1"/>
  <c r="R288" i="1"/>
  <c r="P289" i="1"/>
  <c r="Q289" i="1"/>
  <c r="R289" i="1"/>
  <c r="P290" i="1"/>
  <c r="Q290" i="1"/>
  <c r="R290" i="1"/>
  <c r="P291" i="1"/>
  <c r="Q291" i="1"/>
  <c r="R291" i="1"/>
  <c r="P292" i="1"/>
  <c r="Q292" i="1"/>
  <c r="R292" i="1"/>
  <c r="P293" i="1"/>
  <c r="Q293" i="1"/>
  <c r="R293" i="1"/>
  <c r="P294" i="1"/>
  <c r="Q294" i="1"/>
  <c r="R294" i="1"/>
  <c r="P295" i="1"/>
  <c r="Q295" i="1"/>
  <c r="R295" i="1"/>
  <c r="P296" i="1"/>
  <c r="Q296" i="1"/>
  <c r="R296" i="1"/>
  <c r="P297" i="1"/>
  <c r="Q297" i="1"/>
  <c r="R297" i="1"/>
  <c r="P298" i="1"/>
  <c r="Q298" i="1"/>
  <c r="R298" i="1"/>
  <c r="P299" i="1"/>
  <c r="Q299" i="1"/>
  <c r="R299" i="1"/>
  <c r="P300" i="1"/>
  <c r="Q300" i="1"/>
  <c r="R300" i="1"/>
  <c r="P301" i="1"/>
  <c r="Q301" i="1"/>
  <c r="R301" i="1"/>
  <c r="P302" i="1"/>
  <c r="Q302" i="1"/>
  <c r="R302" i="1"/>
  <c r="P303" i="1"/>
  <c r="Q303" i="1"/>
  <c r="R303" i="1"/>
  <c r="P304" i="1"/>
  <c r="Q304" i="1"/>
  <c r="R304" i="1"/>
  <c r="P305" i="1"/>
  <c r="Q305" i="1"/>
  <c r="R305" i="1"/>
  <c r="P306" i="1"/>
  <c r="Q306" i="1"/>
  <c r="R306" i="1"/>
  <c r="P307" i="1"/>
  <c r="Q307" i="1"/>
  <c r="R307" i="1"/>
  <c r="P308" i="1"/>
  <c r="Q308" i="1"/>
  <c r="R308" i="1"/>
  <c r="P309" i="1"/>
  <c r="Q309" i="1"/>
  <c r="R309" i="1"/>
  <c r="P310" i="1"/>
  <c r="Q310" i="1"/>
  <c r="R310" i="1"/>
  <c r="P311" i="1"/>
  <c r="Q311" i="1"/>
  <c r="R311" i="1"/>
  <c r="P312" i="1"/>
  <c r="Q312" i="1"/>
  <c r="R312" i="1"/>
  <c r="P313" i="1"/>
  <c r="Q313" i="1"/>
  <c r="R313" i="1"/>
  <c r="P314" i="1"/>
  <c r="Q314" i="1"/>
  <c r="R314" i="1"/>
  <c r="P315" i="1"/>
  <c r="Q315" i="1"/>
  <c r="R315" i="1"/>
  <c r="P316" i="1"/>
  <c r="Q316" i="1"/>
  <c r="R316" i="1"/>
  <c r="P317" i="1"/>
  <c r="Q317" i="1"/>
  <c r="R317" i="1"/>
  <c r="P318" i="1"/>
  <c r="Q318" i="1"/>
  <c r="R318" i="1"/>
  <c r="P319" i="1"/>
  <c r="Q319" i="1"/>
  <c r="R319" i="1"/>
  <c r="P320" i="1"/>
  <c r="Q320" i="1"/>
  <c r="R320" i="1"/>
  <c r="P321" i="1"/>
  <c r="Q321" i="1"/>
  <c r="R321" i="1"/>
  <c r="P322" i="1"/>
  <c r="Q322" i="1"/>
  <c r="R322" i="1"/>
  <c r="P323" i="1"/>
  <c r="Q323" i="1"/>
  <c r="R323" i="1"/>
  <c r="P324" i="1"/>
  <c r="Q324" i="1"/>
  <c r="R324" i="1"/>
  <c r="P325" i="1"/>
  <c r="Q325" i="1"/>
  <c r="R325" i="1"/>
  <c r="P326" i="1"/>
  <c r="Q326" i="1"/>
  <c r="R326" i="1"/>
  <c r="P327" i="1"/>
  <c r="Q327" i="1"/>
  <c r="R327" i="1"/>
  <c r="P328" i="1"/>
  <c r="Q328" i="1"/>
  <c r="R328" i="1"/>
  <c r="P329" i="1"/>
  <c r="Q329" i="1"/>
  <c r="R329" i="1"/>
  <c r="P330" i="1"/>
  <c r="Q330" i="1"/>
  <c r="R330" i="1"/>
  <c r="P331" i="1"/>
  <c r="Q331" i="1"/>
  <c r="R331" i="1"/>
  <c r="P332" i="1"/>
  <c r="Q332" i="1"/>
  <c r="R332" i="1"/>
  <c r="P333" i="1"/>
  <c r="Q333" i="1"/>
  <c r="R333" i="1"/>
  <c r="P334" i="1"/>
  <c r="Q334" i="1"/>
  <c r="R334" i="1"/>
  <c r="P335" i="1"/>
  <c r="Q335" i="1"/>
  <c r="R335" i="1"/>
  <c r="P336" i="1"/>
  <c r="Q336" i="1"/>
  <c r="R336" i="1"/>
  <c r="P337" i="1"/>
  <c r="Q337" i="1"/>
  <c r="R337" i="1"/>
  <c r="P338" i="1"/>
  <c r="Q338" i="1"/>
  <c r="R338" i="1"/>
  <c r="P339" i="1"/>
  <c r="Q339" i="1"/>
  <c r="R339" i="1"/>
  <c r="P340" i="1"/>
  <c r="Q340" i="1"/>
  <c r="R340" i="1"/>
  <c r="P341" i="1"/>
  <c r="Q341" i="1"/>
  <c r="R341" i="1"/>
  <c r="P342" i="1"/>
  <c r="Q342" i="1"/>
  <c r="R342" i="1"/>
  <c r="P343" i="1"/>
  <c r="Q343" i="1"/>
  <c r="R343" i="1"/>
  <c r="P344" i="1"/>
  <c r="Q344" i="1"/>
  <c r="R344" i="1"/>
  <c r="P345" i="1"/>
  <c r="Q345" i="1"/>
  <c r="R345" i="1"/>
  <c r="P346" i="1"/>
  <c r="Q346" i="1"/>
  <c r="R346" i="1"/>
  <c r="P347" i="1"/>
  <c r="Q347" i="1"/>
  <c r="R347" i="1"/>
  <c r="P348" i="1"/>
  <c r="Q348" i="1"/>
  <c r="R348" i="1"/>
  <c r="P349" i="1"/>
  <c r="Q349" i="1"/>
  <c r="R349" i="1"/>
  <c r="P350" i="1"/>
  <c r="Q350" i="1"/>
  <c r="R350" i="1"/>
  <c r="P351" i="1"/>
  <c r="Q351" i="1"/>
  <c r="R351" i="1"/>
  <c r="P352" i="1"/>
  <c r="Q352" i="1"/>
  <c r="R352" i="1"/>
  <c r="P353" i="1"/>
  <c r="Q353" i="1"/>
  <c r="R353" i="1"/>
  <c r="P354" i="1"/>
  <c r="Q354" i="1"/>
  <c r="R354" i="1"/>
  <c r="P355" i="1"/>
  <c r="Q355" i="1"/>
  <c r="R355" i="1"/>
  <c r="P356" i="1"/>
  <c r="Q356" i="1"/>
  <c r="R356" i="1"/>
  <c r="P357" i="1"/>
  <c r="Q357" i="1"/>
  <c r="R357" i="1"/>
  <c r="P358" i="1"/>
  <c r="Q358" i="1"/>
  <c r="R358" i="1"/>
  <c r="P359" i="1"/>
  <c r="Q359" i="1"/>
  <c r="R359" i="1"/>
  <c r="P360" i="1"/>
  <c r="Q360" i="1"/>
  <c r="R360" i="1"/>
  <c r="P361" i="1"/>
  <c r="Q361" i="1"/>
  <c r="R361" i="1"/>
  <c r="P362" i="1"/>
  <c r="Q362" i="1"/>
  <c r="R362" i="1"/>
  <c r="P363" i="1"/>
  <c r="Q363" i="1"/>
  <c r="R363" i="1"/>
  <c r="P364" i="1"/>
  <c r="Q364" i="1"/>
  <c r="R364" i="1"/>
  <c r="P365" i="1"/>
  <c r="Q365" i="1"/>
  <c r="R365" i="1"/>
  <c r="P366" i="1"/>
  <c r="Q366" i="1"/>
  <c r="R366" i="1"/>
  <c r="P367" i="1"/>
  <c r="Q367" i="1"/>
  <c r="R367" i="1"/>
  <c r="P368" i="1"/>
  <c r="Q368" i="1"/>
  <c r="R368" i="1"/>
  <c r="P369" i="1"/>
  <c r="Q369" i="1"/>
  <c r="R369" i="1"/>
  <c r="P370" i="1"/>
  <c r="Q370" i="1"/>
  <c r="R370" i="1"/>
  <c r="P371" i="1"/>
  <c r="Q371" i="1"/>
  <c r="R371" i="1"/>
  <c r="P372" i="1"/>
  <c r="Q372" i="1"/>
  <c r="R372" i="1"/>
  <c r="P373" i="1"/>
  <c r="Q373" i="1"/>
  <c r="R373" i="1"/>
  <c r="P374" i="1"/>
  <c r="Q374" i="1"/>
  <c r="R374" i="1"/>
  <c r="P375" i="1"/>
  <c r="Q375" i="1"/>
  <c r="R375" i="1"/>
  <c r="P376" i="1"/>
  <c r="Q376" i="1"/>
  <c r="R376" i="1"/>
  <c r="P377" i="1"/>
  <c r="Q377" i="1"/>
  <c r="R377" i="1"/>
  <c r="P378" i="1"/>
  <c r="Q378" i="1"/>
  <c r="R378" i="1"/>
  <c r="P379" i="1"/>
  <c r="Q379" i="1"/>
  <c r="R379" i="1"/>
  <c r="P380" i="1"/>
  <c r="Q380" i="1"/>
  <c r="R380" i="1"/>
  <c r="P381" i="1"/>
  <c r="Q381" i="1"/>
  <c r="R381" i="1"/>
  <c r="P382" i="1"/>
  <c r="Q382" i="1"/>
  <c r="R382" i="1"/>
  <c r="P383" i="1"/>
  <c r="Q383" i="1"/>
  <c r="R383" i="1"/>
  <c r="P384" i="1"/>
  <c r="Q384" i="1"/>
  <c r="R384" i="1"/>
  <c r="P385" i="1"/>
  <c r="Q385" i="1"/>
  <c r="R385" i="1"/>
  <c r="P386" i="1"/>
  <c r="Q386" i="1"/>
  <c r="R386" i="1"/>
  <c r="P387" i="1"/>
  <c r="Q387" i="1"/>
  <c r="R387" i="1"/>
  <c r="P388" i="1"/>
  <c r="Q388" i="1"/>
  <c r="R388" i="1"/>
  <c r="P389" i="1"/>
  <c r="Q389" i="1"/>
  <c r="R389" i="1"/>
  <c r="P390" i="1"/>
  <c r="Q390" i="1"/>
  <c r="R390" i="1"/>
  <c r="P391" i="1"/>
  <c r="Q391" i="1"/>
  <c r="R391" i="1"/>
  <c r="P392" i="1"/>
  <c r="Q392" i="1"/>
  <c r="R392" i="1"/>
  <c r="P393" i="1"/>
  <c r="Q393" i="1"/>
  <c r="R393" i="1"/>
  <c r="P394" i="1"/>
  <c r="Q394" i="1"/>
  <c r="R394" i="1"/>
  <c r="P395" i="1"/>
  <c r="Q395" i="1"/>
  <c r="R395" i="1"/>
  <c r="P396" i="1"/>
  <c r="Q396" i="1"/>
  <c r="R396" i="1"/>
  <c r="P397" i="1"/>
  <c r="Q397" i="1"/>
  <c r="R397" i="1"/>
  <c r="P398" i="1"/>
  <c r="Q398" i="1"/>
  <c r="R398" i="1"/>
  <c r="P399" i="1"/>
  <c r="Q399" i="1"/>
  <c r="R399" i="1"/>
  <c r="P400" i="1"/>
  <c r="Q400" i="1"/>
  <c r="R400" i="1"/>
  <c r="P401" i="1"/>
  <c r="Q401" i="1"/>
  <c r="R401" i="1"/>
  <c r="P402" i="1"/>
  <c r="Q402" i="1"/>
  <c r="R402" i="1"/>
  <c r="P403" i="1"/>
  <c r="Q403" i="1"/>
  <c r="R403" i="1"/>
  <c r="P404" i="1"/>
  <c r="Q404" i="1"/>
  <c r="R404" i="1"/>
  <c r="P405" i="1"/>
  <c r="Q405" i="1"/>
  <c r="R405" i="1"/>
  <c r="P406" i="1"/>
  <c r="Q406" i="1"/>
  <c r="R406" i="1"/>
  <c r="P407" i="1"/>
  <c r="Q407" i="1"/>
  <c r="R407" i="1"/>
  <c r="P408" i="1"/>
  <c r="Q408" i="1"/>
  <c r="R408" i="1"/>
  <c r="P409" i="1"/>
  <c r="Q409" i="1"/>
  <c r="R409" i="1"/>
  <c r="P410" i="1"/>
  <c r="Q410" i="1"/>
  <c r="R410" i="1"/>
  <c r="P411" i="1"/>
  <c r="Q411" i="1"/>
  <c r="R411" i="1"/>
  <c r="P412" i="1"/>
  <c r="Q412" i="1"/>
  <c r="R412" i="1"/>
  <c r="P413" i="1"/>
  <c r="Q413" i="1"/>
  <c r="R413" i="1"/>
  <c r="P414" i="1"/>
  <c r="Q414" i="1"/>
  <c r="R414" i="1"/>
  <c r="P415" i="1"/>
  <c r="Q415" i="1"/>
  <c r="R415" i="1"/>
  <c r="P416" i="1"/>
  <c r="Q416" i="1"/>
  <c r="R416" i="1"/>
  <c r="P417" i="1"/>
  <c r="Q417" i="1"/>
  <c r="R417" i="1"/>
  <c r="P418" i="1"/>
  <c r="Q418" i="1"/>
  <c r="R418" i="1"/>
  <c r="P419" i="1"/>
  <c r="Q419" i="1"/>
  <c r="R419" i="1"/>
  <c r="P420" i="1"/>
  <c r="Q420" i="1"/>
  <c r="R420" i="1"/>
  <c r="P421" i="1"/>
  <c r="Q421" i="1"/>
  <c r="R421" i="1"/>
  <c r="P422" i="1"/>
  <c r="Q422" i="1"/>
  <c r="R422" i="1"/>
  <c r="P423" i="1"/>
  <c r="Q423" i="1"/>
  <c r="R423" i="1"/>
  <c r="P424" i="1"/>
  <c r="Q424" i="1"/>
  <c r="R424" i="1"/>
  <c r="P425" i="1"/>
  <c r="Q425" i="1"/>
  <c r="R425" i="1"/>
  <c r="P426" i="1"/>
  <c r="Q426" i="1"/>
  <c r="R426" i="1"/>
  <c r="P427" i="1"/>
  <c r="Q427" i="1"/>
  <c r="R427" i="1"/>
  <c r="P428" i="1"/>
  <c r="Q428" i="1"/>
  <c r="R428" i="1"/>
  <c r="P429" i="1"/>
  <c r="Q429" i="1"/>
  <c r="R429" i="1"/>
  <c r="P430" i="1"/>
  <c r="Q430" i="1"/>
  <c r="R430" i="1"/>
  <c r="P431" i="1"/>
  <c r="Q431" i="1"/>
  <c r="R431" i="1"/>
  <c r="P432" i="1"/>
  <c r="Q432" i="1"/>
  <c r="R432" i="1"/>
  <c r="P433" i="1"/>
  <c r="Q433" i="1"/>
  <c r="R433" i="1"/>
  <c r="P434" i="1"/>
  <c r="Q434" i="1"/>
  <c r="R434" i="1"/>
  <c r="P435" i="1"/>
  <c r="Q435" i="1"/>
  <c r="R435" i="1"/>
  <c r="P436" i="1"/>
  <c r="Q436" i="1"/>
  <c r="R436" i="1"/>
  <c r="P437" i="1"/>
  <c r="Q437" i="1"/>
  <c r="R437" i="1"/>
  <c r="P438" i="1"/>
  <c r="Q438" i="1"/>
  <c r="R438" i="1"/>
  <c r="P439" i="1"/>
  <c r="Q439" i="1"/>
  <c r="R439" i="1"/>
  <c r="P440" i="1"/>
  <c r="Q440" i="1"/>
  <c r="R440" i="1"/>
  <c r="P441" i="1"/>
  <c r="Q441" i="1"/>
  <c r="R441" i="1"/>
  <c r="P442" i="1"/>
  <c r="Q442" i="1"/>
  <c r="R442" i="1"/>
  <c r="P443" i="1"/>
  <c r="Q443" i="1"/>
  <c r="R443" i="1"/>
  <c r="P444" i="1"/>
  <c r="Q444" i="1"/>
  <c r="R444" i="1"/>
  <c r="P445" i="1"/>
  <c r="Q445" i="1"/>
  <c r="R445" i="1"/>
  <c r="P446" i="1"/>
  <c r="Q446" i="1"/>
  <c r="R446" i="1"/>
  <c r="P447" i="1"/>
  <c r="Q447" i="1"/>
  <c r="R447" i="1"/>
  <c r="P448" i="1"/>
  <c r="Q448" i="1"/>
  <c r="R448" i="1"/>
  <c r="P449" i="1"/>
  <c r="Q449" i="1"/>
  <c r="R449" i="1"/>
  <c r="P450" i="1"/>
  <c r="Q450" i="1"/>
  <c r="R450" i="1"/>
  <c r="P451" i="1"/>
  <c r="Q451" i="1"/>
  <c r="R451" i="1"/>
  <c r="P452" i="1"/>
  <c r="Q452" i="1"/>
  <c r="R452" i="1"/>
  <c r="P453" i="1"/>
  <c r="Q453" i="1"/>
  <c r="R453" i="1"/>
  <c r="P454" i="1"/>
  <c r="Q454" i="1"/>
  <c r="R454" i="1"/>
  <c r="P455" i="1"/>
  <c r="Q455" i="1"/>
  <c r="R455" i="1"/>
  <c r="P456" i="1"/>
  <c r="Q456" i="1"/>
  <c r="R456" i="1"/>
  <c r="P457" i="1"/>
  <c r="Q457" i="1"/>
  <c r="R457" i="1"/>
  <c r="P458" i="1"/>
  <c r="Q458" i="1"/>
  <c r="R458" i="1"/>
  <c r="P459" i="1"/>
  <c r="Q459" i="1"/>
  <c r="R459" i="1"/>
  <c r="P460" i="1"/>
  <c r="Q460" i="1"/>
  <c r="R460" i="1"/>
  <c r="P461" i="1"/>
  <c r="Q461" i="1"/>
  <c r="R461" i="1"/>
  <c r="P462" i="1"/>
  <c r="Q462" i="1"/>
  <c r="R462" i="1"/>
  <c r="P463" i="1"/>
  <c r="Q463" i="1"/>
  <c r="R463" i="1"/>
  <c r="P464" i="1"/>
  <c r="Q464" i="1"/>
  <c r="R464" i="1"/>
  <c r="P465" i="1"/>
  <c r="Q465" i="1"/>
  <c r="R465" i="1"/>
  <c r="P466" i="1"/>
  <c r="Q466" i="1"/>
  <c r="R466" i="1"/>
  <c r="P467" i="1"/>
  <c r="Q467" i="1"/>
  <c r="R467" i="1"/>
  <c r="P468" i="1"/>
  <c r="Q468" i="1"/>
  <c r="R468" i="1"/>
  <c r="P469" i="1"/>
  <c r="Q469" i="1"/>
  <c r="R469" i="1"/>
  <c r="P470" i="1"/>
  <c r="Q470" i="1"/>
  <c r="R470" i="1"/>
  <c r="P471" i="1"/>
  <c r="Q471" i="1"/>
  <c r="R471" i="1"/>
  <c r="P472" i="1"/>
  <c r="Q472" i="1"/>
  <c r="R472" i="1"/>
  <c r="P473" i="1"/>
  <c r="Q473" i="1"/>
  <c r="R473" i="1"/>
  <c r="P474" i="1"/>
  <c r="Q474" i="1"/>
  <c r="R474" i="1"/>
  <c r="P475" i="1"/>
  <c r="Q475" i="1"/>
  <c r="R475" i="1"/>
  <c r="P476" i="1"/>
  <c r="Q476" i="1"/>
  <c r="R476" i="1"/>
  <c r="P477" i="1"/>
  <c r="Q477" i="1"/>
  <c r="R477" i="1"/>
  <c r="P478" i="1"/>
  <c r="Q478" i="1"/>
  <c r="R478" i="1"/>
  <c r="P479" i="1"/>
  <c r="Q479" i="1"/>
  <c r="R479" i="1"/>
  <c r="P480" i="1"/>
  <c r="Q480" i="1"/>
  <c r="R480" i="1"/>
  <c r="P481" i="1"/>
  <c r="Q481" i="1"/>
  <c r="R481" i="1"/>
  <c r="P482" i="1"/>
  <c r="Q482" i="1"/>
  <c r="R482" i="1"/>
  <c r="P483" i="1"/>
  <c r="Q483" i="1"/>
  <c r="R483" i="1"/>
  <c r="P484" i="1"/>
  <c r="Q484" i="1"/>
  <c r="R484" i="1"/>
  <c r="P485" i="1"/>
  <c r="Q485" i="1"/>
  <c r="R485" i="1"/>
  <c r="P486" i="1"/>
  <c r="Q486" i="1"/>
  <c r="R486" i="1"/>
  <c r="P487" i="1"/>
  <c r="Q487" i="1"/>
  <c r="R487" i="1"/>
  <c r="P488" i="1"/>
  <c r="Q488" i="1"/>
  <c r="R488" i="1"/>
  <c r="P489" i="1"/>
  <c r="Q489" i="1"/>
  <c r="R489" i="1"/>
  <c r="P490" i="1"/>
  <c r="Q490" i="1"/>
  <c r="R490" i="1"/>
  <c r="P491" i="1"/>
  <c r="Q491" i="1"/>
  <c r="R491" i="1"/>
  <c r="P492" i="1"/>
  <c r="Q492" i="1"/>
  <c r="R492" i="1"/>
  <c r="P493" i="1"/>
  <c r="Q493" i="1"/>
  <c r="R493" i="1"/>
  <c r="P494" i="1"/>
  <c r="Q494" i="1"/>
  <c r="R494" i="1"/>
  <c r="P495" i="1"/>
  <c r="Q495" i="1"/>
  <c r="R495" i="1"/>
  <c r="P496" i="1"/>
  <c r="Q496" i="1"/>
  <c r="R496" i="1"/>
  <c r="P497" i="1"/>
  <c r="Q497" i="1"/>
  <c r="R497" i="1"/>
  <c r="P498" i="1"/>
  <c r="Q498" i="1"/>
  <c r="R498" i="1"/>
  <c r="P499" i="1"/>
  <c r="Q499" i="1"/>
  <c r="R499" i="1"/>
  <c r="P500" i="1"/>
  <c r="Q500" i="1"/>
  <c r="R500" i="1"/>
  <c r="P501" i="1"/>
  <c r="Q501" i="1"/>
  <c r="R501" i="1"/>
  <c r="P502" i="1"/>
  <c r="Q502" i="1"/>
  <c r="R502" i="1"/>
  <c r="P503" i="1"/>
  <c r="Q503" i="1"/>
  <c r="R503" i="1"/>
  <c r="P504" i="1"/>
  <c r="Q504" i="1"/>
  <c r="R504" i="1"/>
  <c r="P505" i="1"/>
  <c r="Q505" i="1"/>
  <c r="R505" i="1"/>
  <c r="P506" i="1"/>
  <c r="Q506" i="1"/>
  <c r="R506" i="1"/>
  <c r="P507" i="1"/>
  <c r="Q507" i="1"/>
  <c r="R507" i="1"/>
  <c r="P508" i="1"/>
  <c r="Q508" i="1"/>
  <c r="R508" i="1"/>
  <c r="P509" i="1"/>
  <c r="Q509" i="1"/>
  <c r="R509" i="1"/>
  <c r="P510" i="1"/>
  <c r="Q510" i="1"/>
  <c r="R510" i="1"/>
  <c r="P511" i="1"/>
  <c r="Q511" i="1"/>
  <c r="R511" i="1"/>
  <c r="P512" i="1"/>
  <c r="Q512" i="1"/>
  <c r="R512" i="1"/>
  <c r="P513" i="1"/>
  <c r="Q513" i="1"/>
  <c r="R513" i="1"/>
  <c r="P514" i="1"/>
  <c r="Q514" i="1"/>
  <c r="R514" i="1"/>
  <c r="P515" i="1"/>
  <c r="Q515" i="1"/>
  <c r="R515" i="1"/>
  <c r="P516" i="1"/>
  <c r="Q516" i="1"/>
  <c r="R516" i="1"/>
  <c r="P517" i="1"/>
  <c r="Q517" i="1"/>
  <c r="R517" i="1"/>
  <c r="P518" i="1"/>
  <c r="Q518" i="1"/>
  <c r="R518" i="1"/>
  <c r="P519" i="1"/>
  <c r="Q519" i="1"/>
  <c r="R519" i="1"/>
  <c r="P520" i="1"/>
  <c r="Q520" i="1"/>
  <c r="R520" i="1"/>
  <c r="P521" i="1"/>
  <c r="Q521" i="1"/>
  <c r="R521" i="1"/>
  <c r="P522" i="1"/>
  <c r="Q522" i="1"/>
  <c r="R522" i="1"/>
  <c r="P523" i="1"/>
  <c r="Q523" i="1"/>
  <c r="R523" i="1"/>
  <c r="P524" i="1"/>
  <c r="Q524" i="1"/>
  <c r="R524" i="1"/>
  <c r="P525" i="1"/>
  <c r="Q525" i="1"/>
  <c r="R525" i="1"/>
  <c r="P526" i="1"/>
  <c r="Q526" i="1"/>
  <c r="R526" i="1"/>
  <c r="P527" i="1"/>
  <c r="Q527" i="1"/>
  <c r="R527" i="1"/>
  <c r="P528" i="1"/>
  <c r="Q528" i="1"/>
  <c r="R528" i="1"/>
  <c r="P529" i="1"/>
  <c r="Q529" i="1"/>
  <c r="R529" i="1"/>
  <c r="P530" i="1"/>
  <c r="Q530" i="1"/>
  <c r="R530" i="1"/>
  <c r="P531" i="1"/>
  <c r="Q531" i="1"/>
  <c r="R531" i="1"/>
  <c r="P532" i="1"/>
  <c r="Q532" i="1"/>
  <c r="R532" i="1"/>
  <c r="P533" i="1"/>
  <c r="Q533" i="1"/>
  <c r="R533" i="1"/>
  <c r="P534" i="1"/>
  <c r="Q534" i="1"/>
  <c r="R534" i="1"/>
  <c r="P535" i="1"/>
  <c r="Q535" i="1"/>
  <c r="R535" i="1"/>
  <c r="P536" i="1"/>
  <c r="Q536" i="1"/>
  <c r="R536" i="1"/>
  <c r="P537" i="1"/>
  <c r="Q537" i="1"/>
  <c r="R537" i="1"/>
  <c r="P538" i="1"/>
  <c r="Q538" i="1"/>
  <c r="R538" i="1"/>
  <c r="P539" i="1"/>
  <c r="Q539" i="1"/>
  <c r="R539" i="1"/>
  <c r="P540" i="1"/>
  <c r="Q540" i="1"/>
  <c r="R540" i="1"/>
  <c r="P541" i="1"/>
  <c r="Q541" i="1"/>
  <c r="R541" i="1"/>
  <c r="P542" i="1"/>
  <c r="Q542" i="1"/>
  <c r="R542" i="1"/>
  <c r="P543" i="1"/>
  <c r="Q543" i="1"/>
  <c r="R543" i="1"/>
  <c r="P544" i="1"/>
  <c r="Q544" i="1"/>
  <c r="R544" i="1"/>
  <c r="P545" i="1"/>
  <c r="Q545" i="1"/>
  <c r="R545" i="1"/>
  <c r="P546" i="1"/>
  <c r="Q546" i="1"/>
  <c r="R546" i="1"/>
  <c r="P547" i="1"/>
  <c r="Q547" i="1"/>
  <c r="R547" i="1"/>
  <c r="P548" i="1"/>
  <c r="Q548" i="1"/>
  <c r="R548" i="1"/>
  <c r="P549" i="1"/>
  <c r="Q549" i="1"/>
  <c r="R549" i="1"/>
  <c r="P550" i="1"/>
  <c r="Q550" i="1"/>
  <c r="R550" i="1"/>
  <c r="P551" i="1"/>
  <c r="Q551" i="1"/>
  <c r="R551" i="1"/>
  <c r="P552" i="1"/>
  <c r="Q552" i="1"/>
  <c r="R552" i="1"/>
  <c r="P553" i="1"/>
  <c r="Q553" i="1"/>
  <c r="R553" i="1"/>
  <c r="P554" i="1"/>
  <c r="Q554" i="1"/>
  <c r="R554" i="1"/>
  <c r="P555" i="1"/>
  <c r="Q555" i="1"/>
  <c r="R555" i="1"/>
  <c r="P556" i="1"/>
  <c r="Q556" i="1"/>
  <c r="R556" i="1"/>
  <c r="P557" i="1"/>
  <c r="Q557" i="1"/>
  <c r="R557" i="1"/>
  <c r="P558" i="1"/>
  <c r="Q558" i="1"/>
  <c r="R558" i="1"/>
  <c r="P559" i="1"/>
  <c r="Q559" i="1"/>
  <c r="R559" i="1"/>
  <c r="P560" i="1"/>
  <c r="Q560" i="1"/>
  <c r="R560" i="1"/>
  <c r="P561" i="1"/>
  <c r="Q561" i="1"/>
  <c r="R561" i="1"/>
  <c r="P562" i="1"/>
  <c r="Q562" i="1"/>
  <c r="R562" i="1"/>
  <c r="P563" i="1"/>
  <c r="Q563" i="1"/>
  <c r="R563" i="1"/>
  <c r="P564" i="1"/>
  <c r="Q564" i="1"/>
  <c r="R564" i="1"/>
  <c r="P565" i="1"/>
  <c r="Q565" i="1"/>
  <c r="R565" i="1"/>
  <c r="P566" i="1"/>
  <c r="Q566" i="1"/>
  <c r="R566" i="1"/>
  <c r="P567" i="1"/>
  <c r="Q567" i="1"/>
  <c r="R567" i="1"/>
  <c r="P568" i="1"/>
  <c r="Q568" i="1"/>
  <c r="R568" i="1"/>
  <c r="P569" i="1"/>
  <c r="Q569" i="1"/>
  <c r="R569" i="1"/>
  <c r="P570" i="1"/>
  <c r="Q570" i="1"/>
  <c r="R570" i="1"/>
  <c r="P571" i="1"/>
  <c r="Q571" i="1"/>
  <c r="R571" i="1"/>
  <c r="P572" i="1"/>
  <c r="Q572" i="1"/>
  <c r="R572" i="1"/>
  <c r="P573" i="1"/>
  <c r="Q573" i="1"/>
  <c r="R573" i="1"/>
  <c r="P574" i="1"/>
  <c r="Q574" i="1"/>
  <c r="R574" i="1"/>
  <c r="P575" i="1"/>
  <c r="Q575" i="1"/>
  <c r="R575" i="1"/>
  <c r="P576" i="1"/>
  <c r="Q576" i="1"/>
  <c r="R576" i="1"/>
  <c r="P577" i="1"/>
  <c r="Q577" i="1"/>
  <c r="R577" i="1"/>
  <c r="P578" i="1"/>
  <c r="Q578" i="1"/>
  <c r="R578" i="1"/>
  <c r="P579" i="1"/>
  <c r="Q579" i="1"/>
  <c r="R579" i="1"/>
  <c r="P580" i="1"/>
  <c r="Q580" i="1"/>
  <c r="R580" i="1"/>
  <c r="P581" i="1"/>
  <c r="Q581" i="1"/>
  <c r="R581" i="1"/>
  <c r="P582" i="1"/>
  <c r="Q582" i="1"/>
  <c r="R582" i="1"/>
  <c r="P583" i="1"/>
  <c r="Q583" i="1"/>
  <c r="R583" i="1"/>
  <c r="P584" i="1"/>
  <c r="Q584" i="1"/>
  <c r="R584" i="1"/>
  <c r="P585" i="1"/>
  <c r="Q585" i="1"/>
  <c r="R585" i="1"/>
  <c r="P586" i="1"/>
  <c r="Q586" i="1"/>
  <c r="R586" i="1"/>
  <c r="P587" i="1"/>
  <c r="Q587" i="1"/>
  <c r="R587" i="1"/>
  <c r="P588" i="1"/>
  <c r="Q588" i="1"/>
  <c r="R588" i="1"/>
  <c r="P589" i="1"/>
  <c r="Q589" i="1"/>
  <c r="R589" i="1"/>
  <c r="P590" i="1"/>
  <c r="Q590" i="1"/>
  <c r="R590" i="1"/>
  <c r="P591" i="1"/>
  <c r="Q591" i="1"/>
  <c r="R591" i="1"/>
  <c r="P592" i="1"/>
  <c r="Q592" i="1"/>
  <c r="R592" i="1"/>
  <c r="P593" i="1"/>
  <c r="Q593" i="1"/>
  <c r="R593" i="1"/>
  <c r="P594" i="1"/>
  <c r="Q594" i="1"/>
  <c r="R594" i="1"/>
  <c r="P595" i="1"/>
  <c r="Q595" i="1"/>
  <c r="R595" i="1"/>
  <c r="P596" i="1"/>
  <c r="Q596" i="1"/>
  <c r="R596" i="1"/>
  <c r="P597" i="1"/>
  <c r="Q597" i="1"/>
  <c r="R597" i="1"/>
  <c r="P598" i="1"/>
  <c r="Q598" i="1"/>
  <c r="R598" i="1"/>
  <c r="P599" i="1"/>
  <c r="Q599" i="1"/>
  <c r="R599" i="1"/>
  <c r="P600" i="1"/>
  <c r="Q600" i="1"/>
  <c r="R600" i="1"/>
  <c r="P601" i="1"/>
  <c r="Q601" i="1"/>
  <c r="R601" i="1"/>
  <c r="P602" i="1"/>
  <c r="Q602" i="1"/>
  <c r="R602" i="1"/>
  <c r="P603" i="1"/>
  <c r="Q603" i="1"/>
  <c r="R603" i="1"/>
  <c r="P604" i="1"/>
  <c r="Q604" i="1"/>
  <c r="R604" i="1"/>
  <c r="P605" i="1"/>
  <c r="Q605" i="1"/>
  <c r="R605" i="1"/>
  <c r="P606" i="1"/>
  <c r="Q606" i="1"/>
  <c r="R606" i="1"/>
  <c r="P607" i="1"/>
  <c r="Q607" i="1"/>
  <c r="R607" i="1"/>
  <c r="P608" i="1"/>
  <c r="Q608" i="1"/>
  <c r="R608" i="1"/>
  <c r="P609" i="1"/>
  <c r="Q609" i="1"/>
  <c r="R609" i="1"/>
  <c r="P610" i="1"/>
  <c r="Q610" i="1"/>
  <c r="R610" i="1"/>
  <c r="P611" i="1"/>
  <c r="Q611" i="1"/>
  <c r="R611" i="1"/>
  <c r="P612" i="1"/>
  <c r="Q612" i="1"/>
  <c r="R612" i="1"/>
  <c r="P613" i="1"/>
  <c r="Q613" i="1"/>
  <c r="R613" i="1"/>
  <c r="P614" i="1"/>
  <c r="Q614" i="1"/>
  <c r="R614" i="1"/>
  <c r="H3" i="1" l="1"/>
  <c r="G3" i="1"/>
  <c r="H2" i="1" l="1"/>
  <c r="G2" i="1"/>
  <c r="O3" i="1"/>
  <c r="O2" i="1"/>
  <c r="P2" i="1" l="1"/>
  <c r="R2" i="1"/>
  <c r="Q2" i="1"/>
  <c r="Q3" i="1" l="1"/>
  <c r="K2" i="1"/>
  <c r="E2" i="1"/>
  <c r="C2" i="1"/>
  <c r="A2" i="1"/>
  <c r="K3" i="1"/>
  <c r="E3" i="1"/>
  <c r="A3" i="1"/>
  <c r="C3" i="1" l="1"/>
  <c r="R3" i="1" l="1"/>
  <c r="P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tc={0699B721-33D0-4972-A990-FCB68B339887}</author>
  </authors>
  <commentList>
    <comment ref="Q1" authorId="0" shapeId="0" xr:uid="{0699B721-33D0-4972-A990-FCB68B33988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changed for silver sku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699618-A7CD-4CCF-AA66-8F7F862CE79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<sst xmlns="http://schemas.openxmlformats.org/spreadsheetml/2006/main" count="1899" uniqueCount="148">
  <si>
    <t>Plant</t>
  </si>
  <si>
    <t>Plant Name</t>
  </si>
  <si>
    <t>Material Code</t>
  </si>
  <si>
    <t>Group</t>
  </si>
  <si>
    <t>Material Description</t>
  </si>
  <si>
    <t>Cat</t>
  </si>
  <si>
    <t>Source</t>
  </si>
  <si>
    <t>Sales Qty</t>
  </si>
  <si>
    <t>% With  Forecast</t>
  </si>
  <si>
    <t>Transit</t>
  </si>
  <si>
    <t>Ship Date</t>
  </si>
  <si>
    <t>Ready Stock</t>
  </si>
  <si>
    <t>Ready + transist</t>
  </si>
  <si>
    <t>2000</t>
  </si>
  <si>
    <t>01296</t>
  </si>
  <si>
    <t>Rich’s Cremagic - 2 Kg</t>
  </si>
  <si>
    <t>07310</t>
  </si>
  <si>
    <t>Rich's Cooking Rich Hot Kitchen Appl.</t>
  </si>
  <si>
    <t>13179</t>
  </si>
  <si>
    <t>Rich’s Whip Topping Gold (India)</t>
  </si>
  <si>
    <t>16336</t>
  </si>
  <si>
    <t>Sunwhip (India) 1 Kg</t>
  </si>
  <si>
    <t>4100</t>
  </si>
  <si>
    <t>06151</t>
  </si>
  <si>
    <t>Rich's Double Dream</t>
  </si>
  <si>
    <t>04145</t>
  </si>
  <si>
    <t>Rich's Nugel Caramel (1 Kg)</t>
  </si>
  <si>
    <t>13490</t>
  </si>
  <si>
    <t>Rich's Nugel Neutral Glaze 2.5 Kg IN</t>
  </si>
  <si>
    <t>14248</t>
  </si>
  <si>
    <t>Rich's Nugel Cocoa Glaze 2.5 Kg (India)</t>
  </si>
  <si>
    <t>15300</t>
  </si>
  <si>
    <t>Rich's Nugel Pineapple Glaze 1.0 Kg IN</t>
  </si>
  <si>
    <t>15305</t>
  </si>
  <si>
    <t>Rich's Nugel Strawberry Glaze 1.0 Kg IN</t>
  </si>
  <si>
    <t>15312</t>
  </si>
  <si>
    <t>Rich's Nugel Blueberry Glaze 1.0 Kg IN</t>
  </si>
  <si>
    <t>16407</t>
  </si>
  <si>
    <t>Rich's Nugel White 1 Kg (India)</t>
  </si>
  <si>
    <t>00189</t>
  </si>
  <si>
    <t>01167</t>
  </si>
  <si>
    <t>Rich's Sweetmate (India) 1 Kg</t>
  </si>
  <si>
    <t>02122</t>
  </si>
  <si>
    <t>Rich's Dairy Free Whip Topping - 2 Kg</t>
  </si>
  <si>
    <t>05159</t>
  </si>
  <si>
    <t>Rich's Whip Topping-Gold 500 G (India)</t>
  </si>
  <si>
    <t>06982</t>
  </si>
  <si>
    <t>Rich's Chocolate Whip Topping</t>
  </si>
  <si>
    <t>08529</t>
  </si>
  <si>
    <t>Rich's Truffle Base</t>
  </si>
  <si>
    <t>13678</t>
  </si>
  <si>
    <t>Rich’s New Niagara Farms</t>
  </si>
  <si>
    <t>14654</t>
  </si>
  <si>
    <t>Rich's Bettercreme</t>
  </si>
  <si>
    <t>14788</t>
  </si>
  <si>
    <t>Rich’s Whip Topping-Gold 1 Kg</t>
  </si>
  <si>
    <t>15536</t>
  </si>
  <si>
    <t>Rich's Premium Truffle -2 Kg</t>
  </si>
  <si>
    <t>15906</t>
  </si>
  <si>
    <t>Rich’s Whip Topping (India) 1 Kg</t>
  </si>
  <si>
    <t>16984</t>
  </si>
  <si>
    <t>Rich’s Niagara Farms Gold (1 Kg )</t>
  </si>
  <si>
    <t>16998</t>
  </si>
  <si>
    <t>Rich's Excel Whip (1 Kg)</t>
  </si>
  <si>
    <t>18098</t>
  </si>
  <si>
    <t>4101</t>
  </si>
  <si>
    <t>19690</t>
  </si>
  <si>
    <t>Rich's Nufill Blueberry FruitFilling 1Kg</t>
  </si>
  <si>
    <t>15459</t>
  </si>
  <si>
    <t>Rich's Cooking Rich-Hot Kitchen (10 Kg)</t>
  </si>
  <si>
    <t>4104</t>
  </si>
  <si>
    <t>4200</t>
  </si>
  <si>
    <t>4201</t>
  </si>
  <si>
    <t>4300</t>
  </si>
  <si>
    <t>4301</t>
  </si>
  <si>
    <t>4400</t>
  </si>
  <si>
    <t>4401</t>
  </si>
  <si>
    <t>4403</t>
  </si>
  <si>
    <t>4404</t>
  </si>
  <si>
    <t>RF Pendency</t>
  </si>
  <si>
    <t>INV Days R+T</t>
  </si>
  <si>
    <t>RF</t>
  </si>
  <si>
    <t>20160</t>
  </si>
  <si>
    <t>RICH'S NUFILL DARK CHERRY FRUIT FILLING</t>
  </si>
  <si>
    <t>20308</t>
  </si>
  <si>
    <t>20827</t>
  </si>
  <si>
    <t>Rich’s Premium Truffle-RTUGanache-GS 2kg</t>
  </si>
  <si>
    <t>4105</t>
  </si>
  <si>
    <t>20661</t>
  </si>
  <si>
    <t>Rich’s Wilber Farms Dairy Cream 1ltr</t>
  </si>
  <si>
    <t>4203</t>
  </si>
  <si>
    <t>21910</t>
  </si>
  <si>
    <t>Rich’s Sunwhip 2 Kg</t>
  </si>
  <si>
    <t>22059</t>
  </si>
  <si>
    <t>Rich’s Truffle Base - Hazelnut Flavour</t>
  </si>
  <si>
    <t>4106</t>
  </si>
  <si>
    <t>23081</t>
  </si>
  <si>
    <t>Rich’s Icehot Creamery Dairy Beverage MI</t>
  </si>
  <si>
    <t>23401</t>
  </si>
  <si>
    <t>New Toppin Pride (1 kg)</t>
  </si>
  <si>
    <t>23638</t>
  </si>
  <si>
    <t>Rich's Versatie Gold- Cooking Base 1 ltr</t>
  </si>
  <si>
    <t>4302</t>
  </si>
  <si>
    <t>23890</t>
  </si>
  <si>
    <t>Whip Topping Base (India)</t>
  </si>
  <si>
    <t>23691</t>
  </si>
  <si>
    <t>RICH'S WT Gold 1 Kg (Middle East)</t>
  </si>
  <si>
    <t>INV Days (Ready Stock)</t>
  </si>
  <si>
    <t>Rich's Star Whip 2 kg </t>
  </si>
  <si>
    <t>Rich's Star Whip 1 Kg</t>
  </si>
  <si>
    <t>4108</t>
  </si>
  <si>
    <t>24768</t>
  </si>
  <si>
    <t>RWT Silver India 1kg</t>
  </si>
  <si>
    <t>4304</t>
  </si>
  <si>
    <t>25616</t>
  </si>
  <si>
    <t>RWT Gold - 10 kg</t>
  </si>
  <si>
    <t>25570</t>
  </si>
  <si>
    <t>25598</t>
  </si>
  <si>
    <t>Rich'S Sun Whip Ultra (1 Kg) 2025</t>
  </si>
  <si>
    <t>Rich's Cheese Flv WT 1 kg (2025)</t>
  </si>
  <si>
    <t>20309</t>
  </si>
  <si>
    <t>Rich's Nufill Strawberry Fruit Filling 1</t>
  </si>
  <si>
    <t>25885</t>
  </si>
  <si>
    <t>RWT Dairy Flavoured 1 Kg</t>
  </si>
  <si>
    <t>24216</t>
  </si>
  <si>
    <t>Versatie Export</t>
  </si>
  <si>
    <t>26234</t>
  </si>
  <si>
    <t>Rich's Decadent Whip Topping 1 Kg</t>
  </si>
  <si>
    <t>26026</t>
  </si>
  <si>
    <t>26192</t>
  </si>
  <si>
    <t>26193</t>
  </si>
  <si>
    <t>Rich's ICEHOT All in one beverage base</t>
  </si>
  <si>
    <t>Rich's dairy cooking cream</t>
  </si>
  <si>
    <t>Rich's ICEHOT Multipurpose Base-UHT</t>
  </si>
  <si>
    <t>Rich's dairy Truffle Base</t>
  </si>
  <si>
    <t>26744</t>
  </si>
  <si>
    <t>26745</t>
  </si>
  <si>
    <t>Rich's Nufill Red Cherry Fruit Filling 1</t>
  </si>
  <si>
    <t>Rich's Nufill Pineaaple Fruit Filling 1k</t>
  </si>
  <si>
    <t xml:space="preserve"> RF May- 26</t>
  </si>
  <si>
    <t>27021</t>
  </si>
  <si>
    <t>RWT Milky Bliss 1 Kg</t>
  </si>
  <si>
    <t>26984</t>
  </si>
  <si>
    <t>RICH's UHT RTU SHINING GLAZE</t>
  </si>
  <si>
    <t>Hub</t>
  </si>
  <si>
    <t>Product</t>
  </si>
  <si>
    <t>Sales</t>
  </si>
  <si>
    <t>Ready Transist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</si>
</sst>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6" formatCode="#,##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sz val="10"/>
      <name val="Arial"/>
      <family val="2"/>
    </font>
    <font>
      <sz val="9"/>
      <color theme="5" tint="0.59999389629810485"/>
      <name val="Cambria"/>
      <family val="1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11" fillId="0" borderId="0"/>
    <xf numFmtId="0" fontId="12" fillId="0" borderId="0"/>
  </cellStyleXfs>
  <cellXfs count="31">
    <xf numFmtId="0" fontId="0" fillId="0" borderId="0" xfId="0"/>
    <xf numFmtId="0" fontId="6" fillId="0" borderId="0" xfId="0" applyFont="1" applyAlignment="1">
      <alignment horizontal="left" vertical="top"/>
    </xf>
    <xf numFmtId="9" fontId="10" fillId="2" borderId="0" xfId="1" applyFont="1" applyFill="1" applyAlignment="1">
      <alignment horizontal="center" vertical="top"/>
    </xf>
    <xf numFmtId="0" fontId="6" fillId="0" borderId="0" xfId="0" applyFont="1" applyAlignment="1">
      <alignment horizontal="center" vertical="top"/>
    </xf>
    <xf numFmtId="1" fontId="6" fillId="2" borderId="0" xfId="0" applyNumberFormat="1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166" fontId="7" fillId="2" borderId="1" xfId="0" applyNumberFormat="1" applyFont="1" applyFill="1" applyBorder="1" applyAlignment="1">
      <alignment horizontal="left" vertical="top"/>
    </xf>
    <xf numFmtId="9" fontId="6" fillId="2" borderId="1" xfId="1" applyFont="1" applyFill="1" applyBorder="1" applyAlignment="1">
      <alignment horizontal="center" vertical="top"/>
    </xf>
    <xf numFmtId="1" fontId="6" fillId="2" borderId="1" xfId="0" applyNumberFormat="1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1" fontId="8" fillId="3" borderId="1" xfId="0" applyNumberFormat="1" applyFont="1" applyFill="1" applyBorder="1" applyAlignment="1">
      <alignment horizontal="left" vertical="top" wrapText="1"/>
    </xf>
    <xf numFmtId="9" fontId="8" fillId="3" borderId="1" xfId="1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  <xf numFmtId="0" fontId="2" fillId="0" borderId="3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14" fontId="0" fillId="0" borderId="2" xfId="0" applyNumberFormat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top"/>
    </xf>
    <xf numFmtId="14" fontId="6" fillId="0" borderId="0" xfId="0" applyNumberFormat="1" applyFont="1" applyAlignment="1">
      <alignment horizontal="center" vertical="top"/>
    </xf>
    <xf numFmtId="14" fontId="8" fillId="3" borderId="1" xfId="0" applyNumberFormat="1" applyFont="1" applyFill="1" applyBorder="1" applyAlignment="1">
      <alignment horizontal="center" vertical="top" wrapText="1"/>
    </xf>
    <xf numFmtId="1" fontId="6" fillId="0" borderId="0" xfId="0" applyNumberFormat="1" applyFont="1" applyAlignment="1">
      <alignment horizontal="center" vertical="top"/>
    </xf>
    <xf numFmtId="1" fontId="8" fillId="3" borderId="1" xfId="0" applyNumberFormat="1" applyFont="1" applyFill="1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top"/>
    </xf>
    <xf numFmtId="1" fontId="3" fillId="0" borderId="3" xfId="0" applyNumberFormat="1" applyFont="1" applyBorder="1" applyAlignment="1">
      <alignment horizontal="center" vertical="top"/>
    </xf>
    <xf numFmtId="0" fontId="13" fillId="2" borderId="1" xfId="0" applyFont="1" applyFill="1" applyBorder="1" applyAlignment="1">
      <alignment horizontal="left" vertical="top"/>
    </xf>
    <xf numFmtId="0" fontId="0" fillId="0" borderId="0" xfId="0" applyNumberFormat="1"/>
    <xf numFmtId="0" fontId="4" fillId="0" borderId="0" xfId="0" applyFont="1"/>
  </cellXfs>
  <cellStyles count="8">
    <cellStyle name="Comma 2" xfId="2" xr:uid="{C139AE36-995C-4624-B7A2-B786BB2E4632}"/>
    <cellStyle name="Normal" xfId="0" builtinId="0"/>
    <cellStyle name="Normal 2" xfId="3" xr:uid="{123026B9-B785-4373-907A-64F274BE91D0}"/>
    <cellStyle name="Normal 3" xfId="4" xr:uid="{8032AB36-DD2C-4722-BAF2-FF409F42E3F7}"/>
    <cellStyle name="Normal 4" xfId="6" xr:uid="{2956CC67-9E6A-4714-800C-1CC73F843BBA}"/>
    <cellStyle name="Normal 5" xfId="7" xr:uid="{AE0F9174-5F23-401B-A92C-E1863F6C3623}"/>
    <cellStyle name="Percent" xfId="1" builtinId="5"/>
    <cellStyle name="Percent 2" xfId="5" xr:uid="{7B2C714E-8ACF-432B-ABCC-9321997FB463}"/>
  </cellStyles>
  <dxfs count="3"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4F719F77-4DE2-41DA-B838-24EDC288BE12}"/>
  </tableStyles>
  <colors>
    <mruColors>
      <color rgb="FFD497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hruvanshi, Devi" id="{CD9F1920-D281-4DBA-981A-408F249EC77A}" userId="S::DDhruvanshi@rich.com::3ae89c45-20f6-437f-b3ef-5e053f6dc2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4-12-06T07:33:08.88" personId="{CD9F1920-D281-4DBA-981A-408F249EC77A}" id="{0699B721-33D0-4972-A990-FCB68B339887}">
    <text>Formula changed for silver sku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6"/>
  <sheetViews>
    <sheetView showGridLines="0" zoomScale="80" zoomScaleNormal="76" workbookViewId="0">
      <selection activeCell="G13" sqref="G13"/>
    </sheetView>
  </sheetViews>
  <sheetFormatPr defaultColWidth="10" defaultRowHeight="11.25" x14ac:dyDescent="0.45"/>
  <cols>
    <col min="1" max="1" width="10" style="5"/>
    <col min="2" max="2" width="10.3984375" style="3" bestFit="1" customWidth="1"/>
    <col min="3" max="3" width="20.59765625" style="5" customWidth="1"/>
    <col min="4" max="4" width="10.3984375" style="3" customWidth="1"/>
    <col min="5" max="5" width="10.86328125" style="4" bestFit="1" customWidth="1"/>
    <col min="6" max="6" width="37.86328125" style="1" customWidth="1"/>
    <col min="7" max="7" width="10.3984375" style="5" customWidth="1"/>
    <col min="8" max="8" width="13.3984375" style="5" customWidth="1"/>
    <col min="9" max="10" width="13.1328125" style="24" bestFit="1" customWidth="1"/>
    <col min="11" max="11" width="8.86328125" style="2" customWidth="1"/>
    <col min="12" max="12" width="11.86328125" style="24" bestFit="1" customWidth="1"/>
    <col min="13" max="13" width="13.3984375" style="22" bestFit="1" customWidth="1"/>
    <col min="14" max="14" width="15.86328125" style="24" bestFit="1" customWidth="1"/>
    <col min="15" max="15" width="17.265625" style="24" bestFit="1" customWidth="1"/>
    <col min="16" max="16" width="14.3984375" style="3" bestFit="1" customWidth="1"/>
    <col min="17" max="17" width="13.3984375" style="3" bestFit="1" customWidth="1"/>
    <col min="18" max="18" width="11.86328125" style="1" customWidth="1"/>
    <col min="19" max="16384" width="10" style="1"/>
  </cols>
  <sheetData>
    <row r="1" spans="1:18" s="14" customFormat="1" ht="22.5" x14ac:dyDescent="0.45">
      <c r="A1" s="10" t="s">
        <v>3</v>
      </c>
      <c r="B1" s="10" t="s">
        <v>0</v>
      </c>
      <c r="C1" s="11" t="s">
        <v>1</v>
      </c>
      <c r="D1" s="10" t="s">
        <v>2</v>
      </c>
      <c r="E1" s="12" t="s">
        <v>3</v>
      </c>
      <c r="F1" s="11" t="s">
        <v>4</v>
      </c>
      <c r="G1" s="11" t="s">
        <v>5</v>
      </c>
      <c r="H1" s="11" t="s">
        <v>6</v>
      </c>
      <c r="I1" s="25" t="s">
        <v>139</v>
      </c>
      <c r="J1" s="25" t="s">
        <v>7</v>
      </c>
      <c r="K1" s="13" t="s">
        <v>8</v>
      </c>
      <c r="L1" s="25" t="s">
        <v>9</v>
      </c>
      <c r="M1" s="23" t="s">
        <v>10</v>
      </c>
      <c r="N1" s="25" t="s">
        <v>11</v>
      </c>
      <c r="O1" s="25" t="s">
        <v>12</v>
      </c>
      <c r="P1" s="10" t="s">
        <v>79</v>
      </c>
      <c r="Q1" s="10" t="s">
        <v>80</v>
      </c>
      <c r="R1" s="10" t="s">
        <v>107</v>
      </c>
    </row>
    <row r="2" spans="1:18" ht="14.25" x14ac:dyDescent="0.45">
      <c r="A2" s="15" t="str">
        <f>B2&amp;D2</f>
        <v>430019690</v>
      </c>
      <c r="B2" s="17" t="s">
        <v>73</v>
      </c>
      <c r="C2" s="6" t="e">
        <f>_xlfn.XLOOKUP(B:B,#REF!,#REF!)</f>
        <v>#REF!</v>
      </c>
      <c r="D2" s="17" t="s">
        <v>66</v>
      </c>
      <c r="E2" s="6" t="str">
        <f>B2&amp;D2</f>
        <v>430019690</v>
      </c>
      <c r="F2" s="18" t="s">
        <v>67</v>
      </c>
      <c r="G2" s="7" t="e">
        <f>VLOOKUP(D2,#REF!,4,)</f>
        <v>#REF!</v>
      </c>
      <c r="H2" s="6" t="e">
        <f>VLOOKUP(D2,#REF!,5,)</f>
        <v>#REF!</v>
      </c>
      <c r="I2" s="26">
        <v>0</v>
      </c>
      <c r="J2" s="26">
        <v>0</v>
      </c>
      <c r="K2" s="8">
        <f>IFERROR(J2/I2,0)</f>
        <v>0</v>
      </c>
      <c r="L2" s="27">
        <v>0</v>
      </c>
      <c r="M2" s="20"/>
      <c r="N2" s="27">
        <v>0</v>
      </c>
      <c r="O2" s="27">
        <f>N2+L2</f>
        <v>0</v>
      </c>
      <c r="P2" s="9">
        <f>I2-J2-O2</f>
        <v>0</v>
      </c>
      <c r="Q2" s="9">
        <f>IFERROR(IF(D2=20250,O2/(#REF!/30),O2/(I2/30)),0)</f>
        <v>0</v>
      </c>
      <c r="R2" s="9">
        <f>IFERROR(N2/(I2/30),0)</f>
        <v>0</v>
      </c>
    </row>
    <row r="3" spans="1:18" ht="14.25" x14ac:dyDescent="0.45">
      <c r="A3" s="15" t="str">
        <f>B3&amp;D3</f>
        <v>410600189</v>
      </c>
      <c r="B3" s="17" t="s">
        <v>95</v>
      </c>
      <c r="C3" s="6" t="e">
        <f>_xlfn.XLOOKUP(B:B,#REF!,#REF!)</f>
        <v>#REF!</v>
      </c>
      <c r="D3" s="16" t="s">
        <v>39</v>
      </c>
      <c r="E3" s="6" t="str">
        <f>B3&amp;D3</f>
        <v>410600189</v>
      </c>
      <c r="F3" s="16" t="s">
        <v>109</v>
      </c>
      <c r="G3" s="7" t="e">
        <f>VLOOKUP(D3,#REF!,4,)</f>
        <v>#REF!</v>
      </c>
      <c r="H3" s="6" t="e">
        <f>VLOOKUP(D3,#REF!,5,)</f>
        <v>#REF!</v>
      </c>
      <c r="I3" s="26">
        <v>0</v>
      </c>
      <c r="J3" s="26">
        <v>0</v>
      </c>
      <c r="K3" s="8">
        <f>IFERROR(J3/I3,0)</f>
        <v>0</v>
      </c>
      <c r="L3" s="27">
        <v>0</v>
      </c>
      <c r="M3" s="20"/>
      <c r="N3" s="27">
        <v>0</v>
      </c>
      <c r="O3" s="27">
        <f t="shared" ref="O3" si="0">N3+L3</f>
        <v>0</v>
      </c>
      <c r="P3" s="9">
        <f t="shared" ref="P3" si="1">I3-J3-O3</f>
        <v>0</v>
      </c>
      <c r="Q3" s="9">
        <f>IFERROR(IF(D3=20250,O3/(#REF!/30),O3/(I3/30)),0)</f>
        <v>0</v>
      </c>
      <c r="R3" s="9">
        <f t="shared" ref="R3" si="2">IFERROR(N3/(I3/30),0)</f>
        <v>0</v>
      </c>
    </row>
    <row r="4" spans="1:18" ht="13.15" x14ac:dyDescent="0.45">
      <c r="A4" s="15" t="str">
        <f t="shared" ref="A4:A67" si="3">B4&amp;D4</f>
        <v>200000189</v>
      </c>
      <c r="B4" s="19" t="s">
        <v>13</v>
      </c>
      <c r="C4" s="28" t="e">
        <f>_xlfn.XLOOKUP(B:B,#REF!,#REF!)</f>
        <v>#REF!</v>
      </c>
      <c r="D4" s="19" t="s">
        <v>39</v>
      </c>
      <c r="E4" s="6" t="str">
        <f t="shared" ref="E4:E67" si="4">B4&amp;D4</f>
        <v>200000189</v>
      </c>
      <c r="F4" s="19" t="s">
        <v>109</v>
      </c>
      <c r="G4" s="7" t="e">
        <f>VLOOKUP(D4,#REF!,4,)</f>
        <v>#REF!</v>
      </c>
      <c r="H4" s="6" t="e">
        <f>VLOOKUP(D4,#REF!,5,)</f>
        <v>#REF!</v>
      </c>
      <c r="I4" s="27">
        <v>6478.08</v>
      </c>
      <c r="J4" s="27">
        <v>0</v>
      </c>
      <c r="K4" s="8">
        <f t="shared" ref="K4:K67" si="5">IFERROR(J4/I4,0)</f>
        <v>0</v>
      </c>
      <c r="L4" s="27">
        <v>0</v>
      </c>
      <c r="M4" s="21"/>
      <c r="N4" s="27">
        <v>1032</v>
      </c>
      <c r="O4" s="27">
        <v>1032</v>
      </c>
      <c r="P4" s="9">
        <f t="shared" ref="P4:P67" si="6">I4-J4-O4</f>
        <v>5446.08</v>
      </c>
      <c r="Q4" s="9">
        <f>IFERROR(IF(D4=20250,O4/(#REF!/30),O4/(I4/30)),0)</f>
        <v>4.7791938352104326</v>
      </c>
      <c r="R4" s="9">
        <f t="shared" ref="R4:R67" si="7">IFERROR(N4/(I4/30),0)</f>
        <v>4.7791938352104326</v>
      </c>
    </row>
    <row r="5" spans="1:18" ht="13.15" x14ac:dyDescent="0.45">
      <c r="A5" s="15" t="str">
        <f t="shared" si="3"/>
        <v>200001296</v>
      </c>
      <c r="B5" s="19" t="s">
        <v>13</v>
      </c>
      <c r="C5" s="6" t="e">
        <f>_xlfn.XLOOKUP(B:B,#REF!,#REF!)</f>
        <v>#REF!</v>
      </c>
      <c r="D5" s="19" t="s">
        <v>14</v>
      </c>
      <c r="E5" s="6" t="str">
        <f t="shared" si="4"/>
        <v>200001296</v>
      </c>
      <c r="F5" s="19" t="s">
        <v>15</v>
      </c>
      <c r="G5" s="7" t="e">
        <f>VLOOKUP(D5,#REF!,4,)</f>
        <v>#REF!</v>
      </c>
      <c r="H5" s="6" t="e">
        <f>VLOOKUP(D5,#REF!,5,)</f>
        <v>#REF!</v>
      </c>
      <c r="I5" s="27">
        <v>550.20000000000005</v>
      </c>
      <c r="J5" s="27">
        <v>0</v>
      </c>
      <c r="K5" s="8">
        <f t="shared" si="5"/>
        <v>0</v>
      </c>
      <c r="L5" s="27">
        <v>0</v>
      </c>
      <c r="M5" s="21"/>
      <c r="N5" s="27">
        <v>0</v>
      </c>
      <c r="O5" s="27">
        <v>0</v>
      </c>
      <c r="P5" s="9">
        <f t="shared" si="6"/>
        <v>550.20000000000005</v>
      </c>
      <c r="Q5" s="9">
        <f>IFERROR(IF(D5=20250,O5/(#REF!/30),O5/(I5/30)),0)</f>
        <v>0</v>
      </c>
      <c r="R5" s="9">
        <f t="shared" si="7"/>
        <v>0</v>
      </c>
    </row>
    <row r="6" spans="1:18" ht="13.15" x14ac:dyDescent="0.45">
      <c r="A6" s="15" t="str">
        <f t="shared" si="3"/>
        <v>200002122</v>
      </c>
      <c r="B6" s="19" t="s">
        <v>13</v>
      </c>
      <c r="C6" s="6" t="e">
        <f>_xlfn.XLOOKUP(B:B,#REF!,#REF!)</f>
        <v>#REF!</v>
      </c>
      <c r="D6" s="19" t="s">
        <v>42</v>
      </c>
      <c r="E6" s="6" t="str">
        <f t="shared" si="4"/>
        <v>200002122</v>
      </c>
      <c r="F6" s="19" t="s">
        <v>43</v>
      </c>
      <c r="G6" s="7" t="e">
        <f>VLOOKUP(D6,#REF!,4,)</f>
        <v>#REF!</v>
      </c>
      <c r="H6" s="6" t="e">
        <f>VLOOKUP(D6,#REF!,5,)</f>
        <v>#REF!</v>
      </c>
      <c r="I6" s="27">
        <v>1122.3599999999999</v>
      </c>
      <c r="J6" s="27">
        <v>0</v>
      </c>
      <c r="K6" s="8">
        <f t="shared" si="5"/>
        <v>0</v>
      </c>
      <c r="L6" s="27">
        <v>0</v>
      </c>
      <c r="M6" s="21"/>
      <c r="N6" s="27">
        <v>408</v>
      </c>
      <c r="O6" s="27">
        <v>408</v>
      </c>
      <c r="P6" s="9">
        <f t="shared" si="6"/>
        <v>714.3599999999999</v>
      </c>
      <c r="Q6" s="9">
        <f>IFERROR(IF(D6=20250,O6/(#REF!/30),O6/(I6/30)),0)</f>
        <v>10.905591788730888</v>
      </c>
      <c r="R6" s="9">
        <f t="shared" si="7"/>
        <v>10.905591788730888</v>
      </c>
    </row>
    <row r="7" spans="1:18" ht="13.15" x14ac:dyDescent="0.45">
      <c r="A7" s="15" t="str">
        <f t="shared" si="3"/>
        <v>200005159</v>
      </c>
      <c r="B7" s="19" t="s">
        <v>13</v>
      </c>
      <c r="C7" s="6" t="e">
        <f>_xlfn.XLOOKUP(B:B,#REF!,#REF!)</f>
        <v>#REF!</v>
      </c>
      <c r="D7" s="19" t="s">
        <v>44</v>
      </c>
      <c r="E7" s="6" t="str">
        <f t="shared" si="4"/>
        <v>200005159</v>
      </c>
      <c r="F7" s="19" t="s">
        <v>45</v>
      </c>
      <c r="G7" s="7" t="e">
        <f>VLOOKUP(D7,#REF!,4,)</f>
        <v>#REF!</v>
      </c>
      <c r="H7" s="6" t="e">
        <f>VLOOKUP(D7,#REF!,5,)</f>
        <v>#REF!</v>
      </c>
      <c r="I7" s="27">
        <v>0</v>
      </c>
      <c r="J7" s="27">
        <v>0</v>
      </c>
      <c r="K7" s="8">
        <f t="shared" si="5"/>
        <v>0</v>
      </c>
      <c r="L7" s="27">
        <v>0</v>
      </c>
      <c r="M7" s="21"/>
      <c r="N7" s="27">
        <v>48</v>
      </c>
      <c r="O7" s="27">
        <v>48</v>
      </c>
      <c r="P7" s="9">
        <f t="shared" si="6"/>
        <v>-48</v>
      </c>
      <c r="Q7" s="9">
        <f>IFERROR(IF(D7=20250,O7/(#REF!/30),O7/(I7/30)),0)</f>
        <v>0</v>
      </c>
      <c r="R7" s="9">
        <f t="shared" si="7"/>
        <v>0</v>
      </c>
    </row>
    <row r="8" spans="1:18" ht="13.15" x14ac:dyDescent="0.45">
      <c r="A8" s="15" t="str">
        <f t="shared" si="3"/>
        <v>200007310</v>
      </c>
      <c r="B8" s="19" t="s">
        <v>13</v>
      </c>
      <c r="C8" s="6" t="e">
        <f>_xlfn.XLOOKUP(B:B,#REF!,#REF!)</f>
        <v>#REF!</v>
      </c>
      <c r="D8" s="19" t="s">
        <v>16</v>
      </c>
      <c r="E8" s="6" t="str">
        <f t="shared" si="4"/>
        <v>200007310</v>
      </c>
      <c r="F8" s="19" t="s">
        <v>17</v>
      </c>
      <c r="G8" s="7" t="e">
        <f>VLOOKUP(D8,#REF!,4,)</f>
        <v>#REF!</v>
      </c>
      <c r="H8" s="6" t="e">
        <f>VLOOKUP(D8,#REF!,5,)</f>
        <v>#REF!</v>
      </c>
      <c r="I8" s="27">
        <v>6678.96</v>
      </c>
      <c r="J8" s="27">
        <v>0</v>
      </c>
      <c r="K8" s="8">
        <f t="shared" si="5"/>
        <v>0</v>
      </c>
      <c r="L8" s="27">
        <v>6000</v>
      </c>
      <c r="M8" s="21">
        <v>46169</v>
      </c>
      <c r="N8" s="27">
        <v>1152</v>
      </c>
      <c r="O8" s="27">
        <v>7152</v>
      </c>
      <c r="P8" s="9">
        <f t="shared" si="6"/>
        <v>-473.03999999999996</v>
      </c>
      <c r="Q8" s="9">
        <f>IFERROR(IF(D8=20250,O8/(#REF!/30),O8/(I8/30)),0)</f>
        <v>32.124761938984513</v>
      </c>
      <c r="R8" s="9">
        <f t="shared" si="7"/>
        <v>5.174458298896834</v>
      </c>
    </row>
    <row r="9" spans="1:18" ht="13.15" x14ac:dyDescent="0.45">
      <c r="A9" s="15" t="str">
        <f t="shared" si="3"/>
        <v>200008529</v>
      </c>
      <c r="B9" s="19" t="s">
        <v>13</v>
      </c>
      <c r="C9" s="6" t="e">
        <f>_xlfn.XLOOKUP(B:B,#REF!,#REF!)</f>
        <v>#REF!</v>
      </c>
      <c r="D9" s="19" t="s">
        <v>48</v>
      </c>
      <c r="E9" s="6" t="str">
        <f t="shared" si="4"/>
        <v>200008529</v>
      </c>
      <c r="F9" s="19" t="s">
        <v>49</v>
      </c>
      <c r="G9" s="7" t="e">
        <f>VLOOKUP(D9,#REF!,4,)</f>
        <v>#REF!</v>
      </c>
      <c r="H9" s="6" t="e">
        <f>VLOOKUP(D9,#REF!,5,)</f>
        <v>#REF!</v>
      </c>
      <c r="I9" s="27">
        <v>0</v>
      </c>
      <c r="J9" s="27">
        <v>0</v>
      </c>
      <c r="K9" s="8">
        <f t="shared" si="5"/>
        <v>0</v>
      </c>
      <c r="L9" s="27">
        <v>0</v>
      </c>
      <c r="M9" s="21"/>
      <c r="N9" s="27">
        <v>2172</v>
      </c>
      <c r="O9" s="27">
        <v>2172</v>
      </c>
      <c r="P9" s="9">
        <f t="shared" si="6"/>
        <v>-2172</v>
      </c>
      <c r="Q9" s="9">
        <f>IFERROR(IF(D9=20250,O9/(#REF!/30),O9/(I9/30)),0)</f>
        <v>0</v>
      </c>
      <c r="R9" s="9">
        <f t="shared" si="7"/>
        <v>0</v>
      </c>
    </row>
    <row r="10" spans="1:18" ht="13.15" x14ac:dyDescent="0.45">
      <c r="A10" s="15" t="str">
        <f t="shared" si="3"/>
        <v>200013179</v>
      </c>
      <c r="B10" s="19" t="s">
        <v>13</v>
      </c>
      <c r="C10" s="6" t="e">
        <f>_xlfn.XLOOKUP(B:B,#REF!,#REF!)</f>
        <v>#REF!</v>
      </c>
      <c r="D10" s="19" t="s">
        <v>18</v>
      </c>
      <c r="E10" s="6" t="str">
        <f t="shared" si="4"/>
        <v>200013179</v>
      </c>
      <c r="F10" s="19" t="s">
        <v>19</v>
      </c>
      <c r="G10" s="7" t="e">
        <f>VLOOKUP(D10,#REF!,4,)</f>
        <v>#REF!</v>
      </c>
      <c r="H10" s="6" t="e">
        <f>VLOOKUP(D10,#REF!,5,)</f>
        <v>#REF!</v>
      </c>
      <c r="I10" s="27">
        <v>15129.72</v>
      </c>
      <c r="J10" s="27">
        <v>0</v>
      </c>
      <c r="K10" s="8">
        <f t="shared" si="5"/>
        <v>0</v>
      </c>
      <c r="L10" s="27">
        <v>0</v>
      </c>
      <c r="M10" s="21"/>
      <c r="N10" s="27">
        <v>23220</v>
      </c>
      <c r="O10" s="27">
        <v>23220</v>
      </c>
      <c r="P10" s="9">
        <f t="shared" si="6"/>
        <v>-8090.2800000000007</v>
      </c>
      <c r="Q10" s="9">
        <f>IFERROR(IF(D10=20250,O10/(#REF!/30),O10/(I10/30)),0)</f>
        <v>46.041830251980876</v>
      </c>
      <c r="R10" s="9">
        <f t="shared" si="7"/>
        <v>46.041830251980876</v>
      </c>
    </row>
    <row r="11" spans="1:18" ht="13.15" x14ac:dyDescent="0.45">
      <c r="A11" s="15" t="str">
        <f t="shared" si="3"/>
        <v>200013678</v>
      </c>
      <c r="B11" s="19" t="s">
        <v>13</v>
      </c>
      <c r="C11" s="6" t="e">
        <f>_xlfn.XLOOKUP(B:B,#REF!,#REF!)</f>
        <v>#REF!</v>
      </c>
      <c r="D11" s="19" t="s">
        <v>50</v>
      </c>
      <c r="E11" s="6" t="str">
        <f t="shared" si="4"/>
        <v>200013678</v>
      </c>
      <c r="F11" s="19" t="s">
        <v>51</v>
      </c>
      <c r="G11" s="7" t="e">
        <f>VLOOKUP(D11,#REF!,4,)</f>
        <v>#REF!</v>
      </c>
      <c r="H11" s="6" t="e">
        <f>VLOOKUP(D11,#REF!,5,)</f>
        <v>#REF!</v>
      </c>
      <c r="I11" s="27">
        <v>0</v>
      </c>
      <c r="J11" s="27">
        <v>0</v>
      </c>
      <c r="K11" s="8">
        <f t="shared" si="5"/>
        <v>0</v>
      </c>
      <c r="L11" s="27">
        <v>0</v>
      </c>
      <c r="M11" s="21"/>
      <c r="N11" s="27">
        <v>48</v>
      </c>
      <c r="O11" s="27">
        <v>48</v>
      </c>
      <c r="P11" s="9">
        <f t="shared" si="6"/>
        <v>-48</v>
      </c>
      <c r="Q11" s="9">
        <f>IFERROR(IF(D11=20250,O11/(#REF!/30),O11/(I11/30)),0)</f>
        <v>0</v>
      </c>
      <c r="R11" s="9">
        <f t="shared" si="7"/>
        <v>0</v>
      </c>
    </row>
    <row r="12" spans="1:18" ht="13.15" x14ac:dyDescent="0.45">
      <c r="A12" s="15" t="str">
        <f t="shared" si="3"/>
        <v>200014654</v>
      </c>
      <c r="B12" s="19" t="s">
        <v>13</v>
      </c>
      <c r="C12" s="6" t="e">
        <f>_xlfn.XLOOKUP(B:B,#REF!,#REF!)</f>
        <v>#REF!</v>
      </c>
      <c r="D12" s="19" t="s">
        <v>52</v>
      </c>
      <c r="E12" s="6" t="str">
        <f t="shared" si="4"/>
        <v>200014654</v>
      </c>
      <c r="F12" s="19" t="s">
        <v>53</v>
      </c>
      <c r="G12" s="7" t="e">
        <f>VLOOKUP(D12,#REF!,4,)</f>
        <v>#REF!</v>
      </c>
      <c r="H12" s="6" t="e">
        <f>VLOOKUP(D12,#REF!,5,)</f>
        <v>#REF!</v>
      </c>
      <c r="I12" s="27">
        <v>0</v>
      </c>
      <c r="J12" s="27">
        <v>0</v>
      </c>
      <c r="K12" s="8">
        <f t="shared" si="5"/>
        <v>0</v>
      </c>
      <c r="L12" s="27">
        <v>0</v>
      </c>
      <c r="M12" s="21"/>
      <c r="N12" s="27">
        <v>156</v>
      </c>
      <c r="O12" s="27">
        <v>156</v>
      </c>
      <c r="P12" s="9">
        <f t="shared" si="6"/>
        <v>-156</v>
      </c>
      <c r="Q12" s="9">
        <f>IFERROR(IF(D12=20250,O12/(#REF!/30),O12/(I12/30)),0)</f>
        <v>0</v>
      </c>
      <c r="R12" s="9">
        <f t="shared" si="7"/>
        <v>0</v>
      </c>
    </row>
    <row r="13" spans="1:18" ht="13.15" x14ac:dyDescent="0.45">
      <c r="A13" s="15" t="str">
        <f t="shared" si="3"/>
        <v>200014788</v>
      </c>
      <c r="B13" s="19" t="s">
        <v>13</v>
      </c>
      <c r="C13" s="6" t="e">
        <f>_xlfn.XLOOKUP(B:B,#REF!,#REF!)</f>
        <v>#REF!</v>
      </c>
      <c r="D13" s="19" t="s">
        <v>54</v>
      </c>
      <c r="E13" s="6" t="str">
        <f t="shared" si="4"/>
        <v>200014788</v>
      </c>
      <c r="F13" s="19" t="s">
        <v>55</v>
      </c>
      <c r="G13" s="7" t="e">
        <f>VLOOKUP(D13,#REF!,4,)</f>
        <v>#REF!</v>
      </c>
      <c r="H13" s="6" t="e">
        <f>VLOOKUP(D13,#REF!,5,)</f>
        <v>#REF!</v>
      </c>
      <c r="I13" s="27">
        <v>0</v>
      </c>
      <c r="J13" s="27">
        <v>0</v>
      </c>
      <c r="K13" s="8">
        <f t="shared" si="5"/>
        <v>0</v>
      </c>
      <c r="L13" s="27">
        <v>0</v>
      </c>
      <c r="M13" s="21"/>
      <c r="N13" s="27">
        <v>24</v>
      </c>
      <c r="O13" s="27">
        <v>24</v>
      </c>
      <c r="P13" s="9">
        <f t="shared" si="6"/>
        <v>-24</v>
      </c>
      <c r="Q13" s="9">
        <f>IFERROR(IF(D13=20250,O13/(#REF!/30),O13/(I13/30)),0)</f>
        <v>0</v>
      </c>
      <c r="R13" s="9">
        <f t="shared" si="7"/>
        <v>0</v>
      </c>
    </row>
    <row r="14" spans="1:18" ht="13.15" x14ac:dyDescent="0.45">
      <c r="A14" s="15" t="str">
        <f t="shared" si="3"/>
        <v>200015459</v>
      </c>
      <c r="B14" s="19" t="s">
        <v>13</v>
      </c>
      <c r="C14" s="6" t="e">
        <f>_xlfn.XLOOKUP(B:B,#REF!,#REF!)</f>
        <v>#REF!</v>
      </c>
      <c r="D14" s="19" t="s">
        <v>68</v>
      </c>
      <c r="E14" s="6" t="str">
        <f t="shared" si="4"/>
        <v>200015459</v>
      </c>
      <c r="F14" s="19" t="s">
        <v>69</v>
      </c>
      <c r="G14" s="7" t="e">
        <f>VLOOKUP(D14,#REF!,4,)</f>
        <v>#REF!</v>
      </c>
      <c r="H14" s="6" t="e">
        <f>VLOOKUP(D14,#REF!,5,)</f>
        <v>#REF!</v>
      </c>
      <c r="I14" s="27">
        <v>0</v>
      </c>
      <c r="J14" s="27">
        <v>0</v>
      </c>
      <c r="K14" s="8">
        <f t="shared" si="5"/>
        <v>0</v>
      </c>
      <c r="L14" s="27">
        <v>0</v>
      </c>
      <c r="M14" s="21"/>
      <c r="N14" s="27">
        <v>220</v>
      </c>
      <c r="O14" s="27">
        <v>220</v>
      </c>
      <c r="P14" s="9">
        <f t="shared" si="6"/>
        <v>-220</v>
      </c>
      <c r="Q14" s="9">
        <f>IFERROR(IF(D14=20250,O14/(#REF!/30),O14/(I14/30)),0)</f>
        <v>0</v>
      </c>
      <c r="R14" s="9">
        <f t="shared" si="7"/>
        <v>0</v>
      </c>
    </row>
    <row r="15" spans="1:18" ht="13.15" x14ac:dyDescent="0.45">
      <c r="A15" s="15" t="str">
        <f t="shared" si="3"/>
        <v>200015906</v>
      </c>
      <c r="B15" s="19" t="s">
        <v>13</v>
      </c>
      <c r="C15" s="6" t="e">
        <f>_xlfn.XLOOKUP(B:B,#REF!,#REF!)</f>
        <v>#REF!</v>
      </c>
      <c r="D15" s="19" t="s">
        <v>58</v>
      </c>
      <c r="E15" s="6" t="str">
        <f t="shared" si="4"/>
        <v>200015906</v>
      </c>
      <c r="F15" s="19" t="s">
        <v>59</v>
      </c>
      <c r="G15" s="7" t="e">
        <f>VLOOKUP(D15,#REF!,4,)</f>
        <v>#REF!</v>
      </c>
      <c r="H15" s="6" t="e">
        <f>VLOOKUP(D15,#REF!,5,)</f>
        <v>#REF!</v>
      </c>
      <c r="I15" s="27">
        <v>0</v>
      </c>
      <c r="J15" s="27">
        <v>0</v>
      </c>
      <c r="K15" s="8">
        <f t="shared" si="5"/>
        <v>0</v>
      </c>
      <c r="L15" s="27">
        <v>0</v>
      </c>
      <c r="M15" s="21"/>
      <c r="N15" s="27">
        <v>36</v>
      </c>
      <c r="O15" s="27">
        <v>36</v>
      </c>
      <c r="P15" s="9">
        <f t="shared" si="6"/>
        <v>-36</v>
      </c>
      <c r="Q15" s="9">
        <f>IFERROR(IF(D15=20250,O15/(#REF!/30),O15/(I15/30)),0)</f>
        <v>0</v>
      </c>
      <c r="R15" s="9">
        <f t="shared" si="7"/>
        <v>0</v>
      </c>
    </row>
    <row r="16" spans="1:18" ht="13.15" x14ac:dyDescent="0.45">
      <c r="A16" s="15" t="str">
        <f t="shared" si="3"/>
        <v>200016336</v>
      </c>
      <c r="B16" s="19" t="s">
        <v>13</v>
      </c>
      <c r="C16" s="6" t="e">
        <f>_xlfn.XLOOKUP(B:B,#REF!,#REF!)</f>
        <v>#REF!</v>
      </c>
      <c r="D16" s="19" t="s">
        <v>20</v>
      </c>
      <c r="E16" s="6" t="str">
        <f t="shared" si="4"/>
        <v>200016336</v>
      </c>
      <c r="F16" s="19" t="s">
        <v>21</v>
      </c>
      <c r="G16" s="7" t="e">
        <f>VLOOKUP(D16,#REF!,4,)</f>
        <v>#REF!</v>
      </c>
      <c r="H16" s="6" t="e">
        <f>VLOOKUP(D16,#REF!,5,)</f>
        <v>#REF!</v>
      </c>
      <c r="I16" s="27">
        <v>1663.8</v>
      </c>
      <c r="J16" s="27">
        <v>0</v>
      </c>
      <c r="K16" s="8">
        <f t="shared" si="5"/>
        <v>0</v>
      </c>
      <c r="L16" s="27">
        <v>0</v>
      </c>
      <c r="M16" s="21"/>
      <c r="N16" s="27">
        <v>96</v>
      </c>
      <c r="O16" s="27">
        <v>96</v>
      </c>
      <c r="P16" s="9">
        <f t="shared" si="6"/>
        <v>1567.8</v>
      </c>
      <c r="Q16" s="9">
        <f>IFERROR(IF(D16=20250,O16/(#REF!/30),O16/(I16/30)),0)</f>
        <v>1.7309772809231878</v>
      </c>
      <c r="R16" s="9">
        <f t="shared" si="7"/>
        <v>1.7309772809231878</v>
      </c>
    </row>
    <row r="17" spans="1:18" ht="13.15" x14ac:dyDescent="0.45">
      <c r="A17" s="15" t="str">
        <f t="shared" si="3"/>
        <v>200016984</v>
      </c>
      <c r="B17" s="19" t="s">
        <v>13</v>
      </c>
      <c r="C17" s="6" t="e">
        <f>_xlfn.XLOOKUP(B:B,#REF!,#REF!)</f>
        <v>#REF!</v>
      </c>
      <c r="D17" s="19" t="s">
        <v>60</v>
      </c>
      <c r="E17" s="6" t="str">
        <f t="shared" si="4"/>
        <v>200016984</v>
      </c>
      <c r="F17" s="19" t="s">
        <v>61</v>
      </c>
      <c r="G17" s="7" t="e">
        <f>VLOOKUP(D17,#REF!,4,)</f>
        <v>#REF!</v>
      </c>
      <c r="H17" s="6" t="e">
        <f>VLOOKUP(D17,#REF!,5,)</f>
        <v>#REF!</v>
      </c>
      <c r="I17" s="27">
        <v>0</v>
      </c>
      <c r="J17" s="27">
        <v>0</v>
      </c>
      <c r="K17" s="8">
        <f t="shared" si="5"/>
        <v>0</v>
      </c>
      <c r="L17" s="27">
        <v>0</v>
      </c>
      <c r="M17" s="21"/>
      <c r="N17" s="27">
        <v>180</v>
      </c>
      <c r="O17" s="27">
        <v>180</v>
      </c>
      <c r="P17" s="9">
        <f t="shared" si="6"/>
        <v>-180</v>
      </c>
      <c r="Q17" s="9">
        <f>IFERROR(IF(D17=20250,O17/(#REF!/30),O17/(I17/30)),0)</f>
        <v>0</v>
      </c>
      <c r="R17" s="9">
        <f t="shared" si="7"/>
        <v>0</v>
      </c>
    </row>
    <row r="18" spans="1:18" ht="13.15" x14ac:dyDescent="0.45">
      <c r="A18" s="15" t="str">
        <f t="shared" si="3"/>
        <v>200018098</v>
      </c>
      <c r="B18" s="19" t="s">
        <v>13</v>
      </c>
      <c r="C18" s="6" t="e">
        <f>_xlfn.XLOOKUP(B:B,#REF!,#REF!)</f>
        <v>#REF!</v>
      </c>
      <c r="D18" s="19" t="s">
        <v>64</v>
      </c>
      <c r="E18" s="6" t="str">
        <f t="shared" si="4"/>
        <v>200018098</v>
      </c>
      <c r="F18" s="19" t="s">
        <v>131</v>
      </c>
      <c r="G18" s="7" t="e">
        <f>VLOOKUP(D18,#REF!,4,)</f>
        <v>#REF!</v>
      </c>
      <c r="H18" s="6" t="e">
        <f>VLOOKUP(D18,#REF!,5,)</f>
        <v>#REF!</v>
      </c>
      <c r="I18" s="27">
        <v>0</v>
      </c>
      <c r="J18" s="27">
        <v>0</v>
      </c>
      <c r="K18" s="8">
        <f t="shared" si="5"/>
        <v>0</v>
      </c>
      <c r="L18" s="27">
        <v>0</v>
      </c>
      <c r="M18" s="21"/>
      <c r="N18" s="27">
        <v>24</v>
      </c>
      <c r="O18" s="27">
        <v>24</v>
      </c>
      <c r="P18" s="9">
        <f t="shared" si="6"/>
        <v>-24</v>
      </c>
      <c r="Q18" s="9">
        <f>IFERROR(IF(D18=20250,O18/(#REF!/30),O18/(I18/30)),0)</f>
        <v>0</v>
      </c>
      <c r="R18" s="9">
        <f t="shared" si="7"/>
        <v>0</v>
      </c>
    </row>
    <row r="19" spans="1:18" ht="13.15" x14ac:dyDescent="0.45">
      <c r="A19" s="15" t="str">
        <f t="shared" si="3"/>
        <v>200020308</v>
      </c>
      <c r="B19" s="19" t="s">
        <v>13</v>
      </c>
      <c r="C19" s="6" t="e">
        <f>_xlfn.XLOOKUP(B:B,#REF!,#REF!)</f>
        <v>#REF!</v>
      </c>
      <c r="D19" s="19" t="s">
        <v>84</v>
      </c>
      <c r="E19" s="6" t="str">
        <f t="shared" si="4"/>
        <v>200020308</v>
      </c>
      <c r="F19" s="19" t="s">
        <v>108</v>
      </c>
      <c r="G19" s="7" t="e">
        <f>VLOOKUP(D19,#REF!,4,)</f>
        <v>#REF!</v>
      </c>
      <c r="H19" s="6" t="e">
        <f>VLOOKUP(D19,#REF!,5,)</f>
        <v>#REF!</v>
      </c>
      <c r="I19" s="27">
        <v>0</v>
      </c>
      <c r="J19" s="27">
        <v>0</v>
      </c>
      <c r="K19" s="8">
        <f t="shared" si="5"/>
        <v>0</v>
      </c>
      <c r="L19" s="27">
        <v>0</v>
      </c>
      <c r="M19" s="21"/>
      <c r="N19" s="27">
        <v>144</v>
      </c>
      <c r="O19" s="27">
        <v>144</v>
      </c>
      <c r="P19" s="9">
        <f t="shared" si="6"/>
        <v>-144</v>
      </c>
      <c r="Q19" s="9">
        <f>IFERROR(IF(D19=20250,O19/(#REF!/30),O19/(I19/30)),0)</f>
        <v>0</v>
      </c>
      <c r="R19" s="9">
        <f t="shared" si="7"/>
        <v>0</v>
      </c>
    </row>
    <row r="20" spans="1:18" ht="13.15" x14ac:dyDescent="0.45">
      <c r="A20" s="15" t="str">
        <f t="shared" si="3"/>
        <v>200021910</v>
      </c>
      <c r="B20" s="19" t="s">
        <v>13</v>
      </c>
      <c r="C20" s="6" t="e">
        <f>_xlfn.XLOOKUP(B:B,#REF!,#REF!)</f>
        <v>#REF!</v>
      </c>
      <c r="D20" s="19" t="s">
        <v>91</v>
      </c>
      <c r="E20" s="6" t="str">
        <f t="shared" si="4"/>
        <v>200021910</v>
      </c>
      <c r="F20" s="19" t="s">
        <v>92</v>
      </c>
      <c r="G20" s="7" t="e">
        <f>VLOOKUP(D20,#REF!,4,)</f>
        <v>#REF!</v>
      </c>
      <c r="H20" s="6" t="e">
        <f>VLOOKUP(D20,#REF!,5,)</f>
        <v>#REF!</v>
      </c>
      <c r="I20" s="27">
        <v>0</v>
      </c>
      <c r="J20" s="27">
        <v>0</v>
      </c>
      <c r="K20" s="8">
        <f t="shared" si="5"/>
        <v>0</v>
      </c>
      <c r="L20" s="27">
        <v>0</v>
      </c>
      <c r="M20" s="21"/>
      <c r="N20" s="27">
        <v>108</v>
      </c>
      <c r="O20" s="27">
        <v>108</v>
      </c>
      <c r="P20" s="9">
        <f t="shared" si="6"/>
        <v>-108</v>
      </c>
      <c r="Q20" s="9">
        <f>IFERROR(IF(D20=20250,O20/(#REF!/30),O20/(I20/30)),0)</f>
        <v>0</v>
      </c>
      <c r="R20" s="9">
        <f t="shared" si="7"/>
        <v>0</v>
      </c>
    </row>
    <row r="21" spans="1:18" ht="13.15" x14ac:dyDescent="0.45">
      <c r="A21" s="15" t="str">
        <f t="shared" si="3"/>
        <v>200023081</v>
      </c>
      <c r="B21" s="19" t="s">
        <v>13</v>
      </c>
      <c r="C21" s="6" t="e">
        <f>_xlfn.XLOOKUP(B:B,#REF!,#REF!)</f>
        <v>#REF!</v>
      </c>
      <c r="D21" s="19" t="s">
        <v>96</v>
      </c>
      <c r="E21" s="6" t="str">
        <f t="shared" si="4"/>
        <v>200023081</v>
      </c>
      <c r="F21" s="19" t="s">
        <v>97</v>
      </c>
      <c r="G21" s="7" t="e">
        <f>VLOOKUP(D21,#REF!,4,)</f>
        <v>#REF!</v>
      </c>
      <c r="H21" s="6" t="e">
        <f>VLOOKUP(D21,#REF!,5,)</f>
        <v>#REF!</v>
      </c>
      <c r="I21" s="27">
        <v>0</v>
      </c>
      <c r="J21" s="27">
        <v>0</v>
      </c>
      <c r="K21" s="8">
        <f t="shared" si="5"/>
        <v>0</v>
      </c>
      <c r="L21" s="27">
        <v>0</v>
      </c>
      <c r="M21" s="21"/>
      <c r="N21" s="27">
        <v>84</v>
      </c>
      <c r="O21" s="27">
        <v>84</v>
      </c>
      <c r="P21" s="9">
        <f t="shared" si="6"/>
        <v>-84</v>
      </c>
      <c r="Q21" s="9">
        <f>IFERROR(IF(D21=20250,O21/(#REF!/30),O21/(I21/30)),0)</f>
        <v>0</v>
      </c>
      <c r="R21" s="9">
        <f t="shared" si="7"/>
        <v>0</v>
      </c>
    </row>
    <row r="22" spans="1:18" ht="13.15" x14ac:dyDescent="0.45">
      <c r="A22" s="15" t="str">
        <f t="shared" si="3"/>
        <v>200023691</v>
      </c>
      <c r="B22" s="19" t="s">
        <v>13</v>
      </c>
      <c r="C22" s="6" t="e">
        <f>_xlfn.XLOOKUP(B:B,#REF!,#REF!)</f>
        <v>#REF!</v>
      </c>
      <c r="D22" s="19" t="s">
        <v>105</v>
      </c>
      <c r="E22" s="6" t="str">
        <f t="shared" si="4"/>
        <v>200023691</v>
      </c>
      <c r="F22" s="19" t="s">
        <v>106</v>
      </c>
      <c r="G22" s="7" t="e">
        <f>VLOOKUP(D22,#REF!,4,)</f>
        <v>#REF!</v>
      </c>
      <c r="H22" s="6" t="e">
        <f>VLOOKUP(D22,#REF!,5,)</f>
        <v>#REF!</v>
      </c>
      <c r="I22" s="27">
        <v>0</v>
      </c>
      <c r="J22" s="27">
        <v>0</v>
      </c>
      <c r="K22" s="8">
        <f t="shared" si="5"/>
        <v>0</v>
      </c>
      <c r="L22" s="27">
        <v>0</v>
      </c>
      <c r="M22" s="21"/>
      <c r="N22" s="27">
        <v>240</v>
      </c>
      <c r="O22" s="27">
        <v>240</v>
      </c>
      <c r="P22" s="9">
        <f t="shared" si="6"/>
        <v>-240</v>
      </c>
      <c r="Q22" s="9">
        <f>IFERROR(IF(D22=20250,O22/(#REF!/30),O22/(I22/30)),0)</f>
        <v>0</v>
      </c>
      <c r="R22" s="9">
        <f t="shared" si="7"/>
        <v>0</v>
      </c>
    </row>
    <row r="23" spans="1:18" ht="13.15" x14ac:dyDescent="0.45">
      <c r="A23" s="15" t="str">
        <f t="shared" si="3"/>
        <v>200024216</v>
      </c>
      <c r="B23" s="19" t="s">
        <v>13</v>
      </c>
      <c r="C23" s="6" t="e">
        <f>_xlfn.XLOOKUP(B:B,#REF!,#REF!)</f>
        <v>#REF!</v>
      </c>
      <c r="D23" s="19" t="s">
        <v>124</v>
      </c>
      <c r="E23" s="6" t="str">
        <f t="shared" si="4"/>
        <v>200024216</v>
      </c>
      <c r="F23" s="19" t="s">
        <v>125</v>
      </c>
      <c r="G23" s="7" t="e">
        <f>VLOOKUP(D23,#REF!,4,)</f>
        <v>#REF!</v>
      </c>
      <c r="H23" s="6" t="e">
        <f>VLOOKUP(D23,#REF!,5,)</f>
        <v>#REF!</v>
      </c>
      <c r="I23" s="27">
        <v>0</v>
      </c>
      <c r="J23" s="27">
        <v>0</v>
      </c>
      <c r="K23" s="8">
        <f t="shared" si="5"/>
        <v>0</v>
      </c>
      <c r="L23" s="27">
        <v>0</v>
      </c>
      <c r="M23" s="21"/>
      <c r="N23" s="27">
        <v>216</v>
      </c>
      <c r="O23" s="27">
        <v>216</v>
      </c>
      <c r="P23" s="9">
        <f t="shared" si="6"/>
        <v>-216</v>
      </c>
      <c r="Q23" s="9">
        <f>IFERROR(IF(D23=20250,O23/(#REF!/30),O23/(I23/30)),0)</f>
        <v>0</v>
      </c>
      <c r="R23" s="9">
        <f t="shared" si="7"/>
        <v>0</v>
      </c>
    </row>
    <row r="24" spans="1:18" ht="13.15" x14ac:dyDescent="0.45">
      <c r="A24" s="15" t="str">
        <f t="shared" si="3"/>
        <v>200025570</v>
      </c>
      <c r="B24" s="19" t="s">
        <v>13</v>
      </c>
      <c r="C24" s="6" t="e">
        <f>_xlfn.XLOOKUP(B:B,#REF!,#REF!)</f>
        <v>#REF!</v>
      </c>
      <c r="D24" s="19" t="s">
        <v>116</v>
      </c>
      <c r="E24" s="6" t="str">
        <f t="shared" si="4"/>
        <v>200025570</v>
      </c>
      <c r="F24" s="19" t="s">
        <v>118</v>
      </c>
      <c r="G24" s="7" t="e">
        <f>VLOOKUP(D24,#REF!,4,)</f>
        <v>#REF!</v>
      </c>
      <c r="H24" s="6" t="e">
        <f>VLOOKUP(D24,#REF!,5,)</f>
        <v>#REF!</v>
      </c>
      <c r="I24" s="27">
        <v>0</v>
      </c>
      <c r="J24" s="27">
        <v>0</v>
      </c>
      <c r="K24" s="8">
        <f t="shared" si="5"/>
        <v>0</v>
      </c>
      <c r="L24" s="27">
        <v>0</v>
      </c>
      <c r="M24" s="21"/>
      <c r="N24" s="27">
        <v>12</v>
      </c>
      <c r="O24" s="27">
        <v>12</v>
      </c>
      <c r="P24" s="9">
        <f t="shared" si="6"/>
        <v>-12</v>
      </c>
      <c r="Q24" s="9">
        <f>IFERROR(IF(D24=20250,O24/(#REF!/30),O24/(I24/30)),0)</f>
        <v>0</v>
      </c>
      <c r="R24" s="9">
        <f t="shared" si="7"/>
        <v>0</v>
      </c>
    </row>
    <row r="25" spans="1:18" ht="13.15" x14ac:dyDescent="0.45">
      <c r="A25" s="15" t="str">
        <f t="shared" si="3"/>
        <v>410006151</v>
      </c>
      <c r="B25" s="19" t="s">
        <v>22</v>
      </c>
      <c r="C25" s="6" t="e">
        <f>_xlfn.XLOOKUP(B:B,#REF!,#REF!)</f>
        <v>#REF!</v>
      </c>
      <c r="D25" s="19" t="s">
        <v>23</v>
      </c>
      <c r="E25" s="6" t="str">
        <f t="shared" si="4"/>
        <v>410006151</v>
      </c>
      <c r="F25" s="19" t="s">
        <v>24</v>
      </c>
      <c r="G25" s="7" t="e">
        <f>VLOOKUP(D25,#REF!,4,)</f>
        <v>#REF!</v>
      </c>
      <c r="H25" s="6" t="e">
        <f>VLOOKUP(D25,#REF!,5,)</f>
        <v>#REF!</v>
      </c>
      <c r="I25" s="27">
        <v>48261.48</v>
      </c>
      <c r="J25" s="27">
        <v>23544</v>
      </c>
      <c r="K25" s="8">
        <f t="shared" si="5"/>
        <v>0.48784247810054726</v>
      </c>
      <c r="L25" s="27">
        <v>0</v>
      </c>
      <c r="M25" s="21"/>
      <c r="N25" s="27">
        <v>21948</v>
      </c>
      <c r="O25" s="27">
        <v>21948</v>
      </c>
      <c r="P25" s="9">
        <f t="shared" si="6"/>
        <v>2769.4800000000032</v>
      </c>
      <c r="Q25" s="9">
        <f>IFERROR(IF(D25=20250,O25/(#REF!/30),O25/(I25/30)),0)</f>
        <v>13.643178783576467</v>
      </c>
      <c r="R25" s="9">
        <f t="shared" si="7"/>
        <v>13.643178783576467</v>
      </c>
    </row>
    <row r="26" spans="1:18" ht="13.15" x14ac:dyDescent="0.45">
      <c r="A26" s="15" t="str">
        <f t="shared" si="3"/>
        <v>410013490</v>
      </c>
      <c r="B26" s="19" t="s">
        <v>22</v>
      </c>
      <c r="C26" s="6" t="e">
        <f>_xlfn.XLOOKUP(B:B,#REF!,#REF!)</f>
        <v>#REF!</v>
      </c>
      <c r="D26" s="19" t="s">
        <v>27</v>
      </c>
      <c r="E26" s="6" t="str">
        <f t="shared" si="4"/>
        <v>410013490</v>
      </c>
      <c r="F26" s="19" t="s">
        <v>28</v>
      </c>
      <c r="G26" s="7" t="e">
        <f>VLOOKUP(D26,#REF!,4,)</f>
        <v>#REF!</v>
      </c>
      <c r="H26" s="6" t="e">
        <f>VLOOKUP(D26,#REF!,5,)</f>
        <v>#REF!</v>
      </c>
      <c r="I26" s="27">
        <v>1291.5999999999999</v>
      </c>
      <c r="J26" s="27">
        <v>700</v>
      </c>
      <c r="K26" s="8">
        <f t="shared" si="5"/>
        <v>0.54196345617838348</v>
      </c>
      <c r="L26" s="27">
        <v>0</v>
      </c>
      <c r="M26" s="21"/>
      <c r="N26" s="27">
        <v>6720</v>
      </c>
      <c r="O26" s="27">
        <v>6720</v>
      </c>
      <c r="P26" s="9">
        <f t="shared" si="6"/>
        <v>-6128.4</v>
      </c>
      <c r="Q26" s="9">
        <f>IFERROR(IF(D26=20250,O26/(#REF!/30),O26/(I26/30)),0)</f>
        <v>156.08547537937443</v>
      </c>
      <c r="R26" s="9">
        <f t="shared" si="7"/>
        <v>156.08547537937443</v>
      </c>
    </row>
    <row r="27" spans="1:18" ht="13.15" x14ac:dyDescent="0.45">
      <c r="A27" s="15" t="str">
        <f t="shared" si="3"/>
        <v>410015300</v>
      </c>
      <c r="B27" s="19" t="s">
        <v>22</v>
      </c>
      <c r="C27" s="6" t="e">
        <f>_xlfn.XLOOKUP(B:B,#REF!,#REF!)</f>
        <v>#REF!</v>
      </c>
      <c r="D27" s="19" t="s">
        <v>31</v>
      </c>
      <c r="E27" s="6" t="str">
        <f t="shared" si="4"/>
        <v>410015300</v>
      </c>
      <c r="F27" s="19" t="s">
        <v>32</v>
      </c>
      <c r="G27" s="7" t="e">
        <f>VLOOKUP(D27,#REF!,4,)</f>
        <v>#REF!</v>
      </c>
      <c r="H27" s="6" t="e">
        <f>VLOOKUP(D27,#REF!,5,)</f>
        <v>#REF!</v>
      </c>
      <c r="I27" s="27">
        <v>130.59</v>
      </c>
      <c r="J27" s="27">
        <v>36</v>
      </c>
      <c r="K27" s="8">
        <f t="shared" si="5"/>
        <v>0.2756719503790489</v>
      </c>
      <c r="L27" s="27">
        <v>0</v>
      </c>
      <c r="M27" s="21"/>
      <c r="N27" s="27">
        <v>99</v>
      </c>
      <c r="O27" s="27">
        <v>99</v>
      </c>
      <c r="P27" s="9">
        <f t="shared" si="6"/>
        <v>-4.4099999999999966</v>
      </c>
      <c r="Q27" s="9">
        <f>IFERROR(IF(D27=20250,O27/(#REF!/30),O27/(I27/30)),0)</f>
        <v>22.742935906271537</v>
      </c>
      <c r="R27" s="9">
        <f t="shared" si="7"/>
        <v>22.742935906271537</v>
      </c>
    </row>
    <row r="28" spans="1:18" ht="13.15" x14ac:dyDescent="0.45">
      <c r="A28" s="15" t="str">
        <f t="shared" si="3"/>
        <v>410019690</v>
      </c>
      <c r="B28" s="19" t="s">
        <v>22</v>
      </c>
      <c r="C28" s="6" t="e">
        <f>_xlfn.XLOOKUP(B:B,#REF!,#REF!)</f>
        <v>#REF!</v>
      </c>
      <c r="D28" s="19" t="s">
        <v>66</v>
      </c>
      <c r="E28" s="6" t="str">
        <f t="shared" si="4"/>
        <v>410019690</v>
      </c>
      <c r="F28" s="19" t="s">
        <v>67</v>
      </c>
      <c r="G28" s="7" t="e">
        <f>VLOOKUP(D28,#REF!,4,)</f>
        <v>#REF!</v>
      </c>
      <c r="H28" s="6" t="e">
        <f>VLOOKUP(D28,#REF!,5,)</f>
        <v>#REF!</v>
      </c>
      <c r="I28" s="27">
        <v>34.56</v>
      </c>
      <c r="J28" s="27">
        <v>0</v>
      </c>
      <c r="K28" s="8">
        <f t="shared" si="5"/>
        <v>0</v>
      </c>
      <c r="L28" s="27">
        <v>0</v>
      </c>
      <c r="M28" s="21"/>
      <c r="N28" s="27">
        <v>180</v>
      </c>
      <c r="O28" s="27">
        <v>180</v>
      </c>
      <c r="P28" s="9">
        <f t="shared" si="6"/>
        <v>-145.44</v>
      </c>
      <c r="Q28" s="9">
        <f>IFERROR(IF(D28=20250,O28/(#REF!/30),O28/(I28/30)),0)</f>
        <v>156.24999999999997</v>
      </c>
      <c r="R28" s="9">
        <f t="shared" si="7"/>
        <v>156.24999999999997</v>
      </c>
    </row>
    <row r="29" spans="1:18" ht="13.15" x14ac:dyDescent="0.45">
      <c r="A29" s="15" t="str">
        <f t="shared" si="3"/>
        <v>410020661</v>
      </c>
      <c r="B29" s="19" t="s">
        <v>22</v>
      </c>
      <c r="C29" s="6" t="e">
        <f>_xlfn.XLOOKUP(B:B,#REF!,#REF!)</f>
        <v>#REF!</v>
      </c>
      <c r="D29" s="19" t="s">
        <v>88</v>
      </c>
      <c r="E29" s="6" t="str">
        <f t="shared" si="4"/>
        <v>410020661</v>
      </c>
      <c r="F29" s="19" t="s">
        <v>89</v>
      </c>
      <c r="G29" s="7" t="e">
        <f>VLOOKUP(D29,#REF!,4,)</f>
        <v>#REF!</v>
      </c>
      <c r="H29" s="6" t="e">
        <f>VLOOKUP(D29,#REF!,5,)</f>
        <v>#REF!</v>
      </c>
      <c r="I29" s="27">
        <v>448.32</v>
      </c>
      <c r="J29" s="27">
        <v>0</v>
      </c>
      <c r="K29" s="8">
        <f t="shared" si="5"/>
        <v>0</v>
      </c>
      <c r="L29" s="27">
        <v>0</v>
      </c>
      <c r="M29" s="21"/>
      <c r="N29" s="27">
        <v>468</v>
      </c>
      <c r="O29" s="27">
        <v>468</v>
      </c>
      <c r="P29" s="9">
        <f t="shared" si="6"/>
        <v>-19.680000000000007</v>
      </c>
      <c r="Q29" s="9">
        <f>IFERROR(IF(D29=20250,O29/(#REF!/30),O29/(I29/30)),0)</f>
        <v>31.316916488222699</v>
      </c>
      <c r="R29" s="9">
        <f t="shared" si="7"/>
        <v>31.316916488222699</v>
      </c>
    </row>
    <row r="30" spans="1:18" ht="13.15" x14ac:dyDescent="0.45">
      <c r="A30" s="15" t="str">
        <f t="shared" si="3"/>
        <v>410023638</v>
      </c>
      <c r="B30" s="19" t="s">
        <v>22</v>
      </c>
      <c r="C30" s="6" t="e">
        <f>_xlfn.XLOOKUP(B:B,#REF!,#REF!)</f>
        <v>#REF!</v>
      </c>
      <c r="D30" s="19" t="s">
        <v>100</v>
      </c>
      <c r="E30" s="6" t="str">
        <f t="shared" si="4"/>
        <v>410023638</v>
      </c>
      <c r="F30" s="19" t="s">
        <v>101</v>
      </c>
      <c r="G30" s="7" t="e">
        <f>VLOOKUP(D30,#REF!,4,)</f>
        <v>#REF!</v>
      </c>
      <c r="H30" s="6" t="e">
        <f>VLOOKUP(D30,#REF!,5,)</f>
        <v>#REF!</v>
      </c>
      <c r="I30" s="27">
        <v>2400</v>
      </c>
      <c r="J30" s="27">
        <v>1452</v>
      </c>
      <c r="K30" s="8">
        <f t="shared" si="5"/>
        <v>0.60499999999999998</v>
      </c>
      <c r="L30" s="27">
        <v>0</v>
      </c>
      <c r="M30" s="21"/>
      <c r="N30" s="27">
        <v>4152</v>
      </c>
      <c r="O30" s="27">
        <v>4152</v>
      </c>
      <c r="P30" s="9">
        <f t="shared" si="6"/>
        <v>-3204</v>
      </c>
      <c r="Q30" s="9">
        <f>IFERROR(IF(D30=20250,O30/(#REF!/30),O30/(I30/30)),0)</f>
        <v>51.9</v>
      </c>
      <c r="R30" s="9">
        <f t="shared" si="7"/>
        <v>51.9</v>
      </c>
    </row>
    <row r="31" spans="1:18" ht="13.15" x14ac:dyDescent="0.45">
      <c r="A31" s="15" t="str">
        <f t="shared" si="3"/>
        <v>410025885</v>
      </c>
      <c r="B31" s="19" t="s">
        <v>22</v>
      </c>
      <c r="C31" s="6" t="e">
        <f>_xlfn.XLOOKUP(B:B,#REF!,#REF!)</f>
        <v>#REF!</v>
      </c>
      <c r="D31" s="19" t="s">
        <v>122</v>
      </c>
      <c r="E31" s="6" t="str">
        <f t="shared" si="4"/>
        <v>410025885</v>
      </c>
      <c r="F31" s="19" t="s">
        <v>123</v>
      </c>
      <c r="G31" s="7" t="e">
        <f>VLOOKUP(D31,#REF!,4,)</f>
        <v>#REF!</v>
      </c>
      <c r="H31" s="6" t="e">
        <f>VLOOKUP(D31,#REF!,5,)</f>
        <v>#REF!</v>
      </c>
      <c r="I31" s="27">
        <v>1548</v>
      </c>
      <c r="J31" s="27">
        <v>264</v>
      </c>
      <c r="K31" s="8">
        <f t="shared" si="5"/>
        <v>0.17054263565891473</v>
      </c>
      <c r="L31" s="27">
        <v>0</v>
      </c>
      <c r="M31" s="21"/>
      <c r="N31" s="27">
        <v>2412</v>
      </c>
      <c r="O31" s="27">
        <v>2412</v>
      </c>
      <c r="P31" s="9">
        <f t="shared" si="6"/>
        <v>-1128</v>
      </c>
      <c r="Q31" s="9">
        <f>IFERROR(IF(D31=20250,O31/(#REF!/30),O31/(I31/30)),0)</f>
        <v>46.744186046511629</v>
      </c>
      <c r="R31" s="9">
        <f t="shared" si="7"/>
        <v>46.744186046511629</v>
      </c>
    </row>
    <row r="32" spans="1:18" ht="13.15" x14ac:dyDescent="0.45">
      <c r="A32" s="15" t="str">
        <f t="shared" si="3"/>
        <v>410026192</v>
      </c>
      <c r="B32" s="19" t="s">
        <v>22</v>
      </c>
      <c r="C32" s="6" t="e">
        <f>_xlfn.XLOOKUP(B:B,#REF!,#REF!)</f>
        <v>#REF!</v>
      </c>
      <c r="D32" s="19" t="s">
        <v>129</v>
      </c>
      <c r="E32" s="6" t="str">
        <f t="shared" si="4"/>
        <v>410026192</v>
      </c>
      <c r="F32" s="19" t="s">
        <v>132</v>
      </c>
      <c r="G32" s="7" t="e">
        <f>VLOOKUP(D32,#REF!,4,)</f>
        <v>#REF!</v>
      </c>
      <c r="H32" s="6" t="e">
        <f>VLOOKUP(D32,#REF!,5,)</f>
        <v>#REF!</v>
      </c>
      <c r="I32" s="27">
        <v>2986.08</v>
      </c>
      <c r="J32" s="27">
        <v>0</v>
      </c>
      <c r="K32" s="8">
        <f t="shared" si="5"/>
        <v>0</v>
      </c>
      <c r="L32" s="27">
        <v>0</v>
      </c>
      <c r="M32" s="21"/>
      <c r="N32" s="27">
        <v>0</v>
      </c>
      <c r="O32" s="27">
        <v>0</v>
      </c>
      <c r="P32" s="9">
        <f t="shared" si="6"/>
        <v>2986.08</v>
      </c>
      <c r="Q32" s="9">
        <f>IFERROR(IF(D32=20250,O32/(#REF!/30),O32/(I32/30)),0)</f>
        <v>0</v>
      </c>
      <c r="R32" s="9">
        <f t="shared" si="7"/>
        <v>0</v>
      </c>
    </row>
    <row r="33" spans="1:18" ht="13.15" x14ac:dyDescent="0.45">
      <c r="A33" s="15" t="str">
        <f t="shared" si="3"/>
        <v>410026234</v>
      </c>
      <c r="B33" s="19" t="s">
        <v>22</v>
      </c>
      <c r="C33" s="6" t="e">
        <f>_xlfn.XLOOKUP(B:B,#REF!,#REF!)</f>
        <v>#REF!</v>
      </c>
      <c r="D33" s="19" t="s">
        <v>126</v>
      </c>
      <c r="E33" s="6" t="str">
        <f t="shared" si="4"/>
        <v>410026234</v>
      </c>
      <c r="F33" s="19" t="s">
        <v>127</v>
      </c>
      <c r="G33" s="7" t="e">
        <f>VLOOKUP(D33,#REF!,4,)</f>
        <v>#REF!</v>
      </c>
      <c r="H33" s="6" t="e">
        <f>VLOOKUP(D33,#REF!,5,)</f>
        <v>#REF!</v>
      </c>
      <c r="I33" s="27">
        <v>0</v>
      </c>
      <c r="J33" s="27">
        <v>84</v>
      </c>
      <c r="K33" s="8">
        <f t="shared" si="5"/>
        <v>0</v>
      </c>
      <c r="L33" s="27">
        <v>0</v>
      </c>
      <c r="M33" s="21"/>
      <c r="N33" s="27">
        <v>1692</v>
      </c>
      <c r="O33" s="27">
        <v>1692</v>
      </c>
      <c r="P33" s="9">
        <f t="shared" si="6"/>
        <v>-1776</v>
      </c>
      <c r="Q33" s="9">
        <f>IFERROR(IF(D33=20250,O33/(#REF!/30),O33/(I33/30)),0)</f>
        <v>0</v>
      </c>
      <c r="R33" s="9">
        <f t="shared" si="7"/>
        <v>0</v>
      </c>
    </row>
    <row r="34" spans="1:18" ht="13.15" x14ac:dyDescent="0.45">
      <c r="A34" s="15" t="str">
        <f t="shared" si="3"/>
        <v>410026744</v>
      </c>
      <c r="B34" s="19" t="s">
        <v>22</v>
      </c>
      <c r="C34" s="6" t="e">
        <f>_xlfn.XLOOKUP(B:B,#REF!,#REF!)</f>
        <v>#REF!</v>
      </c>
      <c r="D34" s="19" t="s">
        <v>135</v>
      </c>
      <c r="E34" s="6" t="str">
        <f t="shared" si="4"/>
        <v>410026744</v>
      </c>
      <c r="F34" s="19" t="s">
        <v>137</v>
      </c>
      <c r="G34" s="7" t="e">
        <f>VLOOKUP(D34,#REF!,4,)</f>
        <v>#REF!</v>
      </c>
      <c r="H34" s="6" t="e">
        <f>VLOOKUP(D34,#REF!,5,)</f>
        <v>#REF!</v>
      </c>
      <c r="I34" s="27">
        <v>0</v>
      </c>
      <c r="J34" s="27">
        <v>0</v>
      </c>
      <c r="K34" s="8">
        <f t="shared" si="5"/>
        <v>0</v>
      </c>
      <c r="L34" s="27">
        <v>0</v>
      </c>
      <c r="M34" s="21"/>
      <c r="N34" s="27">
        <v>48</v>
      </c>
      <c r="O34" s="27">
        <v>48</v>
      </c>
      <c r="P34" s="9">
        <f t="shared" si="6"/>
        <v>-48</v>
      </c>
      <c r="Q34" s="9">
        <f>IFERROR(IF(D34=20250,O34/(#REF!/30),O34/(I34/30)),0)</f>
        <v>0</v>
      </c>
      <c r="R34" s="9">
        <f t="shared" si="7"/>
        <v>0</v>
      </c>
    </row>
    <row r="35" spans="1:18" ht="13.15" x14ac:dyDescent="0.45">
      <c r="A35" s="15" t="str">
        <f t="shared" si="3"/>
        <v>410004145</v>
      </c>
      <c r="B35" s="19" t="s">
        <v>22</v>
      </c>
      <c r="C35" s="6" t="e">
        <f>_xlfn.XLOOKUP(B:B,#REF!,#REF!)</f>
        <v>#REF!</v>
      </c>
      <c r="D35" s="19" t="s">
        <v>25</v>
      </c>
      <c r="E35" s="6" t="str">
        <f t="shared" si="4"/>
        <v>410004145</v>
      </c>
      <c r="F35" s="19" t="s">
        <v>26</v>
      </c>
      <c r="G35" s="7" t="e">
        <f>VLOOKUP(D35,#REF!,4,)</f>
        <v>#REF!</v>
      </c>
      <c r="H35" s="6" t="e">
        <f>VLOOKUP(D35,#REF!,5,)</f>
        <v>#REF!</v>
      </c>
      <c r="I35" s="27">
        <v>22.68</v>
      </c>
      <c r="J35" s="27">
        <v>18</v>
      </c>
      <c r="K35" s="8">
        <f t="shared" si="5"/>
        <v>0.79365079365079361</v>
      </c>
      <c r="L35" s="27">
        <v>0</v>
      </c>
      <c r="M35" s="21"/>
      <c r="N35" s="27">
        <v>27</v>
      </c>
      <c r="O35" s="27">
        <v>27</v>
      </c>
      <c r="P35" s="9">
        <f t="shared" si="6"/>
        <v>-22.32</v>
      </c>
      <c r="Q35" s="9">
        <f>IFERROR(IF(D35=20250,O35/(#REF!/30),O35/(I35/30)),0)</f>
        <v>35.714285714285715</v>
      </c>
      <c r="R35" s="9">
        <f t="shared" si="7"/>
        <v>35.714285714285715</v>
      </c>
    </row>
    <row r="36" spans="1:18" ht="13.15" x14ac:dyDescent="0.45">
      <c r="A36" s="15" t="str">
        <f t="shared" si="3"/>
        <v>410014248</v>
      </c>
      <c r="B36" s="19" t="s">
        <v>22</v>
      </c>
      <c r="C36" s="6" t="e">
        <f>_xlfn.XLOOKUP(B:B,#REF!,#REF!)</f>
        <v>#REF!</v>
      </c>
      <c r="D36" s="19" t="s">
        <v>29</v>
      </c>
      <c r="E36" s="6" t="str">
        <f t="shared" si="4"/>
        <v>410014248</v>
      </c>
      <c r="F36" s="19" t="s">
        <v>30</v>
      </c>
      <c r="G36" s="7" t="e">
        <f>VLOOKUP(D36,#REF!,4,)</f>
        <v>#REF!</v>
      </c>
      <c r="H36" s="6" t="e">
        <f>VLOOKUP(D36,#REF!,5,)</f>
        <v>#REF!</v>
      </c>
      <c r="I36" s="27">
        <v>904.6</v>
      </c>
      <c r="J36" s="27">
        <v>230</v>
      </c>
      <c r="K36" s="8">
        <f t="shared" si="5"/>
        <v>0.25425602476232589</v>
      </c>
      <c r="L36" s="27">
        <v>0</v>
      </c>
      <c r="M36" s="21"/>
      <c r="N36" s="27">
        <v>850</v>
      </c>
      <c r="O36" s="27">
        <v>850</v>
      </c>
      <c r="P36" s="9">
        <f t="shared" si="6"/>
        <v>-175.39999999999998</v>
      </c>
      <c r="Q36" s="9">
        <f>IFERROR(IF(D36=20250,O36/(#REF!/30),O36/(I36/30)),0)</f>
        <v>28.189254919301348</v>
      </c>
      <c r="R36" s="9">
        <f t="shared" si="7"/>
        <v>28.189254919301348</v>
      </c>
    </row>
    <row r="37" spans="1:18" ht="13.15" x14ac:dyDescent="0.45">
      <c r="A37" s="15" t="str">
        <f t="shared" si="3"/>
        <v>410015305</v>
      </c>
      <c r="B37" s="19" t="s">
        <v>22</v>
      </c>
      <c r="C37" s="6" t="e">
        <f>_xlfn.XLOOKUP(B:B,#REF!,#REF!)</f>
        <v>#REF!</v>
      </c>
      <c r="D37" s="19" t="s">
        <v>33</v>
      </c>
      <c r="E37" s="6" t="str">
        <f t="shared" si="4"/>
        <v>410015305</v>
      </c>
      <c r="F37" s="19" t="s">
        <v>34</v>
      </c>
      <c r="G37" s="7" t="e">
        <f>VLOOKUP(D37,#REF!,4,)</f>
        <v>#REF!</v>
      </c>
      <c r="H37" s="6" t="e">
        <f>VLOOKUP(D37,#REF!,5,)</f>
        <v>#REF!</v>
      </c>
      <c r="I37" s="27">
        <v>83.07</v>
      </c>
      <c r="J37" s="27">
        <v>18</v>
      </c>
      <c r="K37" s="8">
        <f t="shared" si="5"/>
        <v>0.21668472372697728</v>
      </c>
      <c r="L37" s="27">
        <v>0</v>
      </c>
      <c r="M37" s="21"/>
      <c r="N37" s="27">
        <v>72</v>
      </c>
      <c r="O37" s="27">
        <v>72</v>
      </c>
      <c r="P37" s="9">
        <f t="shared" si="6"/>
        <v>-6.9300000000000068</v>
      </c>
      <c r="Q37" s="9">
        <f>IFERROR(IF(D37=20250,O37/(#REF!/30),O37/(I37/30)),0)</f>
        <v>26.002166847237273</v>
      </c>
      <c r="R37" s="9">
        <f t="shared" si="7"/>
        <v>26.002166847237273</v>
      </c>
    </row>
    <row r="38" spans="1:18" ht="13.15" x14ac:dyDescent="0.45">
      <c r="A38" s="15" t="str">
        <f t="shared" si="3"/>
        <v>410016407</v>
      </c>
      <c r="B38" s="19" t="s">
        <v>22</v>
      </c>
      <c r="C38" s="6" t="e">
        <f>_xlfn.XLOOKUP(B:B,#REF!,#REF!)</f>
        <v>#REF!</v>
      </c>
      <c r="D38" s="19" t="s">
        <v>37</v>
      </c>
      <c r="E38" s="6" t="str">
        <f t="shared" si="4"/>
        <v>410016407</v>
      </c>
      <c r="F38" s="19" t="s">
        <v>38</v>
      </c>
      <c r="G38" s="7" t="e">
        <f>VLOOKUP(D38,#REF!,4,)</f>
        <v>#REF!</v>
      </c>
      <c r="H38" s="6" t="e">
        <f>VLOOKUP(D38,#REF!,5,)</f>
        <v>#REF!</v>
      </c>
      <c r="I38" s="27">
        <v>630.45000000000005</v>
      </c>
      <c r="J38" s="27">
        <v>126</v>
      </c>
      <c r="K38" s="8">
        <f t="shared" si="5"/>
        <v>0.1998572448251249</v>
      </c>
      <c r="L38" s="27">
        <v>0</v>
      </c>
      <c r="M38" s="21"/>
      <c r="N38" s="27">
        <v>1071</v>
      </c>
      <c r="O38" s="27">
        <v>1071</v>
      </c>
      <c r="P38" s="9">
        <f t="shared" si="6"/>
        <v>-566.54999999999995</v>
      </c>
      <c r="Q38" s="9">
        <f>IFERROR(IF(D38=20250,O38/(#REF!/30),O38/(I38/30)),0)</f>
        <v>50.96359743040685</v>
      </c>
      <c r="R38" s="9">
        <f t="shared" si="7"/>
        <v>50.96359743040685</v>
      </c>
    </row>
    <row r="39" spans="1:18" ht="13.15" x14ac:dyDescent="0.45">
      <c r="A39" s="15" t="str">
        <f t="shared" si="3"/>
        <v>410000189</v>
      </c>
      <c r="B39" s="19" t="s">
        <v>22</v>
      </c>
      <c r="C39" s="6" t="e">
        <f>_xlfn.XLOOKUP(B:B,#REF!,#REF!)</f>
        <v>#REF!</v>
      </c>
      <c r="D39" s="19" t="s">
        <v>39</v>
      </c>
      <c r="E39" s="6" t="str">
        <f t="shared" si="4"/>
        <v>410000189</v>
      </c>
      <c r="F39" s="19" t="s">
        <v>109</v>
      </c>
      <c r="G39" s="7" t="e">
        <f>VLOOKUP(D39,#REF!,4,)</f>
        <v>#REF!</v>
      </c>
      <c r="H39" s="6" t="e">
        <f>VLOOKUP(D39,#REF!,5,)</f>
        <v>#REF!</v>
      </c>
      <c r="I39" s="27">
        <v>50100.480000000003</v>
      </c>
      <c r="J39" s="27">
        <v>23124</v>
      </c>
      <c r="K39" s="8">
        <f t="shared" si="5"/>
        <v>0.46155246416800794</v>
      </c>
      <c r="L39" s="27">
        <v>2892</v>
      </c>
      <c r="M39" s="21">
        <v>46169</v>
      </c>
      <c r="N39" s="27">
        <v>25956</v>
      </c>
      <c r="O39" s="27">
        <v>28848</v>
      </c>
      <c r="P39" s="9">
        <f t="shared" si="6"/>
        <v>-1871.5199999999968</v>
      </c>
      <c r="Q39" s="9">
        <f>IFERROR(IF(D39=20250,O39/(#REF!/30),O39/(I39/30)),0)</f>
        <v>17.274085996780869</v>
      </c>
      <c r="R39" s="9">
        <f t="shared" si="7"/>
        <v>15.542366061163484</v>
      </c>
    </row>
    <row r="40" spans="1:18" ht="13.15" x14ac:dyDescent="0.45">
      <c r="A40" s="15" t="str">
        <f t="shared" si="3"/>
        <v>410001167</v>
      </c>
      <c r="B40" s="19" t="s">
        <v>22</v>
      </c>
      <c r="C40" s="6" t="e">
        <f>_xlfn.XLOOKUP(B:B,#REF!,#REF!)</f>
        <v>#REF!</v>
      </c>
      <c r="D40" s="19" t="s">
        <v>40</v>
      </c>
      <c r="E40" s="6" t="str">
        <f t="shared" si="4"/>
        <v>410001167</v>
      </c>
      <c r="F40" s="19" t="s">
        <v>41</v>
      </c>
      <c r="G40" s="7" t="e">
        <f>VLOOKUP(D40,#REF!,4,)</f>
        <v>#REF!</v>
      </c>
      <c r="H40" s="6" t="e">
        <f>VLOOKUP(D40,#REF!,5,)</f>
        <v>#REF!</v>
      </c>
      <c r="I40" s="27">
        <v>3229.56</v>
      </c>
      <c r="J40" s="27">
        <v>2532</v>
      </c>
      <c r="K40" s="8">
        <f t="shared" si="5"/>
        <v>0.78400772860699297</v>
      </c>
      <c r="L40" s="27">
        <v>0</v>
      </c>
      <c r="M40" s="21"/>
      <c r="N40" s="27">
        <v>5652</v>
      </c>
      <c r="O40" s="27">
        <v>5652</v>
      </c>
      <c r="P40" s="9">
        <f t="shared" si="6"/>
        <v>-4954.4400000000005</v>
      </c>
      <c r="Q40" s="9">
        <f>IFERROR(IF(D40=20250,O40/(#REF!/30),O40/(I40/30)),0)</f>
        <v>52.502508081596254</v>
      </c>
      <c r="R40" s="9">
        <f t="shared" si="7"/>
        <v>52.502508081596254</v>
      </c>
    </row>
    <row r="41" spans="1:18" ht="13.15" x14ac:dyDescent="0.45">
      <c r="A41" s="15" t="str">
        <f t="shared" si="3"/>
        <v>410001296</v>
      </c>
      <c r="B41" s="19" t="s">
        <v>22</v>
      </c>
      <c r="C41" s="6" t="e">
        <f>_xlfn.XLOOKUP(B:B,#REF!,#REF!)</f>
        <v>#REF!</v>
      </c>
      <c r="D41" s="19" t="s">
        <v>14</v>
      </c>
      <c r="E41" s="6" t="str">
        <f t="shared" si="4"/>
        <v>410001296</v>
      </c>
      <c r="F41" s="19" t="s">
        <v>15</v>
      </c>
      <c r="G41" s="7" t="e">
        <f>VLOOKUP(D41,#REF!,4,)</f>
        <v>#REF!</v>
      </c>
      <c r="H41" s="6" t="e">
        <f>VLOOKUP(D41,#REF!,5,)</f>
        <v>#REF!</v>
      </c>
      <c r="I41" s="27">
        <v>4407.3599999999997</v>
      </c>
      <c r="J41" s="27">
        <v>2640</v>
      </c>
      <c r="K41" s="8">
        <f t="shared" si="5"/>
        <v>0.59899803964277942</v>
      </c>
      <c r="L41" s="27">
        <v>0</v>
      </c>
      <c r="M41" s="21"/>
      <c r="N41" s="27">
        <v>2628</v>
      </c>
      <c r="O41" s="27">
        <v>2628</v>
      </c>
      <c r="P41" s="9">
        <f t="shared" si="6"/>
        <v>-860.64000000000033</v>
      </c>
      <c r="Q41" s="9">
        <f>IFERROR(IF(D41=20250,O41/(#REF!/30),O41/(I41/30)),0)</f>
        <v>17.888259638423005</v>
      </c>
      <c r="R41" s="9">
        <f t="shared" si="7"/>
        <v>17.888259638423005</v>
      </c>
    </row>
    <row r="42" spans="1:18" ht="13.15" x14ac:dyDescent="0.45">
      <c r="A42" s="15" t="str">
        <f t="shared" si="3"/>
        <v>410002122</v>
      </c>
      <c r="B42" s="19" t="s">
        <v>22</v>
      </c>
      <c r="C42" s="6" t="e">
        <f>_xlfn.XLOOKUP(B:B,#REF!,#REF!)</f>
        <v>#REF!</v>
      </c>
      <c r="D42" s="19" t="s">
        <v>42</v>
      </c>
      <c r="E42" s="6" t="str">
        <f t="shared" si="4"/>
        <v>410002122</v>
      </c>
      <c r="F42" s="19" t="s">
        <v>43</v>
      </c>
      <c r="G42" s="7" t="e">
        <f>VLOOKUP(D42,#REF!,4,)</f>
        <v>#REF!</v>
      </c>
      <c r="H42" s="6" t="e">
        <f>VLOOKUP(D42,#REF!,5,)</f>
        <v>#REF!</v>
      </c>
      <c r="I42" s="27">
        <v>8971.32</v>
      </c>
      <c r="J42" s="27">
        <v>7608</v>
      </c>
      <c r="K42" s="8">
        <f t="shared" si="5"/>
        <v>0.84803574055991759</v>
      </c>
      <c r="L42" s="27">
        <v>0</v>
      </c>
      <c r="M42" s="21"/>
      <c r="N42" s="27">
        <v>9684</v>
      </c>
      <c r="O42" s="27">
        <v>9684</v>
      </c>
      <c r="P42" s="9">
        <f t="shared" si="6"/>
        <v>-8320.68</v>
      </c>
      <c r="Q42" s="9">
        <f>IFERROR(IF(D42=20250,O42/(#REF!/30),O42/(I42/30)),0)</f>
        <v>32.38319444630222</v>
      </c>
      <c r="R42" s="9">
        <f t="shared" si="7"/>
        <v>32.38319444630222</v>
      </c>
    </row>
    <row r="43" spans="1:18" ht="13.15" x14ac:dyDescent="0.45">
      <c r="A43" s="15" t="str">
        <f t="shared" si="3"/>
        <v>410005159</v>
      </c>
      <c r="B43" s="19" t="s">
        <v>22</v>
      </c>
      <c r="C43" s="6" t="e">
        <f>_xlfn.XLOOKUP(B:B,#REF!,#REF!)</f>
        <v>#REF!</v>
      </c>
      <c r="D43" s="19" t="s">
        <v>44</v>
      </c>
      <c r="E43" s="6" t="str">
        <f t="shared" si="4"/>
        <v>410005159</v>
      </c>
      <c r="F43" s="19" t="s">
        <v>45</v>
      </c>
      <c r="G43" s="7" t="e">
        <f>VLOOKUP(D43,#REF!,4,)</f>
        <v>#REF!</v>
      </c>
      <c r="H43" s="6" t="e">
        <f>VLOOKUP(D43,#REF!,5,)</f>
        <v>#REF!</v>
      </c>
      <c r="I43" s="27">
        <v>1188.72</v>
      </c>
      <c r="J43" s="27">
        <v>588</v>
      </c>
      <c r="K43" s="8">
        <f t="shared" si="5"/>
        <v>0.49464970724813245</v>
      </c>
      <c r="L43" s="27">
        <v>108</v>
      </c>
      <c r="M43" s="21">
        <v>46169</v>
      </c>
      <c r="N43" s="27">
        <v>1068</v>
      </c>
      <c r="O43" s="27">
        <v>1176</v>
      </c>
      <c r="P43" s="9">
        <f t="shared" si="6"/>
        <v>-575.28</v>
      </c>
      <c r="Q43" s="9">
        <f>IFERROR(IF(D43=20250,O43/(#REF!/30),O43/(I43/30)),0)</f>
        <v>29.678982434887946</v>
      </c>
      <c r="R43" s="9">
        <f t="shared" si="7"/>
        <v>26.953361599030888</v>
      </c>
    </row>
    <row r="44" spans="1:18" ht="13.15" x14ac:dyDescent="0.45">
      <c r="A44" s="15" t="str">
        <f t="shared" si="3"/>
        <v>410006982</v>
      </c>
      <c r="B44" s="19" t="s">
        <v>22</v>
      </c>
      <c r="C44" s="6" t="e">
        <f>_xlfn.XLOOKUP(B:B,#REF!,#REF!)</f>
        <v>#REF!</v>
      </c>
      <c r="D44" s="19" t="s">
        <v>46</v>
      </c>
      <c r="E44" s="6" t="str">
        <f t="shared" si="4"/>
        <v>410006982</v>
      </c>
      <c r="F44" s="19" t="s">
        <v>47</v>
      </c>
      <c r="G44" s="7" t="e">
        <f>VLOOKUP(D44,#REF!,4,)</f>
        <v>#REF!</v>
      </c>
      <c r="H44" s="6" t="e">
        <f>VLOOKUP(D44,#REF!,5,)</f>
        <v>#REF!</v>
      </c>
      <c r="I44" s="27">
        <v>6835.32</v>
      </c>
      <c r="J44" s="27">
        <v>5136</v>
      </c>
      <c r="K44" s="8">
        <f t="shared" si="5"/>
        <v>0.75139130282122857</v>
      </c>
      <c r="L44" s="27">
        <v>0</v>
      </c>
      <c r="M44" s="21"/>
      <c r="N44" s="27">
        <v>8772</v>
      </c>
      <c r="O44" s="27">
        <v>8772</v>
      </c>
      <c r="P44" s="9">
        <f t="shared" si="6"/>
        <v>-7072.68</v>
      </c>
      <c r="Q44" s="9">
        <f>IFERROR(IF(D44=20250,O44/(#REF!/30),O44/(I44/30)),0)</f>
        <v>38.500026333807341</v>
      </c>
      <c r="R44" s="9">
        <f t="shared" si="7"/>
        <v>38.500026333807341</v>
      </c>
    </row>
    <row r="45" spans="1:18" ht="13.15" x14ac:dyDescent="0.45">
      <c r="A45" s="15" t="str">
        <f t="shared" si="3"/>
        <v>410007310</v>
      </c>
      <c r="B45" s="19" t="s">
        <v>22</v>
      </c>
      <c r="C45" s="6" t="e">
        <f>_xlfn.XLOOKUP(B:B,#REF!,#REF!)</f>
        <v>#REF!</v>
      </c>
      <c r="D45" s="19" t="s">
        <v>16</v>
      </c>
      <c r="E45" s="6" t="str">
        <f t="shared" si="4"/>
        <v>410007310</v>
      </c>
      <c r="F45" s="19" t="s">
        <v>17</v>
      </c>
      <c r="G45" s="7" t="e">
        <f>VLOOKUP(D45,#REF!,4,)</f>
        <v>#REF!</v>
      </c>
      <c r="H45" s="6" t="e">
        <f>VLOOKUP(D45,#REF!,5,)</f>
        <v>#REF!</v>
      </c>
      <c r="I45" s="27">
        <v>77218.44</v>
      </c>
      <c r="J45" s="27">
        <v>42456</v>
      </c>
      <c r="K45" s="8">
        <f t="shared" si="5"/>
        <v>0.54981685721700668</v>
      </c>
      <c r="L45" s="27">
        <v>9996</v>
      </c>
      <c r="M45" s="21">
        <v>46169</v>
      </c>
      <c r="N45" s="27">
        <v>53820</v>
      </c>
      <c r="O45" s="27">
        <v>63816</v>
      </c>
      <c r="P45" s="9">
        <f t="shared" si="6"/>
        <v>-29053.559999999998</v>
      </c>
      <c r="Q45" s="9">
        <f>IFERROR(IF(D45=20250,O45/(#REF!/30),O45/(I45/30)),0)</f>
        <v>24.793041662069321</v>
      </c>
      <c r="R45" s="9">
        <f t="shared" si="7"/>
        <v>20.909513323501486</v>
      </c>
    </row>
    <row r="46" spans="1:18" ht="13.15" x14ac:dyDescent="0.45">
      <c r="A46" s="15" t="str">
        <f t="shared" si="3"/>
        <v>410008529</v>
      </c>
      <c r="B46" s="19" t="s">
        <v>22</v>
      </c>
      <c r="C46" s="6" t="e">
        <f>_xlfn.XLOOKUP(B:B,#REF!,#REF!)</f>
        <v>#REF!</v>
      </c>
      <c r="D46" s="19" t="s">
        <v>48</v>
      </c>
      <c r="E46" s="6" t="str">
        <f t="shared" si="4"/>
        <v>410008529</v>
      </c>
      <c r="F46" s="19" t="s">
        <v>49</v>
      </c>
      <c r="G46" s="7" t="e">
        <f>VLOOKUP(D46,#REF!,4,)</f>
        <v>#REF!</v>
      </c>
      <c r="H46" s="6" t="e">
        <f>VLOOKUP(D46,#REF!,5,)</f>
        <v>#REF!</v>
      </c>
      <c r="I46" s="27">
        <v>8263.56</v>
      </c>
      <c r="J46" s="27">
        <v>5760</v>
      </c>
      <c r="K46" s="8">
        <f t="shared" si="5"/>
        <v>0.69703614422839555</v>
      </c>
      <c r="L46" s="27">
        <v>0</v>
      </c>
      <c r="M46" s="21"/>
      <c r="N46" s="27">
        <v>8724</v>
      </c>
      <c r="O46" s="27">
        <v>8724</v>
      </c>
      <c r="P46" s="9">
        <f t="shared" si="6"/>
        <v>-6220.4400000000005</v>
      </c>
      <c r="Q46" s="9">
        <f>IFERROR(IF(D46=20250,O46/(#REF!/30),O46/(I46/30)),0)</f>
        <v>31.671579803377721</v>
      </c>
      <c r="R46" s="9">
        <f t="shared" si="7"/>
        <v>31.671579803377721</v>
      </c>
    </row>
    <row r="47" spans="1:18" ht="13.15" x14ac:dyDescent="0.45">
      <c r="A47" s="15" t="str">
        <f t="shared" si="3"/>
        <v>410013179</v>
      </c>
      <c r="B47" s="19" t="s">
        <v>22</v>
      </c>
      <c r="C47" s="6" t="e">
        <f>_xlfn.XLOOKUP(B:B,#REF!,#REF!)</f>
        <v>#REF!</v>
      </c>
      <c r="D47" s="19" t="s">
        <v>18</v>
      </c>
      <c r="E47" s="6" t="str">
        <f t="shared" si="4"/>
        <v>410013179</v>
      </c>
      <c r="F47" s="19" t="s">
        <v>19</v>
      </c>
      <c r="G47" s="7" t="e">
        <f>VLOOKUP(D47,#REF!,4,)</f>
        <v>#REF!</v>
      </c>
      <c r="H47" s="6" t="e">
        <f>VLOOKUP(D47,#REF!,5,)</f>
        <v>#REF!</v>
      </c>
      <c r="I47" s="27">
        <v>16822.2</v>
      </c>
      <c r="J47" s="27">
        <v>11256</v>
      </c>
      <c r="K47" s="8">
        <f t="shared" si="5"/>
        <v>0.66911581124942043</v>
      </c>
      <c r="L47" s="27">
        <v>0</v>
      </c>
      <c r="M47" s="21"/>
      <c r="N47" s="27">
        <v>18300</v>
      </c>
      <c r="O47" s="27">
        <v>18300</v>
      </c>
      <c r="P47" s="9">
        <f t="shared" si="6"/>
        <v>-12733.8</v>
      </c>
      <c r="Q47" s="9">
        <f>IFERROR(IF(D47=20250,O47/(#REF!/30),O47/(I47/30)),0)</f>
        <v>32.635446017762241</v>
      </c>
      <c r="R47" s="9">
        <f t="shared" si="7"/>
        <v>32.635446017762241</v>
      </c>
    </row>
    <row r="48" spans="1:18" ht="13.15" x14ac:dyDescent="0.45">
      <c r="A48" s="15" t="str">
        <f t="shared" si="3"/>
        <v>410013678</v>
      </c>
      <c r="B48" s="19" t="s">
        <v>22</v>
      </c>
      <c r="C48" s="6" t="e">
        <f>_xlfn.XLOOKUP(B:B,#REF!,#REF!)</f>
        <v>#REF!</v>
      </c>
      <c r="D48" s="19" t="s">
        <v>50</v>
      </c>
      <c r="E48" s="6" t="str">
        <f t="shared" si="4"/>
        <v>410013678</v>
      </c>
      <c r="F48" s="19" t="s">
        <v>51</v>
      </c>
      <c r="G48" s="7" t="e">
        <f>VLOOKUP(D48,#REF!,4,)</f>
        <v>#REF!</v>
      </c>
      <c r="H48" s="6" t="e">
        <f>VLOOKUP(D48,#REF!,5,)</f>
        <v>#REF!</v>
      </c>
      <c r="I48" s="27">
        <v>9756.1200000000008</v>
      </c>
      <c r="J48" s="27">
        <v>3960</v>
      </c>
      <c r="K48" s="8">
        <f t="shared" si="5"/>
        <v>0.40589906643214718</v>
      </c>
      <c r="L48" s="27">
        <v>492</v>
      </c>
      <c r="M48" s="21">
        <v>46169</v>
      </c>
      <c r="N48" s="27">
        <v>8568</v>
      </c>
      <c r="O48" s="27">
        <v>9060</v>
      </c>
      <c r="P48" s="9">
        <f t="shared" si="6"/>
        <v>-3263.8799999999992</v>
      </c>
      <c r="Q48" s="9">
        <f>IFERROR(IF(D48=20250,O48/(#REF!/30),O48/(I48/30)),0)</f>
        <v>27.859435923297376</v>
      </c>
      <c r="R48" s="9">
        <f t="shared" si="7"/>
        <v>26.346539402959372</v>
      </c>
    </row>
    <row r="49" spans="1:18" ht="13.15" x14ac:dyDescent="0.45">
      <c r="A49" s="15" t="str">
        <f t="shared" si="3"/>
        <v>410014654</v>
      </c>
      <c r="B49" s="19" t="s">
        <v>22</v>
      </c>
      <c r="C49" s="6" t="e">
        <f>_xlfn.XLOOKUP(B:B,#REF!,#REF!)</f>
        <v>#REF!</v>
      </c>
      <c r="D49" s="19" t="s">
        <v>52</v>
      </c>
      <c r="E49" s="6" t="str">
        <f t="shared" si="4"/>
        <v>410014654</v>
      </c>
      <c r="F49" s="19" t="s">
        <v>53</v>
      </c>
      <c r="G49" s="7" t="e">
        <f>VLOOKUP(D49,#REF!,4,)</f>
        <v>#REF!</v>
      </c>
      <c r="H49" s="6" t="e">
        <f>VLOOKUP(D49,#REF!,5,)</f>
        <v>#REF!</v>
      </c>
      <c r="I49" s="27">
        <v>4847.88</v>
      </c>
      <c r="J49" s="27">
        <v>2676</v>
      </c>
      <c r="K49" s="8">
        <f t="shared" si="5"/>
        <v>0.55199386123418892</v>
      </c>
      <c r="L49" s="27">
        <v>3000</v>
      </c>
      <c r="M49" s="21">
        <v>46169</v>
      </c>
      <c r="N49" s="27">
        <v>2412</v>
      </c>
      <c r="O49" s="27">
        <v>5412</v>
      </c>
      <c r="P49" s="9">
        <f t="shared" si="6"/>
        <v>-3240.12</v>
      </c>
      <c r="Q49" s="9">
        <f>IFERROR(IF(D49=20250,O49/(#REF!/30),O49/(I49/30)),0)</f>
        <v>33.490927993267157</v>
      </c>
      <c r="R49" s="9">
        <f t="shared" si="7"/>
        <v>14.926112032476052</v>
      </c>
    </row>
    <row r="50" spans="1:18" ht="13.15" x14ac:dyDescent="0.45">
      <c r="A50" s="15" t="str">
        <f t="shared" si="3"/>
        <v>410014788</v>
      </c>
      <c r="B50" s="19" t="s">
        <v>22</v>
      </c>
      <c r="C50" s="6" t="e">
        <f>_xlfn.XLOOKUP(B:B,#REF!,#REF!)</f>
        <v>#REF!</v>
      </c>
      <c r="D50" s="19" t="s">
        <v>54</v>
      </c>
      <c r="E50" s="6" t="str">
        <f t="shared" si="4"/>
        <v>410014788</v>
      </c>
      <c r="F50" s="19" t="s">
        <v>55</v>
      </c>
      <c r="G50" s="7" t="e">
        <f>VLOOKUP(D50,#REF!,4,)</f>
        <v>#REF!</v>
      </c>
      <c r="H50" s="6" t="e">
        <f>VLOOKUP(D50,#REF!,5,)</f>
        <v>#REF!</v>
      </c>
      <c r="I50" s="27">
        <v>17943.599999999999</v>
      </c>
      <c r="J50" s="27">
        <v>9960</v>
      </c>
      <c r="K50" s="8">
        <f t="shared" si="5"/>
        <v>0.55507256069016253</v>
      </c>
      <c r="L50" s="27">
        <v>4992</v>
      </c>
      <c r="M50" s="21">
        <v>46169</v>
      </c>
      <c r="N50" s="27">
        <v>8556</v>
      </c>
      <c r="O50" s="27">
        <v>13548</v>
      </c>
      <c r="P50" s="9">
        <f t="shared" si="6"/>
        <v>-5564.4000000000015</v>
      </c>
      <c r="Q50" s="9">
        <f>IFERROR(IF(D50=20250,O50/(#REF!/30),O50/(I50/30)),0)</f>
        <v>22.65097304888651</v>
      </c>
      <c r="R50" s="9">
        <f t="shared" si="7"/>
        <v>14.30482177489467</v>
      </c>
    </row>
    <row r="51" spans="1:18" ht="13.15" x14ac:dyDescent="0.45">
      <c r="A51" s="15" t="str">
        <f t="shared" si="3"/>
        <v>410015536</v>
      </c>
      <c r="B51" s="19" t="s">
        <v>22</v>
      </c>
      <c r="C51" s="6" t="e">
        <f>_xlfn.XLOOKUP(B:B,#REF!,#REF!)</f>
        <v>#REF!</v>
      </c>
      <c r="D51" s="19" t="s">
        <v>56</v>
      </c>
      <c r="E51" s="6" t="str">
        <f t="shared" si="4"/>
        <v>410015536</v>
      </c>
      <c r="F51" s="19" t="s">
        <v>57</v>
      </c>
      <c r="G51" s="7" t="e">
        <f>VLOOKUP(D51,#REF!,4,)</f>
        <v>#REF!</v>
      </c>
      <c r="H51" s="6" t="e">
        <f>VLOOKUP(D51,#REF!,5,)</f>
        <v>#REF!</v>
      </c>
      <c r="I51" s="27">
        <v>5509.08</v>
      </c>
      <c r="J51" s="27">
        <v>3456</v>
      </c>
      <c r="K51" s="8">
        <f t="shared" si="5"/>
        <v>0.62732797490688097</v>
      </c>
      <c r="L51" s="27">
        <v>0</v>
      </c>
      <c r="M51" s="21"/>
      <c r="N51" s="27">
        <v>5556</v>
      </c>
      <c r="O51" s="27">
        <v>5556</v>
      </c>
      <c r="P51" s="9">
        <f t="shared" si="6"/>
        <v>-3502.92</v>
      </c>
      <c r="Q51" s="9">
        <f>IFERROR(IF(D51=20250,O51/(#REF!/30),O51/(I51/30)),0)</f>
        <v>30.25550545644645</v>
      </c>
      <c r="R51" s="9">
        <f t="shared" si="7"/>
        <v>30.25550545644645</v>
      </c>
    </row>
    <row r="52" spans="1:18" ht="13.15" x14ac:dyDescent="0.45">
      <c r="A52" s="15" t="str">
        <f t="shared" si="3"/>
        <v>410015906</v>
      </c>
      <c r="B52" s="19" t="s">
        <v>22</v>
      </c>
      <c r="C52" s="6" t="e">
        <f>_xlfn.XLOOKUP(B:B,#REF!,#REF!)</f>
        <v>#REF!</v>
      </c>
      <c r="D52" s="19" t="s">
        <v>58</v>
      </c>
      <c r="E52" s="6" t="str">
        <f t="shared" si="4"/>
        <v>410015906</v>
      </c>
      <c r="F52" s="19" t="s">
        <v>59</v>
      </c>
      <c r="G52" s="7" t="e">
        <f>VLOOKUP(D52,#REF!,4,)</f>
        <v>#REF!</v>
      </c>
      <c r="H52" s="6" t="e">
        <f>VLOOKUP(D52,#REF!,5,)</f>
        <v>#REF!</v>
      </c>
      <c r="I52" s="27">
        <v>2242.8000000000002</v>
      </c>
      <c r="J52" s="27">
        <v>1692</v>
      </c>
      <c r="K52" s="8">
        <f t="shared" si="5"/>
        <v>0.75441412520064199</v>
      </c>
      <c r="L52" s="27">
        <v>192</v>
      </c>
      <c r="M52" s="21">
        <v>46169</v>
      </c>
      <c r="N52" s="27">
        <v>2244</v>
      </c>
      <c r="O52" s="27">
        <v>2436</v>
      </c>
      <c r="P52" s="9">
        <f t="shared" si="6"/>
        <v>-1885.1999999999998</v>
      </c>
      <c r="Q52" s="9">
        <f>IFERROR(IF(D52=20250,O52/(#REF!/30),O52/(I52/30)),0)</f>
        <v>32.584269662921344</v>
      </c>
      <c r="R52" s="9">
        <f t="shared" si="7"/>
        <v>30.016051364365968</v>
      </c>
    </row>
    <row r="53" spans="1:18" ht="13.15" x14ac:dyDescent="0.45">
      <c r="A53" s="15" t="str">
        <f t="shared" si="3"/>
        <v>410016336</v>
      </c>
      <c r="B53" s="19" t="s">
        <v>22</v>
      </c>
      <c r="C53" s="6" t="e">
        <f>_xlfn.XLOOKUP(B:B,#REF!,#REF!)</f>
        <v>#REF!</v>
      </c>
      <c r="D53" s="19" t="s">
        <v>20</v>
      </c>
      <c r="E53" s="6" t="str">
        <f t="shared" si="4"/>
        <v>410016336</v>
      </c>
      <c r="F53" s="19" t="s">
        <v>21</v>
      </c>
      <c r="G53" s="7" t="e">
        <f>VLOOKUP(D53,#REF!,4,)</f>
        <v>#REF!</v>
      </c>
      <c r="H53" s="6" t="e">
        <f>VLOOKUP(D53,#REF!,5,)</f>
        <v>#REF!</v>
      </c>
      <c r="I53" s="27">
        <v>57035.88</v>
      </c>
      <c r="J53" s="27">
        <v>34284</v>
      </c>
      <c r="K53" s="8">
        <f t="shared" si="5"/>
        <v>0.60109531053084486</v>
      </c>
      <c r="L53" s="27">
        <v>0</v>
      </c>
      <c r="M53" s="21"/>
      <c r="N53" s="27">
        <v>40344</v>
      </c>
      <c r="O53" s="27">
        <v>40344</v>
      </c>
      <c r="P53" s="9">
        <f t="shared" si="6"/>
        <v>-17592.120000000003</v>
      </c>
      <c r="Q53" s="9">
        <f>IFERROR(IF(D53=20250,O53/(#REF!/30),O53/(I53/30)),0)</f>
        <v>21.220326573378021</v>
      </c>
      <c r="R53" s="9">
        <f t="shared" si="7"/>
        <v>21.220326573378021</v>
      </c>
    </row>
    <row r="54" spans="1:18" ht="13.15" x14ac:dyDescent="0.45">
      <c r="A54" s="15" t="str">
        <f t="shared" si="3"/>
        <v>410016984</v>
      </c>
      <c r="B54" s="19" t="s">
        <v>22</v>
      </c>
      <c r="C54" s="6" t="e">
        <f>_xlfn.XLOOKUP(B:B,#REF!,#REF!)</f>
        <v>#REF!</v>
      </c>
      <c r="D54" s="19" t="s">
        <v>60</v>
      </c>
      <c r="E54" s="6" t="str">
        <f t="shared" si="4"/>
        <v>410016984</v>
      </c>
      <c r="F54" s="19" t="s">
        <v>61</v>
      </c>
      <c r="G54" s="7" t="e">
        <f>VLOOKUP(D54,#REF!,4,)</f>
        <v>#REF!</v>
      </c>
      <c r="H54" s="6" t="e">
        <f>VLOOKUP(D54,#REF!,5,)</f>
        <v>#REF!</v>
      </c>
      <c r="I54" s="27">
        <v>2019.12</v>
      </c>
      <c r="J54" s="27">
        <v>948</v>
      </c>
      <c r="K54" s="8">
        <f t="shared" si="5"/>
        <v>0.46951147034351604</v>
      </c>
      <c r="L54" s="27">
        <v>0</v>
      </c>
      <c r="M54" s="21"/>
      <c r="N54" s="27">
        <v>1380</v>
      </c>
      <c r="O54" s="27">
        <v>1380</v>
      </c>
      <c r="P54" s="9">
        <f t="shared" si="6"/>
        <v>-308.88000000000011</v>
      </c>
      <c r="Q54" s="9">
        <f>IFERROR(IF(D54=20250,O54/(#REF!/30),O54/(I54/30)),0)</f>
        <v>20.503981932723168</v>
      </c>
      <c r="R54" s="9">
        <f t="shared" si="7"/>
        <v>20.503981932723168</v>
      </c>
    </row>
    <row r="55" spans="1:18" ht="13.15" x14ac:dyDescent="0.45">
      <c r="A55" s="15" t="str">
        <f t="shared" si="3"/>
        <v>410016998</v>
      </c>
      <c r="B55" s="19" t="s">
        <v>22</v>
      </c>
      <c r="C55" s="6" t="e">
        <f>_xlfn.XLOOKUP(B:B,#REF!,#REF!)</f>
        <v>#REF!</v>
      </c>
      <c r="D55" s="19" t="s">
        <v>62</v>
      </c>
      <c r="E55" s="6" t="str">
        <f t="shared" si="4"/>
        <v>410016998</v>
      </c>
      <c r="F55" s="19" t="s">
        <v>63</v>
      </c>
      <c r="G55" s="7" t="e">
        <f>VLOOKUP(D55,#REF!,4,)</f>
        <v>#REF!</v>
      </c>
      <c r="H55" s="6" t="e">
        <f>VLOOKUP(D55,#REF!,5,)</f>
        <v>#REF!</v>
      </c>
      <c r="I55" s="27">
        <v>5804.04</v>
      </c>
      <c r="J55" s="27">
        <v>3012</v>
      </c>
      <c r="K55" s="8">
        <f t="shared" si="5"/>
        <v>0.51894887009738044</v>
      </c>
      <c r="L55" s="27">
        <v>0</v>
      </c>
      <c r="M55" s="21"/>
      <c r="N55" s="27">
        <v>7908</v>
      </c>
      <c r="O55" s="27">
        <v>7908</v>
      </c>
      <c r="P55" s="9">
        <f t="shared" si="6"/>
        <v>-5115.96</v>
      </c>
      <c r="Q55" s="9">
        <f>IFERROR(IF(D55=20250,O55/(#REF!/30),O55/(I55/30)),0)</f>
        <v>40.874976740339491</v>
      </c>
      <c r="R55" s="9">
        <f t="shared" si="7"/>
        <v>40.874976740339491</v>
      </c>
    </row>
    <row r="56" spans="1:18" ht="13.15" x14ac:dyDescent="0.45">
      <c r="A56" s="15" t="str">
        <f t="shared" si="3"/>
        <v>410018098</v>
      </c>
      <c r="B56" s="19" t="s">
        <v>22</v>
      </c>
      <c r="C56" s="6" t="e">
        <f>_xlfn.XLOOKUP(B:B,#REF!,#REF!)</f>
        <v>#REF!</v>
      </c>
      <c r="D56" s="19" t="s">
        <v>64</v>
      </c>
      <c r="E56" s="6" t="str">
        <f t="shared" si="4"/>
        <v>410018098</v>
      </c>
      <c r="F56" s="19" t="s">
        <v>131</v>
      </c>
      <c r="G56" s="7" t="e">
        <f>VLOOKUP(D56,#REF!,4,)</f>
        <v>#REF!</v>
      </c>
      <c r="H56" s="6" t="e">
        <f>VLOOKUP(D56,#REF!,5,)</f>
        <v>#REF!</v>
      </c>
      <c r="I56" s="27">
        <v>1286.6400000000001</v>
      </c>
      <c r="J56" s="27">
        <v>444</v>
      </c>
      <c r="K56" s="8">
        <f t="shared" si="5"/>
        <v>0.34508487222533107</v>
      </c>
      <c r="L56" s="27">
        <v>492</v>
      </c>
      <c r="M56" s="21">
        <v>46169</v>
      </c>
      <c r="N56" s="27">
        <v>960</v>
      </c>
      <c r="O56" s="27">
        <v>1452</v>
      </c>
      <c r="P56" s="9">
        <f t="shared" si="6"/>
        <v>-609.3599999999999</v>
      </c>
      <c r="Q56" s="9">
        <f>IFERROR(IF(D56=20250,O56/(#REF!/30),O56/(I56/30)),0)</f>
        <v>33.855623950755451</v>
      </c>
      <c r="R56" s="9">
        <f t="shared" si="7"/>
        <v>22.383883603805259</v>
      </c>
    </row>
    <row r="57" spans="1:18" ht="13.15" x14ac:dyDescent="0.45">
      <c r="A57" s="15" t="str">
        <f t="shared" si="3"/>
        <v>410020308</v>
      </c>
      <c r="B57" s="19" t="s">
        <v>22</v>
      </c>
      <c r="C57" s="6" t="e">
        <f>_xlfn.XLOOKUP(B:B,#REF!,#REF!)</f>
        <v>#REF!</v>
      </c>
      <c r="D57" s="19" t="s">
        <v>84</v>
      </c>
      <c r="E57" s="6" t="str">
        <f t="shared" si="4"/>
        <v>410020308</v>
      </c>
      <c r="F57" s="19" t="s">
        <v>108</v>
      </c>
      <c r="G57" s="7" t="e">
        <f>VLOOKUP(D57,#REF!,4,)</f>
        <v>#REF!</v>
      </c>
      <c r="H57" s="6" t="e">
        <f>VLOOKUP(D57,#REF!,5,)</f>
        <v>#REF!</v>
      </c>
      <c r="I57" s="27">
        <v>19346.16</v>
      </c>
      <c r="J57" s="27">
        <v>15420</v>
      </c>
      <c r="K57" s="8">
        <f t="shared" si="5"/>
        <v>0.79705740053840146</v>
      </c>
      <c r="L57" s="27">
        <v>2496</v>
      </c>
      <c r="M57" s="21">
        <v>46169</v>
      </c>
      <c r="N57" s="27">
        <v>16320</v>
      </c>
      <c r="O57" s="27">
        <v>18816</v>
      </c>
      <c r="P57" s="9">
        <f t="shared" si="6"/>
        <v>-14889.84</v>
      </c>
      <c r="Q57" s="9">
        <f>IFERROR(IF(D57=20250,O57/(#REF!/30),O57/(I57/30)),0)</f>
        <v>29.177883362899927</v>
      </c>
      <c r="R57" s="9">
        <f t="shared" si="7"/>
        <v>25.307347814760139</v>
      </c>
    </row>
    <row r="58" spans="1:18" ht="13.15" x14ac:dyDescent="0.45">
      <c r="A58" s="15" t="str">
        <f t="shared" si="3"/>
        <v>410020827</v>
      </c>
      <c r="B58" s="19" t="s">
        <v>22</v>
      </c>
      <c r="C58" s="6" t="e">
        <f>_xlfn.XLOOKUP(B:B,#REF!,#REF!)</f>
        <v>#REF!</v>
      </c>
      <c r="D58" s="19" t="s">
        <v>85</v>
      </c>
      <c r="E58" s="6" t="str">
        <f t="shared" si="4"/>
        <v>410020827</v>
      </c>
      <c r="F58" s="19" t="s">
        <v>86</v>
      </c>
      <c r="G58" s="7" t="e">
        <f>VLOOKUP(D58,#REF!,4,)</f>
        <v>#REF!</v>
      </c>
      <c r="H58" s="6" t="e">
        <f>VLOOKUP(D58,#REF!,5,)</f>
        <v>#REF!</v>
      </c>
      <c r="I58" s="27">
        <v>8814.84</v>
      </c>
      <c r="J58" s="27">
        <v>6396</v>
      </c>
      <c r="K58" s="8">
        <f t="shared" si="5"/>
        <v>0.72559456552813206</v>
      </c>
      <c r="L58" s="27">
        <v>0</v>
      </c>
      <c r="M58" s="21"/>
      <c r="N58" s="27">
        <v>7572</v>
      </c>
      <c r="O58" s="27">
        <v>7572</v>
      </c>
      <c r="P58" s="9">
        <f t="shared" si="6"/>
        <v>-5153.16</v>
      </c>
      <c r="Q58" s="9">
        <f>IFERROR(IF(D58=20250,O58/(#REF!/30),O58/(I58/30)),0)</f>
        <v>25.770178471758985</v>
      </c>
      <c r="R58" s="9">
        <f t="shared" si="7"/>
        <v>25.770178471758985</v>
      </c>
    </row>
    <row r="59" spans="1:18" ht="13.15" x14ac:dyDescent="0.45">
      <c r="A59" s="15" t="str">
        <f t="shared" si="3"/>
        <v>410021910</v>
      </c>
      <c r="B59" s="19" t="s">
        <v>22</v>
      </c>
      <c r="C59" s="6" t="e">
        <f>_xlfn.XLOOKUP(B:B,#REF!,#REF!)</f>
        <v>#REF!</v>
      </c>
      <c r="D59" s="19" t="s">
        <v>91</v>
      </c>
      <c r="E59" s="6" t="str">
        <f t="shared" si="4"/>
        <v>410021910</v>
      </c>
      <c r="F59" s="19" t="s">
        <v>92</v>
      </c>
      <c r="G59" s="7" t="e">
        <f>VLOOKUP(D59,#REF!,4,)</f>
        <v>#REF!</v>
      </c>
      <c r="H59" s="6" t="e">
        <f>VLOOKUP(D59,#REF!,5,)</f>
        <v>#REF!</v>
      </c>
      <c r="I59" s="27">
        <v>2953.44</v>
      </c>
      <c r="J59" s="27">
        <v>1260</v>
      </c>
      <c r="K59" s="8">
        <f t="shared" si="5"/>
        <v>0.42662116040955633</v>
      </c>
      <c r="L59" s="27">
        <v>0</v>
      </c>
      <c r="M59" s="21"/>
      <c r="N59" s="27">
        <v>3300</v>
      </c>
      <c r="O59" s="27">
        <v>3300</v>
      </c>
      <c r="P59" s="9">
        <f t="shared" si="6"/>
        <v>-1606.56</v>
      </c>
      <c r="Q59" s="9">
        <f>IFERROR(IF(D59=20250,O59/(#REF!/30),O59/(I59/30)),0)</f>
        <v>33.520234032179424</v>
      </c>
      <c r="R59" s="9">
        <f t="shared" si="7"/>
        <v>33.520234032179424</v>
      </c>
    </row>
    <row r="60" spans="1:18" ht="13.15" x14ac:dyDescent="0.45">
      <c r="A60" s="15" t="str">
        <f t="shared" si="3"/>
        <v>410023081</v>
      </c>
      <c r="B60" s="19" t="s">
        <v>22</v>
      </c>
      <c r="C60" s="6" t="e">
        <f>_xlfn.XLOOKUP(B:B,#REF!,#REF!)</f>
        <v>#REF!</v>
      </c>
      <c r="D60" s="19" t="s">
        <v>96</v>
      </c>
      <c r="E60" s="6" t="str">
        <f t="shared" si="4"/>
        <v>410023081</v>
      </c>
      <c r="F60" s="19" t="s">
        <v>97</v>
      </c>
      <c r="G60" s="7" t="e">
        <f>VLOOKUP(D60,#REF!,4,)</f>
        <v>#REF!</v>
      </c>
      <c r="H60" s="6" t="e">
        <f>VLOOKUP(D60,#REF!,5,)</f>
        <v>#REF!</v>
      </c>
      <c r="I60" s="27">
        <v>257.27999999999997</v>
      </c>
      <c r="J60" s="27">
        <v>192</v>
      </c>
      <c r="K60" s="8">
        <f t="shared" si="5"/>
        <v>0.74626865671641796</v>
      </c>
      <c r="L60" s="27">
        <v>108</v>
      </c>
      <c r="M60" s="21">
        <v>46169</v>
      </c>
      <c r="N60" s="27">
        <v>108</v>
      </c>
      <c r="O60" s="27">
        <v>216</v>
      </c>
      <c r="P60" s="9">
        <f t="shared" si="6"/>
        <v>-150.72000000000003</v>
      </c>
      <c r="Q60" s="9">
        <f>IFERROR(IF(D60=20250,O60/(#REF!/30),O60/(I60/30)),0)</f>
        <v>25.18656716417911</v>
      </c>
      <c r="R60" s="9">
        <f t="shared" si="7"/>
        <v>12.593283582089555</v>
      </c>
    </row>
    <row r="61" spans="1:18" ht="13.15" x14ac:dyDescent="0.45">
      <c r="A61" s="15" t="str">
        <f t="shared" si="3"/>
        <v>410023401</v>
      </c>
      <c r="B61" s="19" t="s">
        <v>22</v>
      </c>
      <c r="C61" s="6" t="e">
        <f>_xlfn.XLOOKUP(B:B,#REF!,#REF!)</f>
        <v>#REF!</v>
      </c>
      <c r="D61" s="19" t="s">
        <v>98</v>
      </c>
      <c r="E61" s="6" t="str">
        <f t="shared" si="4"/>
        <v>410023401</v>
      </c>
      <c r="F61" s="19" t="s">
        <v>99</v>
      </c>
      <c r="G61" s="7" t="e">
        <f>VLOOKUP(D61,#REF!,4,)</f>
        <v>#REF!</v>
      </c>
      <c r="H61" s="6" t="e">
        <f>VLOOKUP(D61,#REF!,5,)</f>
        <v>#REF!</v>
      </c>
      <c r="I61" s="27">
        <v>2500.08</v>
      </c>
      <c r="J61" s="27">
        <v>456</v>
      </c>
      <c r="K61" s="8">
        <f t="shared" si="5"/>
        <v>0.18239416338677164</v>
      </c>
      <c r="L61" s="27">
        <v>0</v>
      </c>
      <c r="M61" s="21"/>
      <c r="N61" s="27">
        <v>2124</v>
      </c>
      <c r="O61" s="27">
        <v>2124</v>
      </c>
      <c r="P61" s="9">
        <f t="shared" si="6"/>
        <v>-79.920000000000073</v>
      </c>
      <c r="Q61" s="9">
        <f>IFERROR(IF(D61=20250,O61/(#REF!/30),O61/(I61/30)),0)</f>
        <v>25.487184410098877</v>
      </c>
      <c r="R61" s="9">
        <f t="shared" si="7"/>
        <v>25.487184410098877</v>
      </c>
    </row>
    <row r="62" spans="1:18" ht="13.15" x14ac:dyDescent="0.45">
      <c r="A62" s="15" t="str">
        <f t="shared" si="3"/>
        <v>410024768</v>
      </c>
      <c r="B62" s="19" t="s">
        <v>22</v>
      </c>
      <c r="C62" s="6" t="e">
        <f>_xlfn.XLOOKUP(B:B,#REF!,#REF!)</f>
        <v>#REF!</v>
      </c>
      <c r="D62" s="19" t="s">
        <v>111</v>
      </c>
      <c r="E62" s="6" t="str">
        <f t="shared" si="4"/>
        <v>410024768</v>
      </c>
      <c r="F62" s="19" t="s">
        <v>112</v>
      </c>
      <c r="G62" s="7" t="e">
        <f>VLOOKUP(D62,#REF!,4,)</f>
        <v>#REF!</v>
      </c>
      <c r="H62" s="6" t="e">
        <f>VLOOKUP(D62,#REF!,5,)</f>
        <v>#REF!</v>
      </c>
      <c r="I62" s="27">
        <v>7874.64</v>
      </c>
      <c r="J62" s="27">
        <v>3528</v>
      </c>
      <c r="K62" s="8">
        <f t="shared" si="5"/>
        <v>0.44802048093627134</v>
      </c>
      <c r="L62" s="27">
        <v>0</v>
      </c>
      <c r="M62" s="21"/>
      <c r="N62" s="27">
        <v>7008</v>
      </c>
      <c r="O62" s="27">
        <v>7008</v>
      </c>
      <c r="P62" s="9">
        <f t="shared" si="6"/>
        <v>-2661.3599999999997</v>
      </c>
      <c r="Q62" s="9">
        <f>IFERROR(IF(D62=20250,O62/(#REF!/30),O62/(I62/30)),0)</f>
        <v>26.698363353753315</v>
      </c>
      <c r="R62" s="9">
        <f t="shared" si="7"/>
        <v>26.698363353753315</v>
      </c>
    </row>
    <row r="63" spans="1:18" ht="13.15" x14ac:dyDescent="0.45">
      <c r="A63" s="15" t="str">
        <f t="shared" si="3"/>
        <v>410025570</v>
      </c>
      <c r="B63" s="19" t="s">
        <v>22</v>
      </c>
      <c r="C63" s="6" t="e">
        <f>_xlfn.XLOOKUP(B:B,#REF!,#REF!)</f>
        <v>#REF!</v>
      </c>
      <c r="D63" s="19" t="s">
        <v>116</v>
      </c>
      <c r="E63" s="6" t="str">
        <f t="shared" si="4"/>
        <v>410025570</v>
      </c>
      <c r="F63" s="19" t="s">
        <v>118</v>
      </c>
      <c r="G63" s="7" t="e">
        <f>VLOOKUP(D63,#REF!,4,)</f>
        <v>#REF!</v>
      </c>
      <c r="H63" s="6" t="e">
        <f>VLOOKUP(D63,#REF!,5,)</f>
        <v>#REF!</v>
      </c>
      <c r="I63" s="27">
        <v>68.28</v>
      </c>
      <c r="J63" s="27">
        <v>84</v>
      </c>
      <c r="K63" s="8">
        <f t="shared" si="5"/>
        <v>1.2302284710017575</v>
      </c>
      <c r="L63" s="27">
        <v>0</v>
      </c>
      <c r="M63" s="21"/>
      <c r="N63" s="27">
        <v>276</v>
      </c>
      <c r="O63" s="27">
        <v>276</v>
      </c>
      <c r="P63" s="9">
        <f t="shared" si="6"/>
        <v>-291.72000000000003</v>
      </c>
      <c r="Q63" s="9">
        <f>IFERROR(IF(D63=20250,O63/(#REF!/30),O63/(I63/30)),0)</f>
        <v>121.26537785588751</v>
      </c>
      <c r="R63" s="9">
        <f t="shared" si="7"/>
        <v>121.26537785588751</v>
      </c>
    </row>
    <row r="64" spans="1:18" ht="13.15" x14ac:dyDescent="0.45">
      <c r="A64" s="15" t="str">
        <f t="shared" si="3"/>
        <v>410025598</v>
      </c>
      <c r="B64" s="19" t="s">
        <v>22</v>
      </c>
      <c r="C64" s="6" t="e">
        <f>_xlfn.XLOOKUP(B:B,#REF!,#REF!)</f>
        <v>#REF!</v>
      </c>
      <c r="D64" s="19" t="s">
        <v>117</v>
      </c>
      <c r="E64" s="6" t="str">
        <f t="shared" si="4"/>
        <v>410025598</v>
      </c>
      <c r="F64" s="19" t="s">
        <v>119</v>
      </c>
      <c r="G64" s="7" t="e">
        <f>VLOOKUP(D64,#REF!,4,)</f>
        <v>#REF!</v>
      </c>
      <c r="H64" s="6" t="e">
        <f>VLOOKUP(D64,#REF!,5,)</f>
        <v>#REF!</v>
      </c>
      <c r="I64" s="27">
        <v>513.6</v>
      </c>
      <c r="J64" s="27">
        <v>552</v>
      </c>
      <c r="K64" s="8">
        <f t="shared" si="5"/>
        <v>1.0747663551401869</v>
      </c>
      <c r="L64" s="27">
        <v>192</v>
      </c>
      <c r="M64" s="21">
        <v>46169</v>
      </c>
      <c r="N64" s="27">
        <v>336</v>
      </c>
      <c r="O64" s="27">
        <v>528</v>
      </c>
      <c r="P64" s="9">
        <f t="shared" si="6"/>
        <v>-566.4</v>
      </c>
      <c r="Q64" s="9">
        <f>IFERROR(IF(D64=20250,O64/(#REF!/30),O64/(I64/30)),0)</f>
        <v>30.841121495327101</v>
      </c>
      <c r="R64" s="9">
        <f t="shared" si="7"/>
        <v>19.626168224299064</v>
      </c>
    </row>
    <row r="65" spans="1:18" ht="13.15" x14ac:dyDescent="0.45">
      <c r="A65" s="15" t="str">
        <f t="shared" si="3"/>
        <v>410106151</v>
      </c>
      <c r="B65" s="19" t="s">
        <v>65</v>
      </c>
      <c r="C65" s="6" t="e">
        <f>_xlfn.XLOOKUP(B:B,#REF!,#REF!)</f>
        <v>#REF!</v>
      </c>
      <c r="D65" s="19" t="s">
        <v>23</v>
      </c>
      <c r="E65" s="6" t="str">
        <f t="shared" si="4"/>
        <v>410106151</v>
      </c>
      <c r="F65" s="19" t="s">
        <v>24</v>
      </c>
      <c r="G65" s="7" t="e">
        <f>VLOOKUP(D65,#REF!,4,)</f>
        <v>#REF!</v>
      </c>
      <c r="H65" s="6" t="e">
        <f>VLOOKUP(D65,#REF!,5,)</f>
        <v>#REF!</v>
      </c>
      <c r="I65" s="27">
        <v>51479.28</v>
      </c>
      <c r="J65" s="27">
        <v>31548</v>
      </c>
      <c r="K65" s="8">
        <f t="shared" si="5"/>
        <v>0.61282908385665069</v>
      </c>
      <c r="L65" s="27">
        <v>1686</v>
      </c>
      <c r="M65" s="21"/>
      <c r="N65" s="27">
        <v>19512</v>
      </c>
      <c r="O65" s="27">
        <v>21198</v>
      </c>
      <c r="P65" s="9">
        <f t="shared" si="6"/>
        <v>-1266.7200000000012</v>
      </c>
      <c r="Q65" s="9">
        <f>IFERROR(IF(D65=20250,O65/(#REF!/30),O65/(I65/30)),0)</f>
        <v>12.353319626847929</v>
      </c>
      <c r="R65" s="9">
        <f t="shared" si="7"/>
        <v>11.370788402635002</v>
      </c>
    </row>
    <row r="66" spans="1:18" ht="13.15" x14ac:dyDescent="0.45">
      <c r="A66" s="15" t="str">
        <f t="shared" si="3"/>
        <v>410113490</v>
      </c>
      <c r="B66" s="19" t="s">
        <v>65</v>
      </c>
      <c r="C66" s="6" t="e">
        <f>_xlfn.XLOOKUP(B:B,#REF!,#REF!)</f>
        <v>#REF!</v>
      </c>
      <c r="D66" s="19" t="s">
        <v>27</v>
      </c>
      <c r="E66" s="6" t="str">
        <f t="shared" si="4"/>
        <v>410113490</v>
      </c>
      <c r="F66" s="19" t="s">
        <v>28</v>
      </c>
      <c r="G66" s="7" t="e">
        <f>VLOOKUP(D66,#REF!,4,)</f>
        <v>#REF!</v>
      </c>
      <c r="H66" s="6" t="e">
        <f>VLOOKUP(D66,#REF!,5,)</f>
        <v>#REF!</v>
      </c>
      <c r="I66" s="27">
        <v>4844.8999999999996</v>
      </c>
      <c r="J66" s="27">
        <v>4600</v>
      </c>
      <c r="K66" s="8">
        <f t="shared" si="5"/>
        <v>0.94945200107329364</v>
      </c>
      <c r="L66" s="27">
        <v>4500</v>
      </c>
      <c r="M66" s="21">
        <v>46168</v>
      </c>
      <c r="N66" s="27">
        <v>0</v>
      </c>
      <c r="O66" s="27">
        <v>4500</v>
      </c>
      <c r="P66" s="9">
        <f t="shared" si="6"/>
        <v>-4255.1000000000004</v>
      </c>
      <c r="Q66" s="9">
        <f>IFERROR(IF(D66=20250,O66/(#REF!/30),O66/(I66/30)),0)</f>
        <v>27.86435220541188</v>
      </c>
      <c r="R66" s="9">
        <f t="shared" si="7"/>
        <v>0</v>
      </c>
    </row>
    <row r="67" spans="1:18" ht="13.15" x14ac:dyDescent="0.45">
      <c r="A67" s="15" t="str">
        <f t="shared" si="3"/>
        <v>410115300</v>
      </c>
      <c r="B67" s="19" t="s">
        <v>65</v>
      </c>
      <c r="C67" s="6" t="e">
        <f>_xlfn.XLOOKUP(B:B,#REF!,#REF!)</f>
        <v>#REF!</v>
      </c>
      <c r="D67" s="19" t="s">
        <v>31</v>
      </c>
      <c r="E67" s="6" t="str">
        <f t="shared" si="4"/>
        <v>410115300</v>
      </c>
      <c r="F67" s="19" t="s">
        <v>32</v>
      </c>
      <c r="G67" s="7" t="e">
        <f>VLOOKUP(D67,#REF!,4,)</f>
        <v>#REF!</v>
      </c>
      <c r="H67" s="6" t="e">
        <f>VLOOKUP(D67,#REF!,5,)</f>
        <v>#REF!</v>
      </c>
      <c r="I67" s="27">
        <v>363.15</v>
      </c>
      <c r="J67" s="27">
        <v>360</v>
      </c>
      <c r="K67" s="8">
        <f t="shared" si="5"/>
        <v>0.99132589838909546</v>
      </c>
      <c r="L67" s="27">
        <v>297</v>
      </c>
      <c r="M67" s="21">
        <v>46168</v>
      </c>
      <c r="N67" s="27">
        <v>0</v>
      </c>
      <c r="O67" s="27">
        <v>297</v>
      </c>
      <c r="P67" s="9">
        <f t="shared" si="6"/>
        <v>-293.85000000000002</v>
      </c>
      <c r="Q67" s="9">
        <f>IFERROR(IF(D67=20250,O67/(#REF!/30),O67/(I67/30)),0)</f>
        <v>24.535315985130115</v>
      </c>
      <c r="R67" s="9">
        <f t="shared" si="7"/>
        <v>0</v>
      </c>
    </row>
    <row r="68" spans="1:18" ht="13.15" x14ac:dyDescent="0.45">
      <c r="A68" s="15" t="str">
        <f t="shared" ref="A68:A131" si="8">B68&amp;D68</f>
        <v>410119690</v>
      </c>
      <c r="B68" s="19" t="s">
        <v>65</v>
      </c>
      <c r="C68" s="6" t="e">
        <f>_xlfn.XLOOKUP(B:B,#REF!,#REF!)</f>
        <v>#REF!</v>
      </c>
      <c r="D68" s="19" t="s">
        <v>66</v>
      </c>
      <c r="E68" s="6" t="str">
        <f t="shared" ref="E68:E131" si="9">B68&amp;D68</f>
        <v>410119690</v>
      </c>
      <c r="F68" s="19" t="s">
        <v>67</v>
      </c>
      <c r="G68" s="7" t="e">
        <f>VLOOKUP(D68,#REF!,4,)</f>
        <v>#REF!</v>
      </c>
      <c r="H68" s="6" t="e">
        <f>VLOOKUP(D68,#REF!,5,)</f>
        <v>#REF!</v>
      </c>
      <c r="I68" s="27">
        <v>320.64</v>
      </c>
      <c r="J68" s="27">
        <v>336</v>
      </c>
      <c r="K68" s="8">
        <f t="shared" ref="K68:K131" si="10">IFERROR(J68/I68,0)</f>
        <v>1.0479041916167664</v>
      </c>
      <c r="L68" s="27">
        <v>0</v>
      </c>
      <c r="M68" s="21"/>
      <c r="N68" s="27">
        <v>48</v>
      </c>
      <c r="O68" s="27">
        <v>48</v>
      </c>
      <c r="P68" s="9">
        <f t="shared" ref="P68:P131" si="11">I68-J68-O68</f>
        <v>-63.360000000000014</v>
      </c>
      <c r="Q68" s="9">
        <f>IFERROR(IF(D68=20250,O68/(#REF!/30),O68/(I68/30)),0)</f>
        <v>4.4910179640718564</v>
      </c>
      <c r="R68" s="9">
        <f t="shared" ref="R68:R131" si="12">IFERROR(N68/(I68/30),0)</f>
        <v>4.4910179640718564</v>
      </c>
    </row>
    <row r="69" spans="1:18" ht="13.15" x14ac:dyDescent="0.45">
      <c r="A69" s="15" t="str">
        <f t="shared" si="8"/>
        <v>410120661</v>
      </c>
      <c r="B69" s="19" t="s">
        <v>65</v>
      </c>
      <c r="C69" s="6" t="e">
        <f>_xlfn.XLOOKUP(B:B,#REF!,#REF!)</f>
        <v>#REF!</v>
      </c>
      <c r="D69" s="19" t="s">
        <v>88</v>
      </c>
      <c r="E69" s="6" t="str">
        <f t="shared" si="9"/>
        <v>410120661</v>
      </c>
      <c r="F69" s="19" t="s">
        <v>89</v>
      </c>
      <c r="G69" s="7" t="e">
        <f>VLOOKUP(D69,#REF!,4,)</f>
        <v>#REF!</v>
      </c>
      <c r="H69" s="6" t="e">
        <f>VLOOKUP(D69,#REF!,5,)</f>
        <v>#REF!</v>
      </c>
      <c r="I69" s="27">
        <v>4826.04</v>
      </c>
      <c r="J69" s="27">
        <v>3768</v>
      </c>
      <c r="K69" s="8">
        <f t="shared" si="10"/>
        <v>0.78076435338289774</v>
      </c>
      <c r="L69" s="27">
        <v>0</v>
      </c>
      <c r="M69" s="21"/>
      <c r="N69" s="27">
        <v>4320</v>
      </c>
      <c r="O69" s="27">
        <v>4320</v>
      </c>
      <c r="P69" s="9">
        <f t="shared" si="11"/>
        <v>-3261.96</v>
      </c>
      <c r="Q69" s="9">
        <f>IFERROR(IF(D69=20250,O69/(#REF!/30),O69/(I69/30)),0)</f>
        <v>26.854315339284383</v>
      </c>
      <c r="R69" s="9">
        <f t="shared" si="12"/>
        <v>26.854315339284383</v>
      </c>
    </row>
    <row r="70" spans="1:18" ht="13.15" x14ac:dyDescent="0.45">
      <c r="A70" s="15" t="str">
        <f t="shared" si="8"/>
        <v>410123638</v>
      </c>
      <c r="B70" s="19" t="s">
        <v>65</v>
      </c>
      <c r="C70" s="6" t="e">
        <f>_xlfn.XLOOKUP(B:B,#REF!,#REF!)</f>
        <v>#REF!</v>
      </c>
      <c r="D70" s="19" t="s">
        <v>100</v>
      </c>
      <c r="E70" s="6" t="str">
        <f t="shared" si="9"/>
        <v>410123638</v>
      </c>
      <c r="F70" s="19" t="s">
        <v>101</v>
      </c>
      <c r="G70" s="7" t="e">
        <f>VLOOKUP(D70,#REF!,4,)</f>
        <v>#REF!</v>
      </c>
      <c r="H70" s="6" t="e">
        <f>VLOOKUP(D70,#REF!,5,)</f>
        <v>#REF!</v>
      </c>
      <c r="I70" s="27">
        <v>19999.919999999998</v>
      </c>
      <c r="J70" s="27">
        <v>10284</v>
      </c>
      <c r="K70" s="8">
        <f t="shared" si="10"/>
        <v>0.51420205680822728</v>
      </c>
      <c r="L70" s="27">
        <v>1448</v>
      </c>
      <c r="M70" s="21"/>
      <c r="N70" s="27">
        <v>2388</v>
      </c>
      <c r="O70" s="27">
        <v>3836</v>
      </c>
      <c r="P70" s="9">
        <f t="shared" si="11"/>
        <v>5879.9199999999983</v>
      </c>
      <c r="Q70" s="9">
        <f>IFERROR(IF(D70=20250,O70/(#REF!/30),O70/(I70/30)),0)</f>
        <v>5.7540230160920647</v>
      </c>
      <c r="R70" s="9">
        <f t="shared" si="12"/>
        <v>3.5820143280573125</v>
      </c>
    </row>
    <row r="71" spans="1:18" ht="13.15" x14ac:dyDescent="0.45">
      <c r="A71" s="15" t="str">
        <f t="shared" si="8"/>
        <v>410125885</v>
      </c>
      <c r="B71" s="19" t="s">
        <v>65</v>
      </c>
      <c r="C71" s="6" t="e">
        <f>_xlfn.XLOOKUP(B:B,#REF!,#REF!)</f>
        <v>#REF!</v>
      </c>
      <c r="D71" s="19" t="s">
        <v>122</v>
      </c>
      <c r="E71" s="6" t="str">
        <f t="shared" si="9"/>
        <v>410125885</v>
      </c>
      <c r="F71" s="19" t="s">
        <v>123</v>
      </c>
      <c r="G71" s="7" t="e">
        <f>VLOOKUP(D71,#REF!,4,)</f>
        <v>#REF!</v>
      </c>
      <c r="H71" s="6" t="e">
        <f>VLOOKUP(D71,#REF!,5,)</f>
        <v>#REF!</v>
      </c>
      <c r="I71" s="27">
        <v>9027.7199999999993</v>
      </c>
      <c r="J71" s="27">
        <v>1152</v>
      </c>
      <c r="K71" s="8">
        <f t="shared" si="10"/>
        <v>0.12760697053076525</v>
      </c>
      <c r="L71" s="27">
        <v>0</v>
      </c>
      <c r="M71" s="21"/>
      <c r="N71" s="27">
        <v>13980</v>
      </c>
      <c r="O71" s="27">
        <v>13980</v>
      </c>
      <c r="P71" s="9">
        <f t="shared" si="11"/>
        <v>-6104.2800000000007</v>
      </c>
      <c r="Q71" s="9">
        <f>IFERROR(IF(D71=20250,O71/(#REF!/30),O71/(I71/30)),0)</f>
        <v>46.456912708856727</v>
      </c>
      <c r="R71" s="9">
        <f t="shared" si="12"/>
        <v>46.456912708856727</v>
      </c>
    </row>
    <row r="72" spans="1:18" ht="13.15" x14ac:dyDescent="0.45">
      <c r="A72" s="15" t="str">
        <f t="shared" si="8"/>
        <v>410126026</v>
      </c>
      <c r="B72" s="19" t="s">
        <v>65</v>
      </c>
      <c r="C72" s="6" t="e">
        <f>_xlfn.XLOOKUP(B:B,#REF!,#REF!)</f>
        <v>#REF!</v>
      </c>
      <c r="D72" s="19" t="s">
        <v>128</v>
      </c>
      <c r="E72" s="6" t="str">
        <f t="shared" si="9"/>
        <v>410126026</v>
      </c>
      <c r="F72" s="19" t="s">
        <v>133</v>
      </c>
      <c r="G72" s="7" t="e">
        <f>VLOOKUP(D72,#REF!,4,)</f>
        <v>#REF!</v>
      </c>
      <c r="H72" s="6" t="e">
        <f>VLOOKUP(D72,#REF!,5,)</f>
        <v>#REF!</v>
      </c>
      <c r="I72" s="27">
        <v>1368.84</v>
      </c>
      <c r="J72" s="27">
        <v>1116</v>
      </c>
      <c r="K72" s="8">
        <f t="shared" si="10"/>
        <v>0.81528885771894455</v>
      </c>
      <c r="L72" s="27">
        <v>0</v>
      </c>
      <c r="M72" s="21"/>
      <c r="N72" s="27">
        <v>3360</v>
      </c>
      <c r="O72" s="27">
        <v>3360</v>
      </c>
      <c r="P72" s="9">
        <f t="shared" si="11"/>
        <v>-3107.16</v>
      </c>
      <c r="Q72" s="9">
        <f>IFERROR(IF(D72=20250,O72/(#REF!/30),O72/(I72/30)),0)</f>
        <v>73.63899360042079</v>
      </c>
      <c r="R72" s="9">
        <f t="shared" si="12"/>
        <v>73.63899360042079</v>
      </c>
    </row>
    <row r="73" spans="1:18" ht="13.15" x14ac:dyDescent="0.45">
      <c r="A73" s="15" t="str">
        <f t="shared" si="8"/>
        <v>410126192</v>
      </c>
      <c r="B73" s="19" t="s">
        <v>65</v>
      </c>
      <c r="C73" s="6" t="e">
        <f>_xlfn.XLOOKUP(B:B,#REF!,#REF!)</f>
        <v>#REF!</v>
      </c>
      <c r="D73" s="19" t="s">
        <v>129</v>
      </c>
      <c r="E73" s="6" t="str">
        <f t="shared" si="9"/>
        <v>410126192</v>
      </c>
      <c r="F73" s="19" t="s">
        <v>132</v>
      </c>
      <c r="G73" s="7" t="e">
        <f>VLOOKUP(D73,#REF!,4,)</f>
        <v>#REF!</v>
      </c>
      <c r="H73" s="6" t="e">
        <f>VLOOKUP(D73,#REF!,5,)</f>
        <v>#REF!</v>
      </c>
      <c r="I73" s="27">
        <v>1979.52</v>
      </c>
      <c r="J73" s="27">
        <v>0</v>
      </c>
      <c r="K73" s="8">
        <f t="shared" si="10"/>
        <v>0</v>
      </c>
      <c r="L73" s="27">
        <v>0</v>
      </c>
      <c r="M73" s="21"/>
      <c r="N73" s="27">
        <v>0</v>
      </c>
      <c r="O73" s="27">
        <v>0</v>
      </c>
      <c r="P73" s="9">
        <f t="shared" si="11"/>
        <v>1979.52</v>
      </c>
      <c r="Q73" s="9">
        <f>IFERROR(IF(D73=20250,O73/(#REF!/30),O73/(I73/30)),0)</f>
        <v>0</v>
      </c>
      <c r="R73" s="9">
        <f t="shared" si="12"/>
        <v>0</v>
      </c>
    </row>
    <row r="74" spans="1:18" ht="13.15" x14ac:dyDescent="0.45">
      <c r="A74" s="15" t="str">
        <f t="shared" si="8"/>
        <v>410126193</v>
      </c>
      <c r="B74" s="19" t="s">
        <v>65</v>
      </c>
      <c r="C74" s="6" t="e">
        <f>_xlfn.XLOOKUP(B:B,#REF!,#REF!)</f>
        <v>#REF!</v>
      </c>
      <c r="D74" s="19" t="s">
        <v>130</v>
      </c>
      <c r="E74" s="6" t="str">
        <f t="shared" si="9"/>
        <v>410126193</v>
      </c>
      <c r="F74" s="19" t="s">
        <v>134</v>
      </c>
      <c r="G74" s="7" t="e">
        <f>VLOOKUP(D74,#REF!,4,)</f>
        <v>#REF!</v>
      </c>
      <c r="H74" s="6" t="e">
        <f>VLOOKUP(D74,#REF!,5,)</f>
        <v>#REF!</v>
      </c>
      <c r="I74" s="27">
        <v>2638.68</v>
      </c>
      <c r="J74" s="27">
        <v>0</v>
      </c>
      <c r="K74" s="8">
        <f t="shared" si="10"/>
        <v>0</v>
      </c>
      <c r="L74" s="27">
        <v>0</v>
      </c>
      <c r="M74" s="21"/>
      <c r="N74" s="27">
        <v>0</v>
      </c>
      <c r="O74" s="27">
        <v>0</v>
      </c>
      <c r="P74" s="9">
        <f t="shared" si="11"/>
        <v>2638.68</v>
      </c>
      <c r="Q74" s="9">
        <f>IFERROR(IF(D74=20250,O74/(#REF!/30),O74/(I74/30)),0)</f>
        <v>0</v>
      </c>
      <c r="R74" s="9">
        <f t="shared" si="12"/>
        <v>0</v>
      </c>
    </row>
    <row r="75" spans="1:18" ht="13.15" x14ac:dyDescent="0.45">
      <c r="A75" s="15" t="str">
        <f t="shared" si="8"/>
        <v>410126234</v>
      </c>
      <c r="B75" s="19" t="s">
        <v>65</v>
      </c>
      <c r="C75" s="6" t="e">
        <f>_xlfn.XLOOKUP(B:B,#REF!,#REF!)</f>
        <v>#REF!</v>
      </c>
      <c r="D75" s="19" t="s">
        <v>126</v>
      </c>
      <c r="E75" s="6" t="str">
        <f t="shared" si="9"/>
        <v>410126234</v>
      </c>
      <c r="F75" s="19" t="s">
        <v>127</v>
      </c>
      <c r="G75" s="7" t="e">
        <f>VLOOKUP(D75,#REF!,4,)</f>
        <v>#REF!</v>
      </c>
      <c r="H75" s="6" t="e">
        <f>VLOOKUP(D75,#REF!,5,)</f>
        <v>#REF!</v>
      </c>
      <c r="I75" s="27">
        <v>0</v>
      </c>
      <c r="J75" s="27">
        <v>24</v>
      </c>
      <c r="K75" s="8">
        <f t="shared" si="10"/>
        <v>0</v>
      </c>
      <c r="L75" s="27">
        <v>0</v>
      </c>
      <c r="M75" s="21"/>
      <c r="N75" s="27">
        <v>1728</v>
      </c>
      <c r="O75" s="27">
        <v>1728</v>
      </c>
      <c r="P75" s="9">
        <f t="shared" si="11"/>
        <v>-1752</v>
      </c>
      <c r="Q75" s="9">
        <f>IFERROR(IF(D75=20250,O75/(#REF!/30),O75/(I75/30)),0)</f>
        <v>0</v>
      </c>
      <c r="R75" s="9">
        <f t="shared" si="12"/>
        <v>0</v>
      </c>
    </row>
    <row r="76" spans="1:18" ht="13.15" x14ac:dyDescent="0.45">
      <c r="A76" s="15" t="str">
        <f t="shared" si="8"/>
        <v>410126744</v>
      </c>
      <c r="B76" s="19" t="s">
        <v>65</v>
      </c>
      <c r="C76" s="6" t="e">
        <f>_xlfn.XLOOKUP(B:B,#REF!,#REF!)</f>
        <v>#REF!</v>
      </c>
      <c r="D76" s="19" t="s">
        <v>135</v>
      </c>
      <c r="E76" s="6" t="str">
        <f t="shared" si="9"/>
        <v>410126744</v>
      </c>
      <c r="F76" s="19" t="s">
        <v>137</v>
      </c>
      <c r="G76" s="7" t="e">
        <f>VLOOKUP(D76,#REF!,4,)</f>
        <v>#REF!</v>
      </c>
      <c r="H76" s="6" t="e">
        <f>VLOOKUP(D76,#REF!,5,)</f>
        <v>#REF!</v>
      </c>
      <c r="I76" s="27">
        <v>0</v>
      </c>
      <c r="J76" s="27">
        <v>0</v>
      </c>
      <c r="K76" s="8">
        <f t="shared" si="10"/>
        <v>0</v>
      </c>
      <c r="L76" s="27">
        <v>0</v>
      </c>
      <c r="M76" s="21"/>
      <c r="N76" s="27">
        <v>192</v>
      </c>
      <c r="O76" s="27">
        <v>192</v>
      </c>
      <c r="P76" s="9">
        <f t="shared" si="11"/>
        <v>-192</v>
      </c>
      <c r="Q76" s="9">
        <f>IFERROR(IF(D76=20250,O76/(#REF!/30),O76/(I76/30)),0)</f>
        <v>0</v>
      </c>
      <c r="R76" s="9">
        <f t="shared" si="12"/>
        <v>0</v>
      </c>
    </row>
    <row r="77" spans="1:18" ht="13.15" x14ac:dyDescent="0.45">
      <c r="A77" s="15" t="str">
        <f t="shared" si="8"/>
        <v>410126745</v>
      </c>
      <c r="B77" s="19" t="s">
        <v>65</v>
      </c>
      <c r="C77" s="6" t="e">
        <f>_xlfn.XLOOKUP(B:B,#REF!,#REF!)</f>
        <v>#REF!</v>
      </c>
      <c r="D77" s="19" t="s">
        <v>136</v>
      </c>
      <c r="E77" s="6" t="str">
        <f t="shared" si="9"/>
        <v>410126745</v>
      </c>
      <c r="F77" s="19" t="s">
        <v>138</v>
      </c>
      <c r="G77" s="7" t="e">
        <f>VLOOKUP(D77,#REF!,4,)</f>
        <v>#REF!</v>
      </c>
      <c r="H77" s="6" t="e">
        <f>VLOOKUP(D77,#REF!,5,)</f>
        <v>#REF!</v>
      </c>
      <c r="I77" s="27">
        <v>0</v>
      </c>
      <c r="J77" s="27">
        <v>0</v>
      </c>
      <c r="K77" s="8">
        <f t="shared" si="10"/>
        <v>0</v>
      </c>
      <c r="L77" s="27">
        <v>0</v>
      </c>
      <c r="M77" s="21"/>
      <c r="N77" s="27">
        <v>648</v>
      </c>
      <c r="O77" s="27">
        <v>648</v>
      </c>
      <c r="P77" s="9">
        <f t="shared" si="11"/>
        <v>-648</v>
      </c>
      <c r="Q77" s="9">
        <f>IFERROR(IF(D77=20250,O77/(#REF!/30),O77/(I77/30)),0)</f>
        <v>0</v>
      </c>
      <c r="R77" s="9">
        <f t="shared" si="12"/>
        <v>0</v>
      </c>
    </row>
    <row r="78" spans="1:18" ht="13.15" x14ac:dyDescent="0.45">
      <c r="A78" s="15" t="str">
        <f t="shared" si="8"/>
        <v>410104145</v>
      </c>
      <c r="B78" s="19" t="s">
        <v>65</v>
      </c>
      <c r="C78" s="6" t="e">
        <f>_xlfn.XLOOKUP(B:B,#REF!,#REF!)</f>
        <v>#REF!</v>
      </c>
      <c r="D78" s="19" t="s">
        <v>25</v>
      </c>
      <c r="E78" s="6" t="str">
        <f t="shared" si="9"/>
        <v>410104145</v>
      </c>
      <c r="F78" s="19" t="s">
        <v>26</v>
      </c>
      <c r="G78" s="7" t="e">
        <f>VLOOKUP(D78,#REF!,4,)</f>
        <v>#REF!</v>
      </c>
      <c r="H78" s="6" t="e">
        <f>VLOOKUP(D78,#REF!,5,)</f>
        <v>#REF!</v>
      </c>
      <c r="I78" s="27">
        <v>435.42</v>
      </c>
      <c r="J78" s="27">
        <v>432</v>
      </c>
      <c r="K78" s="8">
        <f t="shared" si="10"/>
        <v>0.99214551467548573</v>
      </c>
      <c r="L78" s="27">
        <v>396</v>
      </c>
      <c r="M78" s="21">
        <v>46168</v>
      </c>
      <c r="N78" s="27">
        <v>9</v>
      </c>
      <c r="O78" s="27">
        <v>405</v>
      </c>
      <c r="P78" s="9">
        <f t="shared" si="11"/>
        <v>-401.58</v>
      </c>
      <c r="Q78" s="9">
        <f>IFERROR(IF(D78=20250,O78/(#REF!/30),O78/(I78/30)),0)</f>
        <v>27.904092600248035</v>
      </c>
      <c r="R78" s="9">
        <f t="shared" si="12"/>
        <v>0.62009094667217857</v>
      </c>
    </row>
    <row r="79" spans="1:18" ht="13.15" x14ac:dyDescent="0.45">
      <c r="A79" s="15" t="str">
        <f t="shared" si="8"/>
        <v>410114248</v>
      </c>
      <c r="B79" s="19" t="s">
        <v>65</v>
      </c>
      <c r="C79" s="6" t="e">
        <f>_xlfn.XLOOKUP(B:B,#REF!,#REF!)</f>
        <v>#REF!</v>
      </c>
      <c r="D79" s="19" t="s">
        <v>29</v>
      </c>
      <c r="E79" s="6" t="str">
        <f t="shared" si="9"/>
        <v>410114248</v>
      </c>
      <c r="F79" s="19" t="s">
        <v>30</v>
      </c>
      <c r="G79" s="7" t="e">
        <f>VLOOKUP(D79,#REF!,4,)</f>
        <v>#REF!</v>
      </c>
      <c r="H79" s="6" t="e">
        <f>VLOOKUP(D79,#REF!,5,)</f>
        <v>#REF!</v>
      </c>
      <c r="I79" s="27">
        <v>5920.8</v>
      </c>
      <c r="J79" s="27">
        <v>4080</v>
      </c>
      <c r="K79" s="8">
        <f t="shared" si="10"/>
        <v>0.68909606809890556</v>
      </c>
      <c r="L79" s="27">
        <v>2070</v>
      </c>
      <c r="M79" s="21">
        <v>46168</v>
      </c>
      <c r="N79" s="27">
        <v>640</v>
      </c>
      <c r="O79" s="27">
        <v>2710</v>
      </c>
      <c r="P79" s="9">
        <f t="shared" si="11"/>
        <v>-869.19999999999982</v>
      </c>
      <c r="Q79" s="9">
        <f>IFERROR(IF(D79=20250,O79/(#REF!/30),O79/(I79/30)),0)</f>
        <v>13.731252533441426</v>
      </c>
      <c r="R79" s="9">
        <f t="shared" si="12"/>
        <v>3.2428050263477908</v>
      </c>
    </row>
    <row r="80" spans="1:18" ht="13.15" x14ac:dyDescent="0.45">
      <c r="A80" s="15" t="str">
        <f t="shared" si="8"/>
        <v>410115305</v>
      </c>
      <c r="B80" s="19" t="s">
        <v>65</v>
      </c>
      <c r="C80" s="6" t="e">
        <f>_xlfn.XLOOKUP(B:B,#REF!,#REF!)</f>
        <v>#REF!</v>
      </c>
      <c r="D80" s="19" t="s">
        <v>33</v>
      </c>
      <c r="E80" s="6" t="str">
        <f t="shared" si="9"/>
        <v>410115305</v>
      </c>
      <c r="F80" s="19" t="s">
        <v>34</v>
      </c>
      <c r="G80" s="7" t="e">
        <f>VLOOKUP(D80,#REF!,4,)</f>
        <v>#REF!</v>
      </c>
      <c r="H80" s="6" t="e">
        <f>VLOOKUP(D80,#REF!,5,)</f>
        <v>#REF!</v>
      </c>
      <c r="I80" s="27">
        <v>206.82</v>
      </c>
      <c r="J80" s="27">
        <v>36</v>
      </c>
      <c r="K80" s="8">
        <f t="shared" si="10"/>
        <v>0.1740644038294169</v>
      </c>
      <c r="L80" s="27">
        <v>0</v>
      </c>
      <c r="M80" s="21"/>
      <c r="N80" s="27">
        <v>243</v>
      </c>
      <c r="O80" s="27">
        <v>243</v>
      </c>
      <c r="P80" s="9">
        <f t="shared" si="11"/>
        <v>-72.180000000000007</v>
      </c>
      <c r="Q80" s="9">
        <f>IFERROR(IF(D80=20250,O80/(#REF!/30),O80/(I80/30)),0)</f>
        <v>35.248041775456919</v>
      </c>
      <c r="R80" s="9">
        <f t="shared" si="12"/>
        <v>35.248041775456919</v>
      </c>
    </row>
    <row r="81" spans="1:18" ht="13.15" x14ac:dyDescent="0.45">
      <c r="A81" s="15" t="str">
        <f t="shared" si="8"/>
        <v>410115312</v>
      </c>
      <c r="B81" s="19" t="s">
        <v>65</v>
      </c>
      <c r="C81" s="6" t="e">
        <f>_xlfn.XLOOKUP(B:B,#REF!,#REF!)</f>
        <v>#REF!</v>
      </c>
      <c r="D81" s="19" t="s">
        <v>35</v>
      </c>
      <c r="E81" s="6" t="str">
        <f t="shared" si="9"/>
        <v>410115312</v>
      </c>
      <c r="F81" s="19" t="s">
        <v>36</v>
      </c>
      <c r="G81" s="7" t="e">
        <f>VLOOKUP(D81,#REF!,4,)</f>
        <v>#REF!</v>
      </c>
      <c r="H81" s="6" t="e">
        <f>VLOOKUP(D81,#REF!,5,)</f>
        <v>#REF!</v>
      </c>
      <c r="I81" s="27">
        <v>421.56</v>
      </c>
      <c r="J81" s="27">
        <v>36</v>
      </c>
      <c r="K81" s="8">
        <f t="shared" si="10"/>
        <v>8.5397096498719044E-2</v>
      </c>
      <c r="L81" s="27">
        <v>0</v>
      </c>
      <c r="M81" s="21"/>
      <c r="N81" s="27">
        <v>387</v>
      </c>
      <c r="O81" s="27">
        <v>387</v>
      </c>
      <c r="P81" s="9">
        <f t="shared" si="11"/>
        <v>-1.4399999999999977</v>
      </c>
      <c r="Q81" s="9">
        <f>IFERROR(IF(D81=20250,O81/(#REF!/30),O81/(I81/30)),0)</f>
        <v>27.540563620836892</v>
      </c>
      <c r="R81" s="9">
        <f t="shared" si="12"/>
        <v>27.540563620836892</v>
      </c>
    </row>
    <row r="82" spans="1:18" ht="13.15" x14ac:dyDescent="0.45">
      <c r="A82" s="15" t="str">
        <f t="shared" si="8"/>
        <v>410116407</v>
      </c>
      <c r="B82" s="19" t="s">
        <v>65</v>
      </c>
      <c r="C82" s="6" t="e">
        <f>_xlfn.XLOOKUP(B:B,#REF!,#REF!)</f>
        <v>#REF!</v>
      </c>
      <c r="D82" s="19" t="s">
        <v>37</v>
      </c>
      <c r="E82" s="6" t="str">
        <f t="shared" si="9"/>
        <v>410116407</v>
      </c>
      <c r="F82" s="19" t="s">
        <v>38</v>
      </c>
      <c r="G82" s="7" t="e">
        <f>VLOOKUP(D82,#REF!,4,)</f>
        <v>#REF!</v>
      </c>
      <c r="H82" s="6" t="e">
        <f>VLOOKUP(D82,#REF!,5,)</f>
        <v>#REF!</v>
      </c>
      <c r="I82" s="27">
        <v>1977.48</v>
      </c>
      <c r="J82" s="27">
        <v>1161</v>
      </c>
      <c r="K82" s="8">
        <f t="shared" si="10"/>
        <v>0.58711086837793558</v>
      </c>
      <c r="L82" s="27">
        <v>900</v>
      </c>
      <c r="M82" s="21">
        <v>46168</v>
      </c>
      <c r="N82" s="27">
        <v>900</v>
      </c>
      <c r="O82" s="27">
        <v>1800</v>
      </c>
      <c r="P82" s="9">
        <f t="shared" si="11"/>
        <v>-983.52</v>
      </c>
      <c r="Q82" s="9">
        <f>IFERROR(IF(D82=20250,O82/(#REF!/30),O82/(I82/30)),0)</f>
        <v>27.307482250136538</v>
      </c>
      <c r="R82" s="9">
        <f t="shared" si="12"/>
        <v>13.653741125068269</v>
      </c>
    </row>
    <row r="83" spans="1:18" ht="13.15" x14ac:dyDescent="0.45">
      <c r="A83" s="15" t="str">
        <f t="shared" si="8"/>
        <v>410100189</v>
      </c>
      <c r="B83" s="19" t="s">
        <v>65</v>
      </c>
      <c r="C83" s="6" t="e">
        <f>_xlfn.XLOOKUP(B:B,#REF!,#REF!)</f>
        <v>#REF!</v>
      </c>
      <c r="D83" s="19" t="s">
        <v>39</v>
      </c>
      <c r="E83" s="6" t="str">
        <f t="shared" si="9"/>
        <v>410100189</v>
      </c>
      <c r="F83" s="19" t="s">
        <v>109</v>
      </c>
      <c r="G83" s="7" t="e">
        <f>VLOOKUP(D83,#REF!,4,)</f>
        <v>#REF!</v>
      </c>
      <c r="H83" s="6" t="e">
        <f>VLOOKUP(D83,#REF!,5,)</f>
        <v>#REF!</v>
      </c>
      <c r="I83" s="27">
        <v>194379.24</v>
      </c>
      <c r="J83" s="27">
        <v>137040</v>
      </c>
      <c r="K83" s="8">
        <f t="shared" si="10"/>
        <v>0.705013560090059</v>
      </c>
      <c r="L83" s="27">
        <v>0</v>
      </c>
      <c r="M83" s="21"/>
      <c r="N83" s="27">
        <v>66168</v>
      </c>
      <c r="O83" s="27">
        <v>66168</v>
      </c>
      <c r="P83" s="9">
        <f t="shared" si="11"/>
        <v>-8828.7600000000093</v>
      </c>
      <c r="Q83" s="9">
        <f>IFERROR(IF(D83=20250,O83/(#REF!/30),O83/(I83/30)),0)</f>
        <v>10.212201673388577</v>
      </c>
      <c r="R83" s="9">
        <f t="shared" si="12"/>
        <v>10.212201673388577</v>
      </c>
    </row>
    <row r="84" spans="1:18" ht="13.15" x14ac:dyDescent="0.45">
      <c r="A84" s="15" t="str">
        <f t="shared" si="8"/>
        <v>410101167</v>
      </c>
      <c r="B84" s="19" t="s">
        <v>65</v>
      </c>
      <c r="C84" s="6" t="e">
        <f>_xlfn.XLOOKUP(B:B,#REF!,#REF!)</f>
        <v>#REF!</v>
      </c>
      <c r="D84" s="19" t="s">
        <v>40</v>
      </c>
      <c r="E84" s="6" t="str">
        <f t="shared" si="9"/>
        <v>410101167</v>
      </c>
      <c r="F84" s="19" t="s">
        <v>41</v>
      </c>
      <c r="G84" s="7" t="e">
        <f>VLOOKUP(D84,#REF!,4,)</f>
        <v>#REF!</v>
      </c>
      <c r="H84" s="6" t="e">
        <f>VLOOKUP(D84,#REF!,5,)</f>
        <v>#REF!</v>
      </c>
      <c r="I84" s="27">
        <v>24977.88</v>
      </c>
      <c r="J84" s="27">
        <v>21036</v>
      </c>
      <c r="K84" s="8">
        <f t="shared" si="10"/>
        <v>0.84218516543437627</v>
      </c>
      <c r="L84" s="27">
        <v>0</v>
      </c>
      <c r="M84" s="21"/>
      <c r="N84" s="27">
        <v>13080</v>
      </c>
      <c r="O84" s="27">
        <v>13080</v>
      </c>
      <c r="P84" s="9">
        <f t="shared" si="11"/>
        <v>-9138.119999999999</v>
      </c>
      <c r="Q84" s="9">
        <f>IFERROR(IF(D84=20250,O84/(#REF!/30),O84/(I84/30)),0)</f>
        <v>15.709900119625845</v>
      </c>
      <c r="R84" s="9">
        <f t="shared" si="12"/>
        <v>15.709900119625845</v>
      </c>
    </row>
    <row r="85" spans="1:18" ht="13.15" x14ac:dyDescent="0.45">
      <c r="A85" s="15" t="str">
        <f t="shared" si="8"/>
        <v>410101296</v>
      </c>
      <c r="B85" s="19" t="s">
        <v>65</v>
      </c>
      <c r="C85" s="6" t="e">
        <f>_xlfn.XLOOKUP(B:B,#REF!,#REF!)</f>
        <v>#REF!</v>
      </c>
      <c r="D85" s="19" t="s">
        <v>14</v>
      </c>
      <c r="E85" s="6" t="str">
        <f t="shared" si="9"/>
        <v>410101296</v>
      </c>
      <c r="F85" s="19" t="s">
        <v>15</v>
      </c>
      <c r="G85" s="7" t="e">
        <f>VLOOKUP(D85,#REF!,4,)</f>
        <v>#REF!</v>
      </c>
      <c r="H85" s="6" t="e">
        <f>VLOOKUP(D85,#REF!,5,)</f>
        <v>#REF!</v>
      </c>
      <c r="I85" s="27">
        <v>19237.2</v>
      </c>
      <c r="J85" s="27">
        <v>13452</v>
      </c>
      <c r="K85" s="8">
        <f t="shared" si="10"/>
        <v>0.69927016405713927</v>
      </c>
      <c r="L85" s="27">
        <v>492</v>
      </c>
      <c r="M85" s="21">
        <v>46165</v>
      </c>
      <c r="N85" s="27">
        <v>10260</v>
      </c>
      <c r="O85" s="27">
        <v>10752</v>
      </c>
      <c r="P85" s="9">
        <f t="shared" si="11"/>
        <v>-4966.7999999999993</v>
      </c>
      <c r="Q85" s="9">
        <f>IFERROR(IF(D85=20250,O85/(#REF!/30),O85/(I85/30)),0)</f>
        <v>16.767512943671637</v>
      </c>
      <c r="R85" s="9">
        <f t="shared" si="12"/>
        <v>16.000249516561663</v>
      </c>
    </row>
    <row r="86" spans="1:18" ht="13.15" x14ac:dyDescent="0.45">
      <c r="A86" s="15" t="str">
        <f t="shared" si="8"/>
        <v>410102122</v>
      </c>
      <c r="B86" s="19" t="s">
        <v>65</v>
      </c>
      <c r="C86" s="6" t="e">
        <f>_xlfn.XLOOKUP(B:B,#REF!,#REF!)</f>
        <v>#REF!</v>
      </c>
      <c r="D86" s="19" t="s">
        <v>42</v>
      </c>
      <c r="E86" s="6" t="str">
        <f t="shared" si="9"/>
        <v>410102122</v>
      </c>
      <c r="F86" s="19" t="s">
        <v>43</v>
      </c>
      <c r="G86" s="7" t="e">
        <f>VLOOKUP(D86,#REF!,4,)</f>
        <v>#REF!</v>
      </c>
      <c r="H86" s="6" t="e">
        <f>VLOOKUP(D86,#REF!,5,)</f>
        <v>#REF!</v>
      </c>
      <c r="I86" s="27">
        <v>56073.72</v>
      </c>
      <c r="J86" s="27">
        <v>40356</v>
      </c>
      <c r="K86" s="8">
        <f t="shared" si="10"/>
        <v>0.71969542951671472</v>
      </c>
      <c r="L86" s="27">
        <v>10992</v>
      </c>
      <c r="M86" s="21">
        <v>46168</v>
      </c>
      <c r="N86" s="27">
        <v>25956</v>
      </c>
      <c r="O86" s="27">
        <v>36948</v>
      </c>
      <c r="P86" s="9">
        <f t="shared" si="11"/>
        <v>-21230.28</v>
      </c>
      <c r="Q86" s="9">
        <f>IFERROR(IF(D86=20250,O86/(#REF!/30),O86/(I86/30)),0)</f>
        <v>19.767548862461773</v>
      </c>
      <c r="R86" s="9">
        <f t="shared" si="12"/>
        <v>13.886719126178894</v>
      </c>
    </row>
    <row r="87" spans="1:18" ht="13.15" x14ac:dyDescent="0.45">
      <c r="A87" s="15" t="str">
        <f t="shared" si="8"/>
        <v>410105159</v>
      </c>
      <c r="B87" s="19" t="s">
        <v>65</v>
      </c>
      <c r="C87" s="6" t="e">
        <f>_xlfn.XLOOKUP(B:B,#REF!,#REF!)</f>
        <v>#REF!</v>
      </c>
      <c r="D87" s="19" t="s">
        <v>44</v>
      </c>
      <c r="E87" s="6" t="str">
        <f t="shared" si="9"/>
        <v>410105159</v>
      </c>
      <c r="F87" s="19" t="s">
        <v>45</v>
      </c>
      <c r="G87" s="7" t="e">
        <f>VLOOKUP(D87,#REF!,4,)</f>
        <v>#REF!</v>
      </c>
      <c r="H87" s="6" t="e">
        <f>VLOOKUP(D87,#REF!,5,)</f>
        <v>#REF!</v>
      </c>
      <c r="I87" s="27">
        <v>379.08</v>
      </c>
      <c r="J87" s="27">
        <v>156</v>
      </c>
      <c r="K87" s="8">
        <f t="shared" si="10"/>
        <v>0.41152263374485598</v>
      </c>
      <c r="L87" s="27">
        <v>204</v>
      </c>
      <c r="M87" s="21">
        <v>46165</v>
      </c>
      <c r="N87" s="27">
        <v>96</v>
      </c>
      <c r="O87" s="27">
        <v>300</v>
      </c>
      <c r="P87" s="9">
        <f t="shared" si="11"/>
        <v>-76.920000000000016</v>
      </c>
      <c r="Q87" s="9">
        <f>IFERROR(IF(D87=20250,O87/(#REF!/30),O87/(I87/30)),0)</f>
        <v>23.741690408357076</v>
      </c>
      <c r="R87" s="9">
        <f t="shared" si="12"/>
        <v>7.5973409306742647</v>
      </c>
    </row>
    <row r="88" spans="1:18" ht="13.15" x14ac:dyDescent="0.45">
      <c r="A88" s="15" t="str">
        <f t="shared" si="8"/>
        <v>410106982</v>
      </c>
      <c r="B88" s="19" t="s">
        <v>65</v>
      </c>
      <c r="C88" s="6" t="e">
        <f>_xlfn.XLOOKUP(B:B,#REF!,#REF!)</f>
        <v>#REF!</v>
      </c>
      <c r="D88" s="19" t="s">
        <v>46</v>
      </c>
      <c r="E88" s="6" t="str">
        <f t="shared" si="9"/>
        <v>410106982</v>
      </c>
      <c r="F88" s="19" t="s">
        <v>47</v>
      </c>
      <c r="G88" s="7" t="e">
        <f>VLOOKUP(D88,#REF!,4,)</f>
        <v>#REF!</v>
      </c>
      <c r="H88" s="6" t="e">
        <f>VLOOKUP(D88,#REF!,5,)</f>
        <v>#REF!</v>
      </c>
      <c r="I88" s="27">
        <v>21017.759999999998</v>
      </c>
      <c r="J88" s="27">
        <v>15720</v>
      </c>
      <c r="K88" s="8">
        <f t="shared" si="10"/>
        <v>0.747938885970722</v>
      </c>
      <c r="L88" s="27">
        <v>144</v>
      </c>
      <c r="M88" s="21">
        <v>46160</v>
      </c>
      <c r="N88" s="27">
        <v>10488</v>
      </c>
      <c r="O88" s="27">
        <v>10632</v>
      </c>
      <c r="P88" s="9">
        <f t="shared" si="11"/>
        <v>-5334.2400000000016</v>
      </c>
      <c r="Q88" s="9">
        <f>IFERROR(IF(D88=20250,O88/(#REF!/30),O88/(I88/30)),0)</f>
        <v>15.175737090917396</v>
      </c>
      <c r="R88" s="9">
        <f t="shared" si="12"/>
        <v>14.970196633704068</v>
      </c>
    </row>
    <row r="89" spans="1:18" ht="13.15" x14ac:dyDescent="0.45">
      <c r="A89" s="15" t="str">
        <f t="shared" si="8"/>
        <v>410107310</v>
      </c>
      <c r="B89" s="19" t="s">
        <v>65</v>
      </c>
      <c r="C89" s="6" t="e">
        <f>_xlfn.XLOOKUP(B:B,#REF!,#REF!)</f>
        <v>#REF!</v>
      </c>
      <c r="D89" s="19" t="s">
        <v>16</v>
      </c>
      <c r="E89" s="6" t="str">
        <f t="shared" si="9"/>
        <v>410107310</v>
      </c>
      <c r="F89" s="19" t="s">
        <v>17</v>
      </c>
      <c r="G89" s="7" t="e">
        <f>VLOOKUP(D89,#REF!,4,)</f>
        <v>#REF!</v>
      </c>
      <c r="H89" s="6" t="e">
        <f>VLOOKUP(D89,#REF!,5,)</f>
        <v>#REF!</v>
      </c>
      <c r="I89" s="27">
        <v>193047</v>
      </c>
      <c r="J89" s="27">
        <v>116664</v>
      </c>
      <c r="K89" s="8">
        <f t="shared" si="10"/>
        <v>0.60432951561018822</v>
      </c>
      <c r="L89" s="27">
        <v>25608</v>
      </c>
      <c r="M89" s="21">
        <v>46169</v>
      </c>
      <c r="N89" s="27">
        <v>107916</v>
      </c>
      <c r="O89" s="27">
        <v>133524</v>
      </c>
      <c r="P89" s="9">
        <f t="shared" si="11"/>
        <v>-57141</v>
      </c>
      <c r="Q89" s="9">
        <f>IFERROR(IF(D89=20250,O89/(#REF!/30),O89/(I89/30)),0)</f>
        <v>20.74997280455019</v>
      </c>
      <c r="R89" s="9">
        <f t="shared" si="12"/>
        <v>16.77042378280937</v>
      </c>
    </row>
    <row r="90" spans="1:18" ht="13.15" x14ac:dyDescent="0.45">
      <c r="A90" s="15" t="str">
        <f t="shared" si="8"/>
        <v>410108529</v>
      </c>
      <c r="B90" s="19" t="s">
        <v>65</v>
      </c>
      <c r="C90" s="6" t="e">
        <f>_xlfn.XLOOKUP(B:B,#REF!,#REF!)</f>
        <v>#REF!</v>
      </c>
      <c r="D90" s="19" t="s">
        <v>48</v>
      </c>
      <c r="E90" s="6" t="str">
        <f t="shared" si="9"/>
        <v>410108529</v>
      </c>
      <c r="F90" s="19" t="s">
        <v>49</v>
      </c>
      <c r="G90" s="7" t="e">
        <f>VLOOKUP(D90,#REF!,4,)</f>
        <v>#REF!</v>
      </c>
      <c r="H90" s="6" t="e">
        <f>VLOOKUP(D90,#REF!,5,)</f>
        <v>#REF!</v>
      </c>
      <c r="I90" s="27">
        <v>47885.279999999999</v>
      </c>
      <c r="J90" s="27">
        <v>34824</v>
      </c>
      <c r="K90" s="8">
        <f t="shared" si="10"/>
        <v>0.72723809905674563</v>
      </c>
      <c r="L90" s="27">
        <v>7692</v>
      </c>
      <c r="M90" s="21">
        <v>46168</v>
      </c>
      <c r="N90" s="27">
        <v>25500</v>
      </c>
      <c r="O90" s="27">
        <v>33192</v>
      </c>
      <c r="P90" s="9">
        <f t="shared" si="11"/>
        <v>-20130.72</v>
      </c>
      <c r="Q90" s="9">
        <f>IFERROR(IF(D90=20250,O90/(#REF!/30),O90/(I90/30)),0)</f>
        <v>20.79469933140205</v>
      </c>
      <c r="R90" s="9">
        <f t="shared" si="12"/>
        <v>15.975681879692466</v>
      </c>
    </row>
    <row r="91" spans="1:18" ht="13.15" x14ac:dyDescent="0.45">
      <c r="A91" s="15" t="str">
        <f t="shared" si="8"/>
        <v>410113179</v>
      </c>
      <c r="B91" s="19" t="s">
        <v>65</v>
      </c>
      <c r="C91" s="6" t="e">
        <f>_xlfn.XLOOKUP(B:B,#REF!,#REF!)</f>
        <v>#REF!</v>
      </c>
      <c r="D91" s="19" t="s">
        <v>18</v>
      </c>
      <c r="E91" s="6" t="str">
        <f t="shared" si="9"/>
        <v>410113179</v>
      </c>
      <c r="F91" s="19" t="s">
        <v>19</v>
      </c>
      <c r="G91" s="7" t="e">
        <f>VLOOKUP(D91,#REF!,4,)</f>
        <v>#REF!</v>
      </c>
      <c r="H91" s="6" t="e">
        <f>VLOOKUP(D91,#REF!,5,)</f>
        <v>#REF!</v>
      </c>
      <c r="I91" s="27">
        <v>100932.48</v>
      </c>
      <c r="J91" s="27">
        <v>70368</v>
      </c>
      <c r="K91" s="8">
        <f t="shared" si="10"/>
        <v>0.6971789457665164</v>
      </c>
      <c r="L91" s="27">
        <v>19392</v>
      </c>
      <c r="M91" s="21">
        <v>46168</v>
      </c>
      <c r="N91" s="27">
        <v>49560</v>
      </c>
      <c r="O91" s="27">
        <v>68952</v>
      </c>
      <c r="P91" s="9">
        <f t="shared" si="11"/>
        <v>-38387.520000000004</v>
      </c>
      <c r="Q91" s="9">
        <f>IFERROR(IF(D91=20250,O91/(#REF!/30),O91/(I91/30)),0)</f>
        <v>20.494492952120073</v>
      </c>
      <c r="R91" s="9">
        <f t="shared" si="12"/>
        <v>14.730639730639732</v>
      </c>
    </row>
    <row r="92" spans="1:18" ht="13.15" x14ac:dyDescent="0.45">
      <c r="A92" s="15" t="str">
        <f t="shared" si="8"/>
        <v>410113678</v>
      </c>
      <c r="B92" s="19" t="s">
        <v>65</v>
      </c>
      <c r="C92" s="6" t="e">
        <f>_xlfn.XLOOKUP(B:B,#REF!,#REF!)</f>
        <v>#REF!</v>
      </c>
      <c r="D92" s="19" t="s">
        <v>50</v>
      </c>
      <c r="E92" s="6" t="str">
        <f t="shared" si="9"/>
        <v>410113678</v>
      </c>
      <c r="F92" s="19" t="s">
        <v>51</v>
      </c>
      <c r="G92" s="7" t="e">
        <f>VLOOKUP(D92,#REF!,4,)</f>
        <v>#REF!</v>
      </c>
      <c r="H92" s="6" t="e">
        <f>VLOOKUP(D92,#REF!,5,)</f>
        <v>#REF!</v>
      </c>
      <c r="I92" s="27">
        <v>5362.56</v>
      </c>
      <c r="J92" s="27">
        <v>4476</v>
      </c>
      <c r="K92" s="8">
        <f t="shared" si="10"/>
        <v>0.83467597565341922</v>
      </c>
      <c r="L92" s="27">
        <v>0</v>
      </c>
      <c r="M92" s="21"/>
      <c r="N92" s="27">
        <v>3912</v>
      </c>
      <c r="O92" s="27">
        <v>3912</v>
      </c>
      <c r="P92" s="9">
        <f t="shared" si="11"/>
        <v>-3025.4399999999996</v>
      </c>
      <c r="Q92" s="9">
        <f>IFERROR(IF(D92=20250,O92/(#REF!/30),O92/(I92/30)),0)</f>
        <v>21.885069817400645</v>
      </c>
      <c r="R92" s="9">
        <f t="shared" si="12"/>
        <v>21.885069817400645</v>
      </c>
    </row>
    <row r="93" spans="1:18" ht="13.15" x14ac:dyDescent="0.45">
      <c r="A93" s="15" t="str">
        <f t="shared" si="8"/>
        <v>410114654</v>
      </c>
      <c r="B93" s="19" t="s">
        <v>65</v>
      </c>
      <c r="C93" s="6" t="e">
        <f>_xlfn.XLOOKUP(B:B,#REF!,#REF!)</f>
        <v>#REF!</v>
      </c>
      <c r="D93" s="19" t="s">
        <v>52</v>
      </c>
      <c r="E93" s="6" t="str">
        <f t="shared" si="9"/>
        <v>410114654</v>
      </c>
      <c r="F93" s="19" t="s">
        <v>53</v>
      </c>
      <c r="G93" s="7" t="e">
        <f>VLOOKUP(D93,#REF!,4,)</f>
        <v>#REF!</v>
      </c>
      <c r="H93" s="6" t="e">
        <f>VLOOKUP(D93,#REF!,5,)</f>
        <v>#REF!</v>
      </c>
      <c r="I93" s="27">
        <v>15674.04</v>
      </c>
      <c r="J93" s="27">
        <v>9696</v>
      </c>
      <c r="K93" s="8">
        <f t="shared" si="10"/>
        <v>0.61860247900349874</v>
      </c>
      <c r="L93" s="27">
        <v>6876</v>
      </c>
      <c r="M93" s="21">
        <v>46168</v>
      </c>
      <c r="N93" s="27">
        <v>3696</v>
      </c>
      <c r="O93" s="27">
        <v>10572</v>
      </c>
      <c r="P93" s="9">
        <f t="shared" si="11"/>
        <v>-4593.9599999999991</v>
      </c>
      <c r="Q93" s="9">
        <f>IFERROR(IF(D93=20250,O93/(#REF!/30),O93/(I93/30)),0)</f>
        <v>20.234732079285237</v>
      </c>
      <c r="R93" s="9">
        <f t="shared" si="12"/>
        <v>7.0741174579112966</v>
      </c>
    </row>
    <row r="94" spans="1:18" ht="13.15" x14ac:dyDescent="0.45">
      <c r="A94" s="15" t="str">
        <f t="shared" si="8"/>
        <v>410114788</v>
      </c>
      <c r="B94" s="19" t="s">
        <v>65</v>
      </c>
      <c r="C94" s="6" t="e">
        <f>_xlfn.XLOOKUP(B:B,#REF!,#REF!)</f>
        <v>#REF!</v>
      </c>
      <c r="D94" s="19" t="s">
        <v>54</v>
      </c>
      <c r="E94" s="6" t="str">
        <f t="shared" si="9"/>
        <v>410114788</v>
      </c>
      <c r="F94" s="19" t="s">
        <v>55</v>
      </c>
      <c r="G94" s="7" t="e">
        <f>VLOOKUP(D94,#REF!,4,)</f>
        <v>#REF!</v>
      </c>
      <c r="H94" s="6" t="e">
        <f>VLOOKUP(D94,#REF!,5,)</f>
        <v>#REF!</v>
      </c>
      <c r="I94" s="27">
        <v>61680.84</v>
      </c>
      <c r="J94" s="27">
        <v>40284</v>
      </c>
      <c r="K94" s="8">
        <f t="shared" si="10"/>
        <v>0.65310394605520938</v>
      </c>
      <c r="L94" s="27">
        <v>0</v>
      </c>
      <c r="M94" s="21"/>
      <c r="N94" s="27">
        <v>42144</v>
      </c>
      <c r="O94" s="27">
        <v>42144</v>
      </c>
      <c r="P94" s="9">
        <f t="shared" si="11"/>
        <v>-20747.160000000003</v>
      </c>
      <c r="Q94" s="9">
        <f>IFERROR(IF(D94=20250,O94/(#REF!/30),O94/(I94/30)),0)</f>
        <v>20.497775322125964</v>
      </c>
      <c r="R94" s="9">
        <f t="shared" si="12"/>
        <v>20.497775322125964</v>
      </c>
    </row>
    <row r="95" spans="1:18" ht="13.15" x14ac:dyDescent="0.45">
      <c r="A95" s="15" t="str">
        <f t="shared" si="8"/>
        <v>410115459</v>
      </c>
      <c r="B95" s="19" t="s">
        <v>65</v>
      </c>
      <c r="C95" s="6" t="e">
        <f>_xlfn.XLOOKUP(B:B,#REF!,#REF!)</f>
        <v>#REF!</v>
      </c>
      <c r="D95" s="19" t="s">
        <v>68</v>
      </c>
      <c r="E95" s="6" t="str">
        <f t="shared" si="9"/>
        <v>410115459</v>
      </c>
      <c r="F95" s="19" t="s">
        <v>69</v>
      </c>
      <c r="G95" s="7" t="e">
        <f>VLOOKUP(D95,#REF!,4,)</f>
        <v>#REF!</v>
      </c>
      <c r="H95" s="6" t="e">
        <f>VLOOKUP(D95,#REF!,5,)</f>
        <v>#REF!</v>
      </c>
      <c r="I95" s="27">
        <v>12870</v>
      </c>
      <c r="J95" s="27">
        <v>5000</v>
      </c>
      <c r="K95" s="8">
        <f t="shared" si="10"/>
        <v>0.38850038850038848</v>
      </c>
      <c r="L95" s="27">
        <v>0</v>
      </c>
      <c r="M95" s="21"/>
      <c r="N95" s="27">
        <v>14050</v>
      </c>
      <c r="O95" s="27">
        <v>14050</v>
      </c>
      <c r="P95" s="9">
        <f t="shared" si="11"/>
        <v>-6180</v>
      </c>
      <c r="Q95" s="9">
        <f>IFERROR(IF(D95=20250,O95/(#REF!/30),O95/(I95/30)),0)</f>
        <v>32.750582750582751</v>
      </c>
      <c r="R95" s="9">
        <f t="shared" si="12"/>
        <v>32.750582750582751</v>
      </c>
    </row>
    <row r="96" spans="1:18" ht="13.15" x14ac:dyDescent="0.45">
      <c r="A96" s="15" t="str">
        <f t="shared" si="8"/>
        <v>410115536</v>
      </c>
      <c r="B96" s="19" t="s">
        <v>65</v>
      </c>
      <c r="C96" s="6" t="e">
        <f>_xlfn.XLOOKUP(B:B,#REF!,#REF!)</f>
        <v>#REF!</v>
      </c>
      <c r="D96" s="19" t="s">
        <v>56</v>
      </c>
      <c r="E96" s="6" t="str">
        <f t="shared" si="9"/>
        <v>410115536</v>
      </c>
      <c r="F96" s="19" t="s">
        <v>57</v>
      </c>
      <c r="G96" s="7" t="e">
        <f>VLOOKUP(D96,#REF!,4,)</f>
        <v>#REF!</v>
      </c>
      <c r="H96" s="6" t="e">
        <f>VLOOKUP(D96,#REF!,5,)</f>
        <v>#REF!</v>
      </c>
      <c r="I96" s="27">
        <v>23688.12</v>
      </c>
      <c r="J96" s="27">
        <v>15072</v>
      </c>
      <c r="K96" s="8">
        <f t="shared" si="10"/>
        <v>0.6362683066448499</v>
      </c>
      <c r="L96" s="27">
        <v>0</v>
      </c>
      <c r="M96" s="21"/>
      <c r="N96" s="27">
        <v>23016</v>
      </c>
      <c r="O96" s="27">
        <v>23016</v>
      </c>
      <c r="P96" s="9">
        <f t="shared" si="11"/>
        <v>-14399.880000000001</v>
      </c>
      <c r="Q96" s="9">
        <f>IFERROR(IF(D96=20250,O96/(#REF!/30),O96/(I96/30)),0)</f>
        <v>29.148788506643839</v>
      </c>
      <c r="R96" s="9">
        <f t="shared" si="12"/>
        <v>29.148788506643839</v>
      </c>
    </row>
    <row r="97" spans="1:18" ht="13.15" x14ac:dyDescent="0.45">
      <c r="A97" s="15" t="str">
        <f t="shared" si="8"/>
        <v>410115906</v>
      </c>
      <c r="B97" s="19" t="s">
        <v>65</v>
      </c>
      <c r="C97" s="6" t="e">
        <f>_xlfn.XLOOKUP(B:B,#REF!,#REF!)</f>
        <v>#REF!</v>
      </c>
      <c r="D97" s="19" t="s">
        <v>58</v>
      </c>
      <c r="E97" s="6" t="str">
        <f t="shared" si="9"/>
        <v>410115906</v>
      </c>
      <c r="F97" s="19" t="s">
        <v>59</v>
      </c>
      <c r="G97" s="7" t="e">
        <f>VLOOKUP(D97,#REF!,4,)</f>
        <v>#REF!</v>
      </c>
      <c r="H97" s="6" t="e">
        <f>VLOOKUP(D97,#REF!,5,)</f>
        <v>#REF!</v>
      </c>
      <c r="I97" s="27">
        <v>25744.080000000002</v>
      </c>
      <c r="J97" s="27">
        <v>15468</v>
      </c>
      <c r="K97" s="8">
        <f t="shared" si="10"/>
        <v>0.60083716334007664</v>
      </c>
      <c r="L97" s="27">
        <v>2004</v>
      </c>
      <c r="M97" s="21">
        <v>46168</v>
      </c>
      <c r="N97" s="27">
        <v>12396</v>
      </c>
      <c r="O97" s="27">
        <v>14400</v>
      </c>
      <c r="P97" s="9">
        <f t="shared" si="11"/>
        <v>-4123.9199999999983</v>
      </c>
      <c r="Q97" s="9">
        <f>IFERROR(IF(D97=20250,O97/(#REF!/30),O97/(I97/30)),0)</f>
        <v>16.780556928039378</v>
      </c>
      <c r="R97" s="9">
        <f t="shared" si="12"/>
        <v>14.445262755553896</v>
      </c>
    </row>
    <row r="98" spans="1:18" ht="13.15" x14ac:dyDescent="0.45">
      <c r="A98" s="15" t="str">
        <f t="shared" si="8"/>
        <v>410116336</v>
      </c>
      <c r="B98" s="19" t="s">
        <v>65</v>
      </c>
      <c r="C98" s="6" t="e">
        <f>_xlfn.XLOOKUP(B:B,#REF!,#REF!)</f>
        <v>#REF!</v>
      </c>
      <c r="D98" s="19" t="s">
        <v>20</v>
      </c>
      <c r="E98" s="6" t="str">
        <f t="shared" si="9"/>
        <v>410116336</v>
      </c>
      <c r="F98" s="19" t="s">
        <v>21</v>
      </c>
      <c r="G98" s="7" t="e">
        <f>VLOOKUP(D98,#REF!,4,)</f>
        <v>#REF!</v>
      </c>
      <c r="H98" s="6" t="e">
        <f>VLOOKUP(D98,#REF!,5,)</f>
        <v>#REF!</v>
      </c>
      <c r="I98" s="27">
        <v>102780.36</v>
      </c>
      <c r="J98" s="27">
        <v>102360</v>
      </c>
      <c r="K98" s="8">
        <f t="shared" si="10"/>
        <v>0.99591011356644399</v>
      </c>
      <c r="L98" s="27">
        <v>15144</v>
      </c>
      <c r="M98" s="21">
        <v>46167</v>
      </c>
      <c r="N98" s="27">
        <v>38268</v>
      </c>
      <c r="O98" s="27">
        <v>53412</v>
      </c>
      <c r="P98" s="9">
        <f t="shared" si="11"/>
        <v>-52991.64</v>
      </c>
      <c r="Q98" s="9">
        <f>IFERROR(IF(D98=20250,O98/(#REF!/30),O98/(I98/30)),0)</f>
        <v>15.590138038045399</v>
      </c>
      <c r="R98" s="9">
        <f t="shared" si="12"/>
        <v>11.169838284279214</v>
      </c>
    </row>
    <row r="99" spans="1:18" ht="13.15" x14ac:dyDescent="0.45">
      <c r="A99" s="15" t="str">
        <f t="shared" si="8"/>
        <v>410116984</v>
      </c>
      <c r="B99" s="19" t="s">
        <v>65</v>
      </c>
      <c r="C99" s="6" t="e">
        <f>_xlfn.XLOOKUP(B:B,#REF!,#REF!)</f>
        <v>#REF!</v>
      </c>
      <c r="D99" s="19" t="s">
        <v>60</v>
      </c>
      <c r="E99" s="6" t="str">
        <f t="shared" si="9"/>
        <v>410116984</v>
      </c>
      <c r="F99" s="19" t="s">
        <v>61</v>
      </c>
      <c r="G99" s="7" t="e">
        <f>VLOOKUP(D99,#REF!,4,)</f>
        <v>#REF!</v>
      </c>
      <c r="H99" s="6" t="e">
        <f>VLOOKUP(D99,#REF!,5,)</f>
        <v>#REF!</v>
      </c>
      <c r="I99" s="27">
        <v>2691.12</v>
      </c>
      <c r="J99" s="27">
        <v>2652</v>
      </c>
      <c r="K99" s="8">
        <f t="shared" si="10"/>
        <v>0.9854633015250156</v>
      </c>
      <c r="L99" s="27">
        <v>0</v>
      </c>
      <c r="M99" s="21"/>
      <c r="N99" s="27">
        <v>2808</v>
      </c>
      <c r="O99" s="27">
        <v>2808</v>
      </c>
      <c r="P99" s="9">
        <f t="shared" si="11"/>
        <v>-2768.88</v>
      </c>
      <c r="Q99" s="9">
        <f>IFERROR(IF(D99=20250,O99/(#REF!/30),O99/(I99/30)),0)</f>
        <v>31.302951930794617</v>
      </c>
      <c r="R99" s="9">
        <f t="shared" si="12"/>
        <v>31.302951930794617</v>
      </c>
    </row>
    <row r="100" spans="1:18" ht="13.15" x14ac:dyDescent="0.45">
      <c r="A100" s="15" t="str">
        <f t="shared" si="8"/>
        <v>410116998</v>
      </c>
      <c r="B100" s="19" t="s">
        <v>65</v>
      </c>
      <c r="C100" s="6" t="e">
        <f>_xlfn.XLOOKUP(B:B,#REF!,#REF!)</f>
        <v>#REF!</v>
      </c>
      <c r="D100" s="19" t="s">
        <v>62</v>
      </c>
      <c r="E100" s="6" t="str">
        <f t="shared" si="9"/>
        <v>410116998</v>
      </c>
      <c r="F100" s="19" t="s">
        <v>63</v>
      </c>
      <c r="G100" s="7" t="e">
        <f>VLOOKUP(D100,#REF!,4,)</f>
        <v>#REF!</v>
      </c>
      <c r="H100" s="6" t="e">
        <f>VLOOKUP(D100,#REF!,5,)</f>
        <v>#REF!</v>
      </c>
      <c r="I100" s="27">
        <v>23215.200000000001</v>
      </c>
      <c r="J100" s="27">
        <v>12744</v>
      </c>
      <c r="K100" s="8">
        <f t="shared" si="10"/>
        <v>0.54895068748061615</v>
      </c>
      <c r="L100" s="27">
        <v>0</v>
      </c>
      <c r="M100" s="21"/>
      <c r="N100" s="27">
        <v>28944</v>
      </c>
      <c r="O100" s="27">
        <v>28944</v>
      </c>
      <c r="P100" s="9">
        <f t="shared" si="11"/>
        <v>-18472.8</v>
      </c>
      <c r="Q100" s="9">
        <f>IFERROR(IF(D100=20250,O100/(#REF!/30),O100/(I100/30)),0)</f>
        <v>37.403080740204693</v>
      </c>
      <c r="R100" s="9">
        <f t="shared" si="12"/>
        <v>37.403080740204693</v>
      </c>
    </row>
    <row r="101" spans="1:18" ht="13.15" x14ac:dyDescent="0.45">
      <c r="A101" s="15" t="str">
        <f t="shared" si="8"/>
        <v>410118098</v>
      </c>
      <c r="B101" s="19" t="s">
        <v>65</v>
      </c>
      <c r="C101" s="6" t="e">
        <f>_xlfn.XLOOKUP(B:B,#REF!,#REF!)</f>
        <v>#REF!</v>
      </c>
      <c r="D101" s="19" t="s">
        <v>64</v>
      </c>
      <c r="E101" s="6" t="str">
        <f t="shared" si="9"/>
        <v>410118098</v>
      </c>
      <c r="F101" s="19" t="s">
        <v>131</v>
      </c>
      <c r="G101" s="7" t="e">
        <f>VLOOKUP(D101,#REF!,4,)</f>
        <v>#REF!</v>
      </c>
      <c r="H101" s="6" t="e">
        <f>VLOOKUP(D101,#REF!,5,)</f>
        <v>#REF!</v>
      </c>
      <c r="I101" s="27">
        <v>5791.08</v>
      </c>
      <c r="J101" s="27">
        <v>5076</v>
      </c>
      <c r="K101" s="8">
        <f t="shared" si="10"/>
        <v>0.87652044178287991</v>
      </c>
      <c r="L101" s="27">
        <v>3000</v>
      </c>
      <c r="M101" s="21">
        <v>46165</v>
      </c>
      <c r="N101" s="27">
        <v>1416</v>
      </c>
      <c r="O101" s="27">
        <v>4416</v>
      </c>
      <c r="P101" s="9">
        <f t="shared" si="11"/>
        <v>-3700.92</v>
      </c>
      <c r="Q101" s="9">
        <f>IFERROR(IF(D101=20250,O101/(#REF!/30),O101/(I101/30)),0)</f>
        <v>22.876561884829773</v>
      </c>
      <c r="R101" s="9">
        <f t="shared" si="12"/>
        <v>7.3354193000269383</v>
      </c>
    </row>
    <row r="102" spans="1:18" ht="13.15" x14ac:dyDescent="0.45">
      <c r="A102" s="15" t="str">
        <f t="shared" si="8"/>
        <v>410120308</v>
      </c>
      <c r="B102" s="19" t="s">
        <v>65</v>
      </c>
      <c r="C102" s="6" t="e">
        <f>_xlfn.XLOOKUP(B:B,#REF!,#REF!)</f>
        <v>#REF!</v>
      </c>
      <c r="D102" s="19" t="s">
        <v>84</v>
      </c>
      <c r="E102" s="6" t="str">
        <f t="shared" si="9"/>
        <v>410120308</v>
      </c>
      <c r="F102" s="19" t="s">
        <v>108</v>
      </c>
      <c r="G102" s="7" t="e">
        <f>VLOOKUP(D102,#REF!,4,)</f>
        <v>#REF!</v>
      </c>
      <c r="H102" s="6" t="e">
        <f>VLOOKUP(D102,#REF!,5,)</f>
        <v>#REF!</v>
      </c>
      <c r="I102" s="27">
        <v>50820.959999999999</v>
      </c>
      <c r="J102" s="27">
        <v>29112</v>
      </c>
      <c r="K102" s="8">
        <f t="shared" si="10"/>
        <v>0.57283451552272924</v>
      </c>
      <c r="L102" s="27">
        <v>6012</v>
      </c>
      <c r="M102" s="21">
        <v>46168</v>
      </c>
      <c r="N102" s="27">
        <v>32388</v>
      </c>
      <c r="O102" s="27">
        <v>38400</v>
      </c>
      <c r="P102" s="9">
        <f t="shared" si="11"/>
        <v>-16691.04</v>
      </c>
      <c r="Q102" s="9">
        <f>IFERROR(IF(D102=20250,O102/(#REF!/30),O102/(I102/30)),0)</f>
        <v>22.667812650528443</v>
      </c>
      <c r="R102" s="9">
        <f t="shared" si="12"/>
        <v>19.118883232430086</v>
      </c>
    </row>
    <row r="103" spans="1:18" ht="13.15" x14ac:dyDescent="0.45">
      <c r="A103" s="15" t="str">
        <f t="shared" si="8"/>
        <v>410120827</v>
      </c>
      <c r="B103" s="19" t="s">
        <v>65</v>
      </c>
      <c r="C103" s="6" t="e">
        <f>_xlfn.XLOOKUP(B:B,#REF!,#REF!)</f>
        <v>#REF!</v>
      </c>
      <c r="D103" s="19" t="s">
        <v>85</v>
      </c>
      <c r="E103" s="6" t="str">
        <f t="shared" si="9"/>
        <v>410120827</v>
      </c>
      <c r="F103" s="19" t="s">
        <v>86</v>
      </c>
      <c r="G103" s="7" t="e">
        <f>VLOOKUP(D103,#REF!,4,)</f>
        <v>#REF!</v>
      </c>
      <c r="H103" s="6" t="e">
        <f>VLOOKUP(D103,#REF!,5,)</f>
        <v>#REF!</v>
      </c>
      <c r="I103" s="27">
        <v>6610.68</v>
      </c>
      <c r="J103" s="27">
        <v>5676</v>
      </c>
      <c r="K103" s="8">
        <f t="shared" si="10"/>
        <v>0.85861061191889487</v>
      </c>
      <c r="L103" s="27">
        <v>0</v>
      </c>
      <c r="M103" s="21"/>
      <c r="N103" s="27">
        <v>3372</v>
      </c>
      <c r="O103" s="27">
        <v>3372</v>
      </c>
      <c r="P103" s="9">
        <f t="shared" si="11"/>
        <v>-2437.3199999999997</v>
      </c>
      <c r="Q103" s="9">
        <f>IFERROR(IF(D103=20250,O103/(#REF!/30),O103/(I103/30)),0)</f>
        <v>15.302510483036539</v>
      </c>
      <c r="R103" s="9">
        <f t="shared" si="12"/>
        <v>15.302510483036539</v>
      </c>
    </row>
    <row r="104" spans="1:18" ht="13.15" x14ac:dyDescent="0.45">
      <c r="A104" s="15" t="str">
        <f t="shared" si="8"/>
        <v>410121910</v>
      </c>
      <c r="B104" s="19" t="s">
        <v>65</v>
      </c>
      <c r="C104" s="6" t="e">
        <f>_xlfn.XLOOKUP(B:B,#REF!,#REF!)</f>
        <v>#REF!</v>
      </c>
      <c r="D104" s="19" t="s">
        <v>91</v>
      </c>
      <c r="E104" s="6" t="str">
        <f t="shared" si="9"/>
        <v>410121910</v>
      </c>
      <c r="F104" s="19" t="s">
        <v>92</v>
      </c>
      <c r="G104" s="7" t="e">
        <f>VLOOKUP(D104,#REF!,4,)</f>
        <v>#REF!</v>
      </c>
      <c r="H104" s="6" t="e">
        <f>VLOOKUP(D104,#REF!,5,)</f>
        <v>#REF!</v>
      </c>
      <c r="I104" s="27">
        <v>2281.3200000000002</v>
      </c>
      <c r="J104" s="27">
        <v>1920</v>
      </c>
      <c r="K104" s="8">
        <f t="shared" si="10"/>
        <v>0.84161801062542729</v>
      </c>
      <c r="L104" s="27">
        <v>1008</v>
      </c>
      <c r="M104" s="21">
        <v>46165</v>
      </c>
      <c r="N104" s="27">
        <v>1044</v>
      </c>
      <c r="O104" s="27">
        <v>2052</v>
      </c>
      <c r="P104" s="9">
        <f t="shared" si="11"/>
        <v>-1690.6799999999998</v>
      </c>
      <c r="Q104" s="9">
        <f>IFERROR(IF(D104=20250,O104/(#REF!/30),O104/(I104/30)),0)</f>
        <v>26.984377465677763</v>
      </c>
      <c r="R104" s="9">
        <f t="shared" si="12"/>
        <v>13.728893798327283</v>
      </c>
    </row>
    <row r="105" spans="1:18" ht="13.15" x14ac:dyDescent="0.45">
      <c r="A105" s="15" t="str">
        <f t="shared" si="8"/>
        <v>410123081</v>
      </c>
      <c r="B105" s="19" t="s">
        <v>65</v>
      </c>
      <c r="C105" s="6" t="e">
        <f>_xlfn.XLOOKUP(B:B,#REF!,#REF!)</f>
        <v>#REF!</v>
      </c>
      <c r="D105" s="19" t="s">
        <v>96</v>
      </c>
      <c r="E105" s="6" t="str">
        <f t="shared" si="9"/>
        <v>410123081</v>
      </c>
      <c r="F105" s="19" t="s">
        <v>97</v>
      </c>
      <c r="G105" s="7" t="e">
        <f>VLOOKUP(D105,#REF!,4,)</f>
        <v>#REF!</v>
      </c>
      <c r="H105" s="6" t="e">
        <f>VLOOKUP(D105,#REF!,5,)</f>
        <v>#REF!</v>
      </c>
      <c r="I105" s="27">
        <v>2574.36</v>
      </c>
      <c r="J105" s="27">
        <v>2160</v>
      </c>
      <c r="K105" s="8">
        <f t="shared" si="10"/>
        <v>0.83904349042092008</v>
      </c>
      <c r="L105" s="27">
        <v>0</v>
      </c>
      <c r="M105" s="21"/>
      <c r="N105" s="27">
        <v>1128</v>
      </c>
      <c r="O105" s="27">
        <v>1128</v>
      </c>
      <c r="P105" s="9">
        <f t="shared" si="11"/>
        <v>-713.63999999999987</v>
      </c>
      <c r="Q105" s="9">
        <f>IFERROR(IF(D105=20250,O105/(#REF!/30),O105/(I105/30)),0)</f>
        <v>13.145014683261083</v>
      </c>
      <c r="R105" s="9">
        <f t="shared" si="12"/>
        <v>13.145014683261083</v>
      </c>
    </row>
    <row r="106" spans="1:18" ht="13.15" x14ac:dyDescent="0.45">
      <c r="A106" s="15" t="str">
        <f t="shared" si="8"/>
        <v>410123401</v>
      </c>
      <c r="B106" s="19" t="s">
        <v>65</v>
      </c>
      <c r="C106" s="6" t="e">
        <f>_xlfn.XLOOKUP(B:B,#REF!,#REF!)</f>
        <v>#REF!</v>
      </c>
      <c r="D106" s="19" t="s">
        <v>98</v>
      </c>
      <c r="E106" s="6" t="str">
        <f t="shared" si="9"/>
        <v>410123401</v>
      </c>
      <c r="F106" s="19" t="s">
        <v>99</v>
      </c>
      <c r="G106" s="7" t="e">
        <f>VLOOKUP(D106,#REF!,4,)</f>
        <v>#REF!</v>
      </c>
      <c r="H106" s="6" t="e">
        <f>VLOOKUP(D106,#REF!,5,)</f>
        <v>#REF!</v>
      </c>
      <c r="I106" s="27">
        <v>3000</v>
      </c>
      <c r="J106" s="27">
        <v>1068</v>
      </c>
      <c r="K106" s="8">
        <f t="shared" si="10"/>
        <v>0.35599999999999998</v>
      </c>
      <c r="L106" s="27">
        <v>0</v>
      </c>
      <c r="M106" s="21"/>
      <c r="N106" s="27">
        <v>2028</v>
      </c>
      <c r="O106" s="27">
        <v>2028</v>
      </c>
      <c r="P106" s="9">
        <f t="shared" si="11"/>
        <v>-96</v>
      </c>
      <c r="Q106" s="9">
        <f>IFERROR(IF(D106=20250,O106/(#REF!/30),O106/(I106/30)),0)</f>
        <v>20.28</v>
      </c>
      <c r="R106" s="9">
        <f t="shared" si="12"/>
        <v>20.28</v>
      </c>
    </row>
    <row r="107" spans="1:18" ht="13.15" x14ac:dyDescent="0.45">
      <c r="A107" s="15" t="str">
        <f t="shared" si="8"/>
        <v>410123890</v>
      </c>
      <c r="B107" s="19" t="s">
        <v>65</v>
      </c>
      <c r="C107" s="6" t="e">
        <f>_xlfn.XLOOKUP(B:B,#REF!,#REF!)</f>
        <v>#REF!</v>
      </c>
      <c r="D107" s="19" t="s">
        <v>103</v>
      </c>
      <c r="E107" s="6" t="str">
        <f t="shared" si="9"/>
        <v>410123890</v>
      </c>
      <c r="F107" s="19" t="s">
        <v>104</v>
      </c>
      <c r="G107" s="7" t="e">
        <f>VLOOKUP(D107,#REF!,4,)</f>
        <v>#REF!</v>
      </c>
      <c r="H107" s="6" t="e">
        <f>VLOOKUP(D107,#REF!,5,)</f>
        <v>#REF!</v>
      </c>
      <c r="I107" s="27">
        <v>0</v>
      </c>
      <c r="J107" s="27">
        <v>0</v>
      </c>
      <c r="K107" s="8">
        <f t="shared" si="10"/>
        <v>0</v>
      </c>
      <c r="L107" s="27">
        <v>0</v>
      </c>
      <c r="M107" s="21"/>
      <c r="N107" s="27">
        <v>1116</v>
      </c>
      <c r="O107" s="27">
        <v>1116</v>
      </c>
      <c r="P107" s="9">
        <f t="shared" si="11"/>
        <v>-1116</v>
      </c>
      <c r="Q107" s="9">
        <f>IFERROR(IF(D107=20250,O107/(#REF!/30),O107/(I107/30)),0)</f>
        <v>0</v>
      </c>
      <c r="R107" s="9">
        <f t="shared" si="12"/>
        <v>0</v>
      </c>
    </row>
    <row r="108" spans="1:18" ht="13.15" x14ac:dyDescent="0.45">
      <c r="A108" s="15" t="str">
        <f t="shared" si="8"/>
        <v>410124768</v>
      </c>
      <c r="B108" s="19" t="s">
        <v>65</v>
      </c>
      <c r="C108" s="6" t="e">
        <f>_xlfn.XLOOKUP(B:B,#REF!,#REF!)</f>
        <v>#REF!</v>
      </c>
      <c r="D108" s="19" t="s">
        <v>111</v>
      </c>
      <c r="E108" s="6" t="str">
        <f t="shared" si="9"/>
        <v>410124768</v>
      </c>
      <c r="F108" s="19" t="s">
        <v>112</v>
      </c>
      <c r="G108" s="7" t="e">
        <f>VLOOKUP(D108,#REF!,4,)</f>
        <v>#REF!</v>
      </c>
      <c r="H108" s="6" t="e">
        <f>VLOOKUP(D108,#REF!,5,)</f>
        <v>#REF!</v>
      </c>
      <c r="I108" s="27">
        <v>5962.32</v>
      </c>
      <c r="J108" s="27">
        <v>3420</v>
      </c>
      <c r="K108" s="8">
        <f t="shared" si="10"/>
        <v>0.57360222195387034</v>
      </c>
      <c r="L108" s="27">
        <v>0</v>
      </c>
      <c r="M108" s="21"/>
      <c r="N108" s="27">
        <v>10008</v>
      </c>
      <c r="O108" s="27">
        <v>10008</v>
      </c>
      <c r="P108" s="9">
        <f t="shared" si="11"/>
        <v>-7465.68</v>
      </c>
      <c r="Q108" s="9">
        <f>IFERROR(IF(D108=20250,O108/(#REF!/30),O108/(I108/30)),0)</f>
        <v>50.356237169423984</v>
      </c>
      <c r="R108" s="9">
        <f t="shared" si="12"/>
        <v>50.356237169423984</v>
      </c>
    </row>
    <row r="109" spans="1:18" ht="13.15" x14ac:dyDescent="0.45">
      <c r="A109" s="15" t="str">
        <f t="shared" si="8"/>
        <v>410125570</v>
      </c>
      <c r="B109" s="19" t="s">
        <v>65</v>
      </c>
      <c r="C109" s="6" t="e">
        <f>_xlfn.XLOOKUP(B:B,#REF!,#REF!)</f>
        <v>#REF!</v>
      </c>
      <c r="D109" s="19" t="s">
        <v>116</v>
      </c>
      <c r="E109" s="6" t="str">
        <f t="shared" si="9"/>
        <v>410125570</v>
      </c>
      <c r="F109" s="19" t="s">
        <v>118</v>
      </c>
      <c r="G109" s="7" t="e">
        <f>VLOOKUP(D109,#REF!,4,)</f>
        <v>#REF!</v>
      </c>
      <c r="H109" s="6" t="e">
        <f>VLOOKUP(D109,#REF!,5,)</f>
        <v>#REF!</v>
      </c>
      <c r="I109" s="27">
        <v>1254.96</v>
      </c>
      <c r="J109" s="27">
        <v>1068</v>
      </c>
      <c r="K109" s="8">
        <f t="shared" si="10"/>
        <v>0.85102314017976666</v>
      </c>
      <c r="L109" s="27">
        <v>0</v>
      </c>
      <c r="M109" s="21"/>
      <c r="N109" s="27">
        <v>4440</v>
      </c>
      <c r="O109" s="27">
        <v>4440</v>
      </c>
      <c r="P109" s="9">
        <f t="shared" si="11"/>
        <v>-4253.04</v>
      </c>
      <c r="Q109" s="9">
        <f>IFERROR(IF(D109=20250,O109/(#REF!/30),O109/(I109/30)),0)</f>
        <v>106.13884107860011</v>
      </c>
      <c r="R109" s="9">
        <f t="shared" si="12"/>
        <v>106.13884107860011</v>
      </c>
    </row>
    <row r="110" spans="1:18" ht="13.15" x14ac:dyDescent="0.45">
      <c r="A110" s="15" t="str">
        <f t="shared" si="8"/>
        <v>410125598</v>
      </c>
      <c r="B110" s="19" t="s">
        <v>65</v>
      </c>
      <c r="C110" s="6" t="e">
        <f>_xlfn.XLOOKUP(B:B,#REF!,#REF!)</f>
        <v>#REF!</v>
      </c>
      <c r="D110" s="19" t="s">
        <v>117</v>
      </c>
      <c r="E110" s="6" t="str">
        <f t="shared" si="9"/>
        <v>410125598</v>
      </c>
      <c r="F110" s="19" t="s">
        <v>119</v>
      </c>
      <c r="G110" s="7" t="e">
        <f>VLOOKUP(D110,#REF!,4,)</f>
        <v>#REF!</v>
      </c>
      <c r="H110" s="6" t="e">
        <f>VLOOKUP(D110,#REF!,5,)</f>
        <v>#REF!</v>
      </c>
      <c r="I110" s="27">
        <v>9399.7199999999993</v>
      </c>
      <c r="J110" s="27">
        <v>1704</v>
      </c>
      <c r="K110" s="8">
        <f t="shared" si="10"/>
        <v>0.18128199563391251</v>
      </c>
      <c r="L110" s="27">
        <v>3600</v>
      </c>
      <c r="M110" s="21">
        <v>46168</v>
      </c>
      <c r="N110" s="27">
        <v>4164</v>
      </c>
      <c r="O110" s="27">
        <v>7764</v>
      </c>
      <c r="P110" s="9">
        <f t="shared" si="11"/>
        <v>-68.280000000000655</v>
      </c>
      <c r="Q110" s="9">
        <f>IFERROR(IF(D110=20250,O110/(#REF!/30),O110/(I110/30)),0)</f>
        <v>24.779461515874946</v>
      </c>
      <c r="R110" s="9">
        <f t="shared" si="12"/>
        <v>13.289757567246685</v>
      </c>
    </row>
    <row r="111" spans="1:18" ht="13.15" x14ac:dyDescent="0.45">
      <c r="A111" s="15" t="str">
        <f t="shared" si="8"/>
        <v>410406151</v>
      </c>
      <c r="B111" s="19" t="s">
        <v>70</v>
      </c>
      <c r="C111" s="6" t="e">
        <f>_xlfn.XLOOKUP(B:B,#REF!,#REF!)</f>
        <v>#REF!</v>
      </c>
      <c r="D111" s="19" t="s">
        <v>23</v>
      </c>
      <c r="E111" s="6" t="str">
        <f t="shared" si="9"/>
        <v>410406151</v>
      </c>
      <c r="F111" s="19" t="s">
        <v>24</v>
      </c>
      <c r="G111" s="7" t="e">
        <f>VLOOKUP(D111,#REF!,4,)</f>
        <v>#REF!</v>
      </c>
      <c r="H111" s="6" t="e">
        <f>VLOOKUP(D111,#REF!,5,)</f>
        <v>#REF!</v>
      </c>
      <c r="I111" s="27">
        <v>12999.96</v>
      </c>
      <c r="J111" s="27">
        <v>9144</v>
      </c>
      <c r="K111" s="8">
        <f t="shared" si="10"/>
        <v>0.70338677965162977</v>
      </c>
      <c r="L111" s="27">
        <v>0</v>
      </c>
      <c r="M111" s="21"/>
      <c r="N111" s="27">
        <v>8436</v>
      </c>
      <c r="O111" s="27">
        <v>8436</v>
      </c>
      <c r="P111" s="9">
        <f t="shared" si="11"/>
        <v>-4580.0400000000009</v>
      </c>
      <c r="Q111" s="9">
        <f>IFERROR(IF(D111=20250,O111/(#REF!/30),O111/(I111/30)),0)</f>
        <v>19.467752208468333</v>
      </c>
      <c r="R111" s="9">
        <f t="shared" si="12"/>
        <v>19.467752208468333</v>
      </c>
    </row>
    <row r="112" spans="1:18" ht="13.15" x14ac:dyDescent="0.45">
      <c r="A112" s="15" t="str">
        <f t="shared" si="8"/>
        <v>410413490</v>
      </c>
      <c r="B112" s="19" t="s">
        <v>70</v>
      </c>
      <c r="C112" s="6" t="e">
        <f>_xlfn.XLOOKUP(B:B,#REF!,#REF!)</f>
        <v>#REF!</v>
      </c>
      <c r="D112" s="19" t="s">
        <v>27</v>
      </c>
      <c r="E112" s="6" t="str">
        <f t="shared" si="9"/>
        <v>410413490</v>
      </c>
      <c r="F112" s="19" t="s">
        <v>28</v>
      </c>
      <c r="G112" s="7" t="e">
        <f>VLOOKUP(D112,#REF!,4,)</f>
        <v>#REF!</v>
      </c>
      <c r="H112" s="6" t="e">
        <f>VLOOKUP(D112,#REF!,5,)</f>
        <v>#REF!</v>
      </c>
      <c r="I112" s="27">
        <v>900</v>
      </c>
      <c r="J112" s="27">
        <v>370</v>
      </c>
      <c r="K112" s="8">
        <f t="shared" si="10"/>
        <v>0.41111111111111109</v>
      </c>
      <c r="L112" s="27">
        <v>0</v>
      </c>
      <c r="M112" s="21"/>
      <c r="N112" s="27">
        <v>1430</v>
      </c>
      <c r="O112" s="27">
        <v>1430</v>
      </c>
      <c r="P112" s="9">
        <f t="shared" si="11"/>
        <v>-900</v>
      </c>
      <c r="Q112" s="9">
        <f>IFERROR(IF(D112=20250,O112/(#REF!/30),O112/(I112/30)),0)</f>
        <v>47.666666666666664</v>
      </c>
      <c r="R112" s="9">
        <f t="shared" si="12"/>
        <v>47.666666666666664</v>
      </c>
    </row>
    <row r="113" spans="1:18" ht="13.15" x14ac:dyDescent="0.45">
      <c r="A113" s="15" t="str">
        <f t="shared" si="8"/>
        <v>410415300</v>
      </c>
      <c r="B113" s="19" t="s">
        <v>70</v>
      </c>
      <c r="C113" s="6" t="e">
        <f>_xlfn.XLOOKUP(B:B,#REF!,#REF!)</f>
        <v>#REF!</v>
      </c>
      <c r="D113" s="19" t="s">
        <v>31</v>
      </c>
      <c r="E113" s="6" t="str">
        <f t="shared" si="9"/>
        <v>410415300</v>
      </c>
      <c r="F113" s="19" t="s">
        <v>32</v>
      </c>
      <c r="G113" s="7" t="e">
        <f>VLOOKUP(D113,#REF!,4,)</f>
        <v>#REF!</v>
      </c>
      <c r="H113" s="6" t="e">
        <f>VLOOKUP(D113,#REF!,5,)</f>
        <v>#REF!</v>
      </c>
      <c r="I113" s="27">
        <v>153</v>
      </c>
      <c r="J113" s="27">
        <v>72</v>
      </c>
      <c r="K113" s="8">
        <f t="shared" si="10"/>
        <v>0.47058823529411764</v>
      </c>
      <c r="L113" s="27">
        <v>0</v>
      </c>
      <c r="M113" s="21"/>
      <c r="N113" s="27">
        <v>144</v>
      </c>
      <c r="O113" s="27">
        <v>144</v>
      </c>
      <c r="P113" s="9">
        <f t="shared" si="11"/>
        <v>-63</v>
      </c>
      <c r="Q113" s="9">
        <f>IFERROR(IF(D113=20250,O113/(#REF!/30),O113/(I113/30)),0)</f>
        <v>28.235294117647062</v>
      </c>
      <c r="R113" s="9">
        <f t="shared" si="12"/>
        <v>28.235294117647062</v>
      </c>
    </row>
    <row r="114" spans="1:18" ht="13.15" x14ac:dyDescent="0.45">
      <c r="A114" s="15" t="str">
        <f t="shared" si="8"/>
        <v>410419690</v>
      </c>
      <c r="B114" s="19" t="s">
        <v>70</v>
      </c>
      <c r="C114" s="6" t="e">
        <f>_xlfn.XLOOKUP(B:B,#REF!,#REF!)</f>
        <v>#REF!</v>
      </c>
      <c r="D114" s="19" t="s">
        <v>66</v>
      </c>
      <c r="E114" s="6" t="str">
        <f t="shared" si="9"/>
        <v>410419690</v>
      </c>
      <c r="F114" s="19" t="s">
        <v>67</v>
      </c>
      <c r="G114" s="7" t="e">
        <f>VLOOKUP(D114,#REF!,4,)</f>
        <v>#REF!</v>
      </c>
      <c r="H114" s="6" t="e">
        <f>VLOOKUP(D114,#REF!,5,)</f>
        <v>#REF!</v>
      </c>
      <c r="I114" s="27">
        <v>60</v>
      </c>
      <c r="J114" s="27">
        <v>24</v>
      </c>
      <c r="K114" s="8">
        <f t="shared" si="10"/>
        <v>0.4</v>
      </c>
      <c r="L114" s="27">
        <v>0</v>
      </c>
      <c r="M114" s="21"/>
      <c r="N114" s="27">
        <v>132</v>
      </c>
      <c r="O114" s="27">
        <v>132</v>
      </c>
      <c r="P114" s="9">
        <f t="shared" si="11"/>
        <v>-96</v>
      </c>
      <c r="Q114" s="9">
        <f>IFERROR(IF(D114=20250,O114/(#REF!/30),O114/(I114/30)),0)</f>
        <v>66</v>
      </c>
      <c r="R114" s="9">
        <f t="shared" si="12"/>
        <v>66</v>
      </c>
    </row>
    <row r="115" spans="1:18" ht="13.15" x14ac:dyDescent="0.45">
      <c r="A115" s="15" t="str">
        <f t="shared" si="8"/>
        <v>410420661</v>
      </c>
      <c r="B115" s="19" t="s">
        <v>70</v>
      </c>
      <c r="C115" s="6" t="e">
        <f>_xlfn.XLOOKUP(B:B,#REF!,#REF!)</f>
        <v>#REF!</v>
      </c>
      <c r="D115" s="19" t="s">
        <v>88</v>
      </c>
      <c r="E115" s="6" t="str">
        <f t="shared" si="9"/>
        <v>410420661</v>
      </c>
      <c r="F115" s="19" t="s">
        <v>89</v>
      </c>
      <c r="G115" s="7" t="e">
        <f>VLOOKUP(D115,#REF!,4,)</f>
        <v>#REF!</v>
      </c>
      <c r="H115" s="6" t="e">
        <f>VLOOKUP(D115,#REF!,5,)</f>
        <v>#REF!</v>
      </c>
      <c r="I115" s="27">
        <v>588</v>
      </c>
      <c r="J115" s="27">
        <v>168</v>
      </c>
      <c r="K115" s="8">
        <f t="shared" si="10"/>
        <v>0.2857142857142857</v>
      </c>
      <c r="L115" s="27">
        <v>0</v>
      </c>
      <c r="M115" s="21"/>
      <c r="N115" s="27">
        <v>108</v>
      </c>
      <c r="O115" s="27">
        <v>108</v>
      </c>
      <c r="P115" s="9">
        <f t="shared" si="11"/>
        <v>312</v>
      </c>
      <c r="Q115" s="9">
        <f>IFERROR(IF(D115=20250,O115/(#REF!/30),O115/(I115/30)),0)</f>
        <v>5.5102040816326525</v>
      </c>
      <c r="R115" s="9">
        <f t="shared" si="12"/>
        <v>5.5102040816326525</v>
      </c>
    </row>
    <row r="116" spans="1:18" ht="13.15" x14ac:dyDescent="0.45">
      <c r="A116" s="15" t="str">
        <f t="shared" si="8"/>
        <v>410423638</v>
      </c>
      <c r="B116" s="19" t="s">
        <v>70</v>
      </c>
      <c r="C116" s="6" t="e">
        <f>_xlfn.XLOOKUP(B:B,#REF!,#REF!)</f>
        <v>#REF!</v>
      </c>
      <c r="D116" s="19" t="s">
        <v>100</v>
      </c>
      <c r="E116" s="6" t="str">
        <f t="shared" si="9"/>
        <v>410423638</v>
      </c>
      <c r="F116" s="19" t="s">
        <v>101</v>
      </c>
      <c r="G116" s="7" t="e">
        <f>VLOOKUP(D116,#REF!,4,)</f>
        <v>#REF!</v>
      </c>
      <c r="H116" s="6" t="e">
        <f>VLOOKUP(D116,#REF!,5,)</f>
        <v>#REF!</v>
      </c>
      <c r="I116" s="27">
        <v>12000</v>
      </c>
      <c r="J116" s="27">
        <v>10200</v>
      </c>
      <c r="K116" s="8">
        <f t="shared" si="10"/>
        <v>0.85</v>
      </c>
      <c r="L116" s="27">
        <v>5544</v>
      </c>
      <c r="M116" s="21">
        <v>46168</v>
      </c>
      <c r="N116" s="27">
        <v>624</v>
      </c>
      <c r="O116" s="27">
        <v>6168</v>
      </c>
      <c r="P116" s="9">
        <f t="shared" si="11"/>
        <v>-4368</v>
      </c>
      <c r="Q116" s="9">
        <f>IFERROR(IF(D116=20250,O116/(#REF!/30),O116/(I116/30)),0)</f>
        <v>15.42</v>
      </c>
      <c r="R116" s="9">
        <f t="shared" si="12"/>
        <v>1.56</v>
      </c>
    </row>
    <row r="117" spans="1:18" ht="13.15" x14ac:dyDescent="0.45">
      <c r="A117" s="15" t="str">
        <f t="shared" si="8"/>
        <v>410425885</v>
      </c>
      <c r="B117" s="19" t="s">
        <v>70</v>
      </c>
      <c r="C117" s="6" t="e">
        <f>_xlfn.XLOOKUP(B:B,#REF!,#REF!)</f>
        <v>#REF!</v>
      </c>
      <c r="D117" s="19" t="s">
        <v>122</v>
      </c>
      <c r="E117" s="6" t="str">
        <f t="shared" si="9"/>
        <v>410425885</v>
      </c>
      <c r="F117" s="19" t="s">
        <v>123</v>
      </c>
      <c r="G117" s="7" t="e">
        <f>VLOOKUP(D117,#REF!,4,)</f>
        <v>#REF!</v>
      </c>
      <c r="H117" s="6" t="e">
        <f>VLOOKUP(D117,#REF!,5,)</f>
        <v>#REF!</v>
      </c>
      <c r="I117" s="27">
        <v>180</v>
      </c>
      <c r="J117" s="27">
        <v>0</v>
      </c>
      <c r="K117" s="8">
        <f t="shared" si="10"/>
        <v>0</v>
      </c>
      <c r="L117" s="27">
        <v>0</v>
      </c>
      <c r="M117" s="21"/>
      <c r="N117" s="27">
        <v>1200</v>
      </c>
      <c r="O117" s="27">
        <v>1200</v>
      </c>
      <c r="P117" s="9">
        <f t="shared" si="11"/>
        <v>-1020</v>
      </c>
      <c r="Q117" s="9">
        <f>IFERROR(IF(D117=20250,O117/(#REF!/30),O117/(I117/30)),0)</f>
        <v>200</v>
      </c>
      <c r="R117" s="9">
        <f t="shared" si="12"/>
        <v>200</v>
      </c>
    </row>
    <row r="118" spans="1:18" ht="13.15" x14ac:dyDescent="0.45">
      <c r="A118" s="15" t="str">
        <f t="shared" si="8"/>
        <v>410426193</v>
      </c>
      <c r="B118" s="19" t="s">
        <v>70</v>
      </c>
      <c r="C118" s="6" t="e">
        <f>_xlfn.XLOOKUP(B:B,#REF!,#REF!)</f>
        <v>#REF!</v>
      </c>
      <c r="D118" s="19" t="s">
        <v>130</v>
      </c>
      <c r="E118" s="6" t="str">
        <f t="shared" si="9"/>
        <v>410426193</v>
      </c>
      <c r="F118" s="19" t="s">
        <v>134</v>
      </c>
      <c r="G118" s="7" t="e">
        <f>VLOOKUP(D118,#REF!,4,)</f>
        <v>#REF!</v>
      </c>
      <c r="H118" s="6" t="e">
        <f>VLOOKUP(D118,#REF!,5,)</f>
        <v>#REF!</v>
      </c>
      <c r="I118" s="27">
        <v>0</v>
      </c>
      <c r="J118" s="27">
        <v>2556</v>
      </c>
      <c r="K118" s="8">
        <f t="shared" si="10"/>
        <v>0</v>
      </c>
      <c r="L118" s="27">
        <v>0</v>
      </c>
      <c r="M118" s="21"/>
      <c r="N118" s="27">
        <v>0</v>
      </c>
      <c r="O118" s="27">
        <v>0</v>
      </c>
      <c r="P118" s="9">
        <f t="shared" si="11"/>
        <v>-2556</v>
      </c>
      <c r="Q118" s="9">
        <f>IFERROR(IF(D118=20250,O118/(#REF!/30),O118/(I118/30)),0)</f>
        <v>0</v>
      </c>
      <c r="R118" s="9">
        <f t="shared" si="12"/>
        <v>0</v>
      </c>
    </row>
    <row r="119" spans="1:18" ht="13.15" x14ac:dyDescent="0.45">
      <c r="A119" s="15" t="str">
        <f t="shared" si="8"/>
        <v>410404145</v>
      </c>
      <c r="B119" s="19" t="s">
        <v>70</v>
      </c>
      <c r="C119" s="6" t="e">
        <f>_xlfn.XLOOKUP(B:B,#REF!,#REF!)</f>
        <v>#REF!</v>
      </c>
      <c r="D119" s="19" t="s">
        <v>25</v>
      </c>
      <c r="E119" s="6" t="str">
        <f t="shared" si="9"/>
        <v>410404145</v>
      </c>
      <c r="F119" s="19" t="s">
        <v>26</v>
      </c>
      <c r="G119" s="7" t="e">
        <f>VLOOKUP(D119,#REF!,4,)</f>
        <v>#REF!</v>
      </c>
      <c r="H119" s="6" t="e">
        <f>VLOOKUP(D119,#REF!,5,)</f>
        <v>#REF!</v>
      </c>
      <c r="I119" s="27">
        <v>27</v>
      </c>
      <c r="J119" s="27">
        <v>63</v>
      </c>
      <c r="K119" s="8">
        <f t="shared" si="10"/>
        <v>2.3333333333333335</v>
      </c>
      <c r="L119" s="27">
        <v>0</v>
      </c>
      <c r="M119" s="21"/>
      <c r="N119" s="27">
        <v>9</v>
      </c>
      <c r="O119" s="27">
        <v>9</v>
      </c>
      <c r="P119" s="9">
        <f t="shared" si="11"/>
        <v>-45</v>
      </c>
      <c r="Q119" s="9">
        <f>IFERROR(IF(D119=20250,O119/(#REF!/30),O119/(I119/30)),0)</f>
        <v>10</v>
      </c>
      <c r="R119" s="9">
        <f t="shared" si="12"/>
        <v>10</v>
      </c>
    </row>
    <row r="120" spans="1:18" ht="13.15" x14ac:dyDescent="0.45">
      <c r="A120" s="15" t="str">
        <f t="shared" si="8"/>
        <v>410414248</v>
      </c>
      <c r="B120" s="19" t="s">
        <v>70</v>
      </c>
      <c r="C120" s="6" t="e">
        <f>_xlfn.XLOOKUP(B:B,#REF!,#REF!)</f>
        <v>#REF!</v>
      </c>
      <c r="D120" s="19" t="s">
        <v>29</v>
      </c>
      <c r="E120" s="6" t="str">
        <f t="shared" si="9"/>
        <v>410414248</v>
      </c>
      <c r="F120" s="19" t="s">
        <v>30</v>
      </c>
      <c r="G120" s="7" t="e">
        <f>VLOOKUP(D120,#REF!,4,)</f>
        <v>#REF!</v>
      </c>
      <c r="H120" s="6" t="e">
        <f>VLOOKUP(D120,#REF!,5,)</f>
        <v>#REF!</v>
      </c>
      <c r="I120" s="27">
        <v>380</v>
      </c>
      <c r="J120" s="27">
        <v>300</v>
      </c>
      <c r="K120" s="8">
        <f t="shared" si="10"/>
        <v>0.78947368421052633</v>
      </c>
      <c r="L120" s="27">
        <v>0</v>
      </c>
      <c r="M120" s="21"/>
      <c r="N120" s="27">
        <v>0</v>
      </c>
      <c r="O120" s="27">
        <v>0</v>
      </c>
      <c r="P120" s="9">
        <f t="shared" si="11"/>
        <v>80</v>
      </c>
      <c r="Q120" s="9">
        <f>IFERROR(IF(D120=20250,O120/(#REF!/30),O120/(I120/30)),0)</f>
        <v>0</v>
      </c>
      <c r="R120" s="9">
        <f t="shared" si="12"/>
        <v>0</v>
      </c>
    </row>
    <row r="121" spans="1:18" ht="13.15" x14ac:dyDescent="0.45">
      <c r="A121" s="15" t="str">
        <f t="shared" si="8"/>
        <v>410415305</v>
      </c>
      <c r="B121" s="19" t="s">
        <v>70</v>
      </c>
      <c r="C121" s="6" t="e">
        <f>_xlfn.XLOOKUP(B:B,#REF!,#REF!)</f>
        <v>#REF!</v>
      </c>
      <c r="D121" s="19" t="s">
        <v>33</v>
      </c>
      <c r="E121" s="6" t="str">
        <f t="shared" si="9"/>
        <v>410415305</v>
      </c>
      <c r="F121" s="19" t="s">
        <v>34</v>
      </c>
      <c r="G121" s="7" t="e">
        <f>VLOOKUP(D121,#REF!,4,)</f>
        <v>#REF!</v>
      </c>
      <c r="H121" s="6" t="e">
        <f>VLOOKUP(D121,#REF!,5,)</f>
        <v>#REF!</v>
      </c>
      <c r="I121" s="27">
        <v>81</v>
      </c>
      <c r="J121" s="27">
        <v>63</v>
      </c>
      <c r="K121" s="8">
        <f t="shared" si="10"/>
        <v>0.77777777777777779</v>
      </c>
      <c r="L121" s="27">
        <v>0</v>
      </c>
      <c r="M121" s="21"/>
      <c r="N121" s="27">
        <v>99</v>
      </c>
      <c r="O121" s="27">
        <v>99</v>
      </c>
      <c r="P121" s="9">
        <f t="shared" si="11"/>
        <v>-81</v>
      </c>
      <c r="Q121" s="9">
        <f>IFERROR(IF(D121=20250,O121/(#REF!/30),O121/(I121/30)),0)</f>
        <v>36.666666666666664</v>
      </c>
      <c r="R121" s="9">
        <f t="shared" si="12"/>
        <v>36.666666666666664</v>
      </c>
    </row>
    <row r="122" spans="1:18" ht="13.15" x14ac:dyDescent="0.45">
      <c r="A122" s="15" t="str">
        <f t="shared" si="8"/>
        <v>410416407</v>
      </c>
      <c r="B122" s="19" t="s">
        <v>70</v>
      </c>
      <c r="C122" s="6" t="e">
        <f>_xlfn.XLOOKUP(B:B,#REF!,#REF!)</f>
        <v>#REF!</v>
      </c>
      <c r="D122" s="19" t="s">
        <v>37</v>
      </c>
      <c r="E122" s="6" t="str">
        <f t="shared" si="9"/>
        <v>410416407</v>
      </c>
      <c r="F122" s="19" t="s">
        <v>38</v>
      </c>
      <c r="G122" s="7" t="e">
        <f>VLOOKUP(D122,#REF!,4,)</f>
        <v>#REF!</v>
      </c>
      <c r="H122" s="6" t="e">
        <f>VLOOKUP(D122,#REF!,5,)</f>
        <v>#REF!</v>
      </c>
      <c r="I122" s="27">
        <v>126</v>
      </c>
      <c r="J122" s="27">
        <v>126</v>
      </c>
      <c r="K122" s="8">
        <f t="shared" si="10"/>
        <v>1</v>
      </c>
      <c r="L122" s="27">
        <v>0</v>
      </c>
      <c r="M122" s="21"/>
      <c r="N122" s="27">
        <v>144</v>
      </c>
      <c r="O122" s="27">
        <v>144</v>
      </c>
      <c r="P122" s="9">
        <f t="shared" si="11"/>
        <v>-144</v>
      </c>
      <c r="Q122" s="9">
        <f>IFERROR(IF(D122=20250,O122/(#REF!/30),O122/(I122/30)),0)</f>
        <v>34.285714285714285</v>
      </c>
      <c r="R122" s="9">
        <f t="shared" si="12"/>
        <v>34.285714285714285</v>
      </c>
    </row>
    <row r="123" spans="1:18" ht="13.15" x14ac:dyDescent="0.45">
      <c r="A123" s="15" t="str">
        <f t="shared" si="8"/>
        <v>410400189</v>
      </c>
      <c r="B123" s="19" t="s">
        <v>70</v>
      </c>
      <c r="C123" s="6" t="e">
        <f>_xlfn.XLOOKUP(B:B,#REF!,#REF!)</f>
        <v>#REF!</v>
      </c>
      <c r="D123" s="19" t="s">
        <v>39</v>
      </c>
      <c r="E123" s="6" t="str">
        <f t="shared" si="9"/>
        <v>410400189</v>
      </c>
      <c r="F123" s="19" t="s">
        <v>109</v>
      </c>
      <c r="G123" s="7" t="e">
        <f>VLOOKUP(D123,#REF!,4,)</f>
        <v>#REF!</v>
      </c>
      <c r="H123" s="6" t="e">
        <f>VLOOKUP(D123,#REF!,5,)</f>
        <v>#REF!</v>
      </c>
      <c r="I123" s="27">
        <v>11499.96</v>
      </c>
      <c r="J123" s="27">
        <v>6804</v>
      </c>
      <c r="K123" s="8">
        <f t="shared" si="10"/>
        <v>0.59165423184080645</v>
      </c>
      <c r="L123" s="27">
        <v>0</v>
      </c>
      <c r="M123" s="21"/>
      <c r="N123" s="27">
        <v>10908</v>
      </c>
      <c r="O123" s="27">
        <v>10908</v>
      </c>
      <c r="P123" s="9">
        <f t="shared" si="11"/>
        <v>-6212.0400000000009</v>
      </c>
      <c r="Q123" s="9">
        <f>IFERROR(IF(D123=20250,O123/(#REF!/30),O123/(I123/30)),0)</f>
        <v>28.455751150438786</v>
      </c>
      <c r="R123" s="9">
        <f t="shared" si="12"/>
        <v>28.455751150438786</v>
      </c>
    </row>
    <row r="124" spans="1:18" ht="13.15" x14ac:dyDescent="0.45">
      <c r="A124" s="15" t="str">
        <f t="shared" si="8"/>
        <v>410401167</v>
      </c>
      <c r="B124" s="19" t="s">
        <v>70</v>
      </c>
      <c r="C124" s="6" t="e">
        <f>_xlfn.XLOOKUP(B:B,#REF!,#REF!)</f>
        <v>#REF!</v>
      </c>
      <c r="D124" s="19" t="s">
        <v>40</v>
      </c>
      <c r="E124" s="6" t="str">
        <f t="shared" si="9"/>
        <v>410401167</v>
      </c>
      <c r="F124" s="19" t="s">
        <v>41</v>
      </c>
      <c r="G124" s="7" t="e">
        <f>VLOOKUP(D124,#REF!,4,)</f>
        <v>#REF!</v>
      </c>
      <c r="H124" s="6" t="e">
        <f>VLOOKUP(D124,#REF!,5,)</f>
        <v>#REF!</v>
      </c>
      <c r="I124" s="27">
        <v>864</v>
      </c>
      <c r="J124" s="27">
        <v>1032</v>
      </c>
      <c r="K124" s="8">
        <f t="shared" si="10"/>
        <v>1.1944444444444444</v>
      </c>
      <c r="L124" s="27">
        <v>0</v>
      </c>
      <c r="M124" s="21"/>
      <c r="N124" s="27">
        <v>876</v>
      </c>
      <c r="O124" s="27">
        <v>876</v>
      </c>
      <c r="P124" s="9">
        <f t="shared" si="11"/>
        <v>-1044</v>
      </c>
      <c r="Q124" s="9">
        <f>IFERROR(IF(D124=20250,O124/(#REF!/30),O124/(I124/30)),0)</f>
        <v>30.416666666666664</v>
      </c>
      <c r="R124" s="9">
        <f t="shared" si="12"/>
        <v>30.416666666666664</v>
      </c>
    </row>
    <row r="125" spans="1:18" ht="13.15" x14ac:dyDescent="0.45">
      <c r="A125" s="15" t="str">
        <f t="shared" si="8"/>
        <v>410401296</v>
      </c>
      <c r="B125" s="19" t="s">
        <v>70</v>
      </c>
      <c r="C125" s="6" t="e">
        <f>_xlfn.XLOOKUP(B:B,#REF!,#REF!)</f>
        <v>#REF!</v>
      </c>
      <c r="D125" s="19" t="s">
        <v>14</v>
      </c>
      <c r="E125" s="6" t="str">
        <f t="shared" si="9"/>
        <v>410401296</v>
      </c>
      <c r="F125" s="19" t="s">
        <v>15</v>
      </c>
      <c r="G125" s="7" t="e">
        <f>VLOOKUP(D125,#REF!,4,)</f>
        <v>#REF!</v>
      </c>
      <c r="H125" s="6" t="e">
        <f>VLOOKUP(D125,#REF!,5,)</f>
        <v>#REF!</v>
      </c>
      <c r="I125" s="27">
        <v>3048</v>
      </c>
      <c r="J125" s="27">
        <v>1668</v>
      </c>
      <c r="K125" s="8">
        <f t="shared" si="10"/>
        <v>0.547244094488189</v>
      </c>
      <c r="L125" s="27">
        <v>0</v>
      </c>
      <c r="M125" s="21"/>
      <c r="N125" s="27">
        <v>2220</v>
      </c>
      <c r="O125" s="27">
        <v>2220</v>
      </c>
      <c r="P125" s="9">
        <f t="shared" si="11"/>
        <v>-840</v>
      </c>
      <c r="Q125" s="9">
        <f>IFERROR(IF(D125=20250,O125/(#REF!/30),O125/(I125/30)),0)</f>
        <v>21.850393700787404</v>
      </c>
      <c r="R125" s="9">
        <f t="shared" si="12"/>
        <v>21.850393700787404</v>
      </c>
    </row>
    <row r="126" spans="1:18" ht="13.15" x14ac:dyDescent="0.45">
      <c r="A126" s="15" t="str">
        <f t="shared" si="8"/>
        <v>410402122</v>
      </c>
      <c r="B126" s="19" t="s">
        <v>70</v>
      </c>
      <c r="C126" s="6" t="e">
        <f>_xlfn.XLOOKUP(B:B,#REF!,#REF!)</f>
        <v>#REF!</v>
      </c>
      <c r="D126" s="19" t="s">
        <v>42</v>
      </c>
      <c r="E126" s="6" t="str">
        <f t="shared" si="9"/>
        <v>410402122</v>
      </c>
      <c r="F126" s="19" t="s">
        <v>43</v>
      </c>
      <c r="G126" s="7" t="e">
        <f>VLOOKUP(D126,#REF!,4,)</f>
        <v>#REF!</v>
      </c>
      <c r="H126" s="6" t="e">
        <f>VLOOKUP(D126,#REF!,5,)</f>
        <v>#REF!</v>
      </c>
      <c r="I126" s="27">
        <v>9000</v>
      </c>
      <c r="J126" s="27">
        <v>4008</v>
      </c>
      <c r="K126" s="8">
        <f t="shared" si="10"/>
        <v>0.44533333333333336</v>
      </c>
      <c r="L126" s="27">
        <v>0</v>
      </c>
      <c r="M126" s="21"/>
      <c r="N126" s="27">
        <v>8124</v>
      </c>
      <c r="O126" s="27">
        <v>8124</v>
      </c>
      <c r="P126" s="9">
        <f t="shared" si="11"/>
        <v>-3132</v>
      </c>
      <c r="Q126" s="9">
        <f>IFERROR(IF(D126=20250,O126/(#REF!/30),O126/(I126/30)),0)</f>
        <v>27.08</v>
      </c>
      <c r="R126" s="9">
        <f t="shared" si="12"/>
        <v>27.08</v>
      </c>
    </row>
    <row r="127" spans="1:18" ht="13.15" x14ac:dyDescent="0.45">
      <c r="A127" s="15" t="str">
        <f t="shared" si="8"/>
        <v>410405159</v>
      </c>
      <c r="B127" s="19" t="s">
        <v>70</v>
      </c>
      <c r="C127" s="6" t="e">
        <f>_xlfn.XLOOKUP(B:B,#REF!,#REF!)</f>
        <v>#REF!</v>
      </c>
      <c r="D127" s="19" t="s">
        <v>44</v>
      </c>
      <c r="E127" s="6" t="str">
        <f t="shared" si="9"/>
        <v>410405159</v>
      </c>
      <c r="F127" s="19" t="s">
        <v>45</v>
      </c>
      <c r="G127" s="7" t="e">
        <f>VLOOKUP(D127,#REF!,4,)</f>
        <v>#REF!</v>
      </c>
      <c r="H127" s="6" t="e">
        <f>VLOOKUP(D127,#REF!,5,)</f>
        <v>#REF!</v>
      </c>
      <c r="I127" s="27">
        <v>24</v>
      </c>
      <c r="J127" s="27">
        <v>48</v>
      </c>
      <c r="K127" s="8">
        <f t="shared" si="10"/>
        <v>2</v>
      </c>
      <c r="L127" s="27">
        <v>0</v>
      </c>
      <c r="M127" s="21"/>
      <c r="N127" s="27">
        <v>0</v>
      </c>
      <c r="O127" s="27">
        <v>0</v>
      </c>
      <c r="P127" s="9">
        <f t="shared" si="11"/>
        <v>-24</v>
      </c>
      <c r="Q127" s="9">
        <f>IFERROR(IF(D127=20250,O127/(#REF!/30),O127/(I127/30)),0)</f>
        <v>0</v>
      </c>
      <c r="R127" s="9">
        <f t="shared" si="12"/>
        <v>0</v>
      </c>
    </row>
    <row r="128" spans="1:18" ht="13.15" x14ac:dyDescent="0.45">
      <c r="A128" s="15" t="str">
        <f t="shared" si="8"/>
        <v>410406982</v>
      </c>
      <c r="B128" s="19" t="s">
        <v>70</v>
      </c>
      <c r="C128" s="6" t="e">
        <f>_xlfn.XLOOKUP(B:B,#REF!,#REF!)</f>
        <v>#REF!</v>
      </c>
      <c r="D128" s="19" t="s">
        <v>46</v>
      </c>
      <c r="E128" s="6" t="str">
        <f t="shared" si="9"/>
        <v>410406982</v>
      </c>
      <c r="F128" s="19" t="s">
        <v>47</v>
      </c>
      <c r="G128" s="7" t="e">
        <f>VLOOKUP(D128,#REF!,4,)</f>
        <v>#REF!</v>
      </c>
      <c r="H128" s="6" t="e">
        <f>VLOOKUP(D128,#REF!,5,)</f>
        <v>#REF!</v>
      </c>
      <c r="I128" s="27">
        <v>564</v>
      </c>
      <c r="J128" s="27">
        <v>132</v>
      </c>
      <c r="K128" s="8">
        <f t="shared" si="10"/>
        <v>0.23404255319148937</v>
      </c>
      <c r="L128" s="27">
        <v>0</v>
      </c>
      <c r="M128" s="21"/>
      <c r="N128" s="27">
        <v>1416</v>
      </c>
      <c r="O128" s="27">
        <v>1416</v>
      </c>
      <c r="P128" s="9">
        <f t="shared" si="11"/>
        <v>-984</v>
      </c>
      <c r="Q128" s="9">
        <f>IFERROR(IF(D128=20250,O128/(#REF!/30),O128/(I128/30)),0)</f>
        <v>75.319148936170208</v>
      </c>
      <c r="R128" s="9">
        <f t="shared" si="12"/>
        <v>75.319148936170208</v>
      </c>
    </row>
    <row r="129" spans="1:18" ht="13.15" x14ac:dyDescent="0.45">
      <c r="A129" s="15" t="str">
        <f t="shared" si="8"/>
        <v>410407310</v>
      </c>
      <c r="B129" s="19" t="s">
        <v>70</v>
      </c>
      <c r="C129" s="6" t="e">
        <f>_xlfn.XLOOKUP(B:B,#REF!,#REF!)</f>
        <v>#REF!</v>
      </c>
      <c r="D129" s="19" t="s">
        <v>16</v>
      </c>
      <c r="E129" s="6" t="str">
        <f t="shared" si="9"/>
        <v>410407310</v>
      </c>
      <c r="F129" s="19" t="s">
        <v>17</v>
      </c>
      <c r="G129" s="7" t="e">
        <f>VLOOKUP(D129,#REF!,4,)</f>
        <v>#REF!</v>
      </c>
      <c r="H129" s="6" t="e">
        <f>VLOOKUP(D129,#REF!,5,)</f>
        <v>#REF!</v>
      </c>
      <c r="I129" s="27">
        <v>19999.919999999998</v>
      </c>
      <c r="J129" s="27">
        <v>20592</v>
      </c>
      <c r="K129" s="8">
        <f t="shared" si="10"/>
        <v>1.0296041184164737</v>
      </c>
      <c r="L129" s="27">
        <v>0</v>
      </c>
      <c r="M129" s="21"/>
      <c r="N129" s="27">
        <v>19200</v>
      </c>
      <c r="O129" s="27">
        <v>19200</v>
      </c>
      <c r="P129" s="9">
        <f t="shared" si="11"/>
        <v>-19792.080000000002</v>
      </c>
      <c r="Q129" s="9">
        <f>IFERROR(IF(D129=20250,O129/(#REF!/30),O129/(I129/30)),0)</f>
        <v>28.800115200460802</v>
      </c>
      <c r="R129" s="9">
        <f t="shared" si="12"/>
        <v>28.800115200460802</v>
      </c>
    </row>
    <row r="130" spans="1:18" ht="13.15" x14ac:dyDescent="0.45">
      <c r="A130" s="15" t="str">
        <f t="shared" si="8"/>
        <v>410408529</v>
      </c>
      <c r="B130" s="19" t="s">
        <v>70</v>
      </c>
      <c r="C130" s="6" t="e">
        <f>_xlfn.XLOOKUP(B:B,#REF!,#REF!)</f>
        <v>#REF!</v>
      </c>
      <c r="D130" s="19" t="s">
        <v>48</v>
      </c>
      <c r="E130" s="6" t="str">
        <f t="shared" si="9"/>
        <v>410408529</v>
      </c>
      <c r="F130" s="19" t="s">
        <v>49</v>
      </c>
      <c r="G130" s="7" t="e">
        <f>VLOOKUP(D130,#REF!,4,)</f>
        <v>#REF!</v>
      </c>
      <c r="H130" s="6" t="e">
        <f>VLOOKUP(D130,#REF!,5,)</f>
        <v>#REF!</v>
      </c>
      <c r="I130" s="27">
        <v>6000</v>
      </c>
      <c r="J130" s="27">
        <v>2364</v>
      </c>
      <c r="K130" s="8">
        <f t="shared" si="10"/>
        <v>0.39400000000000002</v>
      </c>
      <c r="L130" s="27">
        <v>0</v>
      </c>
      <c r="M130" s="21"/>
      <c r="N130" s="27">
        <v>6600</v>
      </c>
      <c r="O130" s="27">
        <v>6600</v>
      </c>
      <c r="P130" s="9">
        <f t="shared" si="11"/>
        <v>-2964</v>
      </c>
      <c r="Q130" s="9">
        <f>IFERROR(IF(D130=20250,O130/(#REF!/30),O130/(I130/30)),0)</f>
        <v>33</v>
      </c>
      <c r="R130" s="9">
        <f t="shared" si="12"/>
        <v>33</v>
      </c>
    </row>
    <row r="131" spans="1:18" ht="13.15" x14ac:dyDescent="0.45">
      <c r="A131" s="15" t="str">
        <f t="shared" si="8"/>
        <v>410413179</v>
      </c>
      <c r="B131" s="19" t="s">
        <v>70</v>
      </c>
      <c r="C131" s="6" t="e">
        <f>_xlfn.XLOOKUP(B:B,#REF!,#REF!)</f>
        <v>#REF!</v>
      </c>
      <c r="D131" s="19" t="s">
        <v>18</v>
      </c>
      <c r="E131" s="6" t="str">
        <f t="shared" si="9"/>
        <v>410413179</v>
      </c>
      <c r="F131" s="19" t="s">
        <v>19</v>
      </c>
      <c r="G131" s="7" t="e">
        <f>VLOOKUP(D131,#REF!,4,)</f>
        <v>#REF!</v>
      </c>
      <c r="H131" s="6" t="e">
        <f>VLOOKUP(D131,#REF!,5,)</f>
        <v>#REF!</v>
      </c>
      <c r="I131" s="27">
        <v>12000</v>
      </c>
      <c r="J131" s="27">
        <v>6576</v>
      </c>
      <c r="K131" s="8">
        <f t="shared" si="10"/>
        <v>0.54800000000000004</v>
      </c>
      <c r="L131" s="27">
        <v>0</v>
      </c>
      <c r="M131" s="21"/>
      <c r="N131" s="27">
        <v>9984</v>
      </c>
      <c r="O131" s="27">
        <v>9984</v>
      </c>
      <c r="P131" s="9">
        <f t="shared" si="11"/>
        <v>-4560</v>
      </c>
      <c r="Q131" s="9">
        <f>IFERROR(IF(D131=20250,O131/(#REF!/30),O131/(I131/30)),0)</f>
        <v>24.96</v>
      </c>
      <c r="R131" s="9">
        <f t="shared" si="12"/>
        <v>24.96</v>
      </c>
    </row>
    <row r="132" spans="1:18" ht="13.15" x14ac:dyDescent="0.45">
      <c r="A132" s="15" t="str">
        <f t="shared" ref="A132:A195" si="13">B132&amp;D132</f>
        <v>410413678</v>
      </c>
      <c r="B132" s="19" t="s">
        <v>70</v>
      </c>
      <c r="C132" s="6" t="e">
        <f>_xlfn.XLOOKUP(B:B,#REF!,#REF!)</f>
        <v>#REF!</v>
      </c>
      <c r="D132" s="19" t="s">
        <v>50</v>
      </c>
      <c r="E132" s="6" t="str">
        <f t="shared" ref="E132:E195" si="14">B132&amp;D132</f>
        <v>410413678</v>
      </c>
      <c r="F132" s="19" t="s">
        <v>51</v>
      </c>
      <c r="G132" s="7" t="e">
        <f>VLOOKUP(D132,#REF!,4,)</f>
        <v>#REF!</v>
      </c>
      <c r="H132" s="6" t="e">
        <f>VLOOKUP(D132,#REF!,5,)</f>
        <v>#REF!</v>
      </c>
      <c r="I132" s="27">
        <v>3199.92</v>
      </c>
      <c r="J132" s="27">
        <v>3432</v>
      </c>
      <c r="K132" s="8">
        <f t="shared" ref="K132:K195" si="15">IFERROR(J132/I132,0)</f>
        <v>1.0725268131703292</v>
      </c>
      <c r="L132" s="27">
        <v>0</v>
      </c>
      <c r="M132" s="21"/>
      <c r="N132" s="27">
        <v>2784</v>
      </c>
      <c r="O132" s="27">
        <v>2784</v>
      </c>
      <c r="P132" s="9">
        <f t="shared" ref="P132:P195" si="16">I132-J132-O132</f>
        <v>-3016.08</v>
      </c>
      <c r="Q132" s="9">
        <f>IFERROR(IF(D132=20250,O132/(#REF!/30),O132/(I132/30)),0)</f>
        <v>26.100652516312909</v>
      </c>
      <c r="R132" s="9">
        <f t="shared" ref="R132:R195" si="17">IFERROR(N132/(I132/30),0)</f>
        <v>26.100652516312909</v>
      </c>
    </row>
    <row r="133" spans="1:18" ht="13.15" x14ac:dyDescent="0.45">
      <c r="A133" s="15" t="str">
        <f t="shared" si="13"/>
        <v>410414654</v>
      </c>
      <c r="B133" s="19" t="s">
        <v>70</v>
      </c>
      <c r="C133" s="6" t="e">
        <f>_xlfn.XLOOKUP(B:B,#REF!,#REF!)</f>
        <v>#REF!</v>
      </c>
      <c r="D133" s="19" t="s">
        <v>52</v>
      </c>
      <c r="E133" s="6" t="str">
        <f t="shared" si="14"/>
        <v>410414654</v>
      </c>
      <c r="F133" s="19" t="s">
        <v>53</v>
      </c>
      <c r="G133" s="7" t="e">
        <f>VLOOKUP(D133,#REF!,4,)</f>
        <v>#REF!</v>
      </c>
      <c r="H133" s="6" t="e">
        <f>VLOOKUP(D133,#REF!,5,)</f>
        <v>#REF!</v>
      </c>
      <c r="I133" s="27">
        <v>3000</v>
      </c>
      <c r="J133" s="27">
        <v>1344</v>
      </c>
      <c r="K133" s="8">
        <f t="shared" si="15"/>
        <v>0.44800000000000001</v>
      </c>
      <c r="L133" s="27">
        <v>0</v>
      </c>
      <c r="M133" s="21"/>
      <c r="N133" s="27">
        <v>1668</v>
      </c>
      <c r="O133" s="27">
        <v>1668</v>
      </c>
      <c r="P133" s="9">
        <f t="shared" si="16"/>
        <v>-12</v>
      </c>
      <c r="Q133" s="9">
        <f>IFERROR(IF(D133=20250,O133/(#REF!/30),O133/(I133/30)),0)</f>
        <v>16.68</v>
      </c>
      <c r="R133" s="9">
        <f t="shared" si="17"/>
        <v>16.68</v>
      </c>
    </row>
    <row r="134" spans="1:18" ht="13.15" x14ac:dyDescent="0.45">
      <c r="A134" s="15" t="str">
        <f t="shared" si="13"/>
        <v>410414788</v>
      </c>
      <c r="B134" s="19" t="s">
        <v>70</v>
      </c>
      <c r="C134" s="6" t="e">
        <f>_xlfn.XLOOKUP(B:B,#REF!,#REF!)</f>
        <v>#REF!</v>
      </c>
      <c r="D134" s="19" t="s">
        <v>54</v>
      </c>
      <c r="E134" s="6" t="str">
        <f t="shared" si="14"/>
        <v>410414788</v>
      </c>
      <c r="F134" s="19" t="s">
        <v>55</v>
      </c>
      <c r="G134" s="7" t="e">
        <f>VLOOKUP(D134,#REF!,4,)</f>
        <v>#REF!</v>
      </c>
      <c r="H134" s="6" t="e">
        <f>VLOOKUP(D134,#REF!,5,)</f>
        <v>#REF!</v>
      </c>
      <c r="I134" s="27">
        <v>21999.96</v>
      </c>
      <c r="J134" s="27">
        <v>7296</v>
      </c>
      <c r="K134" s="8">
        <f t="shared" si="15"/>
        <v>0.33163696661266656</v>
      </c>
      <c r="L134" s="27">
        <v>0</v>
      </c>
      <c r="M134" s="21"/>
      <c r="N134" s="27">
        <v>10188</v>
      </c>
      <c r="O134" s="27">
        <v>10188</v>
      </c>
      <c r="P134" s="9">
        <f t="shared" si="16"/>
        <v>4515.9599999999991</v>
      </c>
      <c r="Q134" s="9">
        <f>IFERROR(IF(D134=20250,O134/(#REF!/30),O134/(I134/30)),0)</f>
        <v>13.892752532277331</v>
      </c>
      <c r="R134" s="9">
        <f t="shared" si="17"/>
        <v>13.892752532277331</v>
      </c>
    </row>
    <row r="135" spans="1:18" ht="13.15" x14ac:dyDescent="0.45">
      <c r="A135" s="15" t="str">
        <f t="shared" si="13"/>
        <v>410415536</v>
      </c>
      <c r="B135" s="19" t="s">
        <v>70</v>
      </c>
      <c r="C135" s="6" t="e">
        <f>_xlfn.XLOOKUP(B:B,#REF!,#REF!)</f>
        <v>#REF!</v>
      </c>
      <c r="D135" s="19" t="s">
        <v>56</v>
      </c>
      <c r="E135" s="6" t="str">
        <f t="shared" si="14"/>
        <v>410415536</v>
      </c>
      <c r="F135" s="19" t="s">
        <v>57</v>
      </c>
      <c r="G135" s="7" t="e">
        <f>VLOOKUP(D135,#REF!,4,)</f>
        <v>#REF!</v>
      </c>
      <c r="H135" s="6" t="e">
        <f>VLOOKUP(D135,#REF!,5,)</f>
        <v>#REF!</v>
      </c>
      <c r="I135" s="27">
        <v>9999.9599999999991</v>
      </c>
      <c r="J135" s="27">
        <v>4992</v>
      </c>
      <c r="K135" s="8">
        <f t="shared" si="15"/>
        <v>0.49920199680798727</v>
      </c>
      <c r="L135" s="27">
        <v>0</v>
      </c>
      <c r="M135" s="21"/>
      <c r="N135" s="27">
        <v>15444</v>
      </c>
      <c r="O135" s="27">
        <v>15444</v>
      </c>
      <c r="P135" s="9">
        <f t="shared" si="16"/>
        <v>-10436.040000000001</v>
      </c>
      <c r="Q135" s="9">
        <f>IFERROR(IF(D135=20250,O135/(#REF!/30),O135/(I135/30)),0)</f>
        <v>46.332185328741318</v>
      </c>
      <c r="R135" s="9">
        <f t="shared" si="17"/>
        <v>46.332185328741318</v>
      </c>
    </row>
    <row r="136" spans="1:18" ht="13.15" x14ac:dyDescent="0.45">
      <c r="A136" s="15" t="str">
        <f t="shared" si="13"/>
        <v>410415906</v>
      </c>
      <c r="B136" s="19" t="s">
        <v>70</v>
      </c>
      <c r="C136" s="6" t="e">
        <f>_xlfn.XLOOKUP(B:B,#REF!,#REF!)</f>
        <v>#REF!</v>
      </c>
      <c r="D136" s="19" t="s">
        <v>58</v>
      </c>
      <c r="E136" s="6" t="str">
        <f t="shared" si="14"/>
        <v>410415906</v>
      </c>
      <c r="F136" s="19" t="s">
        <v>59</v>
      </c>
      <c r="G136" s="7" t="e">
        <f>VLOOKUP(D136,#REF!,4,)</f>
        <v>#REF!</v>
      </c>
      <c r="H136" s="6" t="e">
        <f>VLOOKUP(D136,#REF!,5,)</f>
        <v>#REF!</v>
      </c>
      <c r="I136" s="27">
        <v>1056</v>
      </c>
      <c r="J136" s="27">
        <v>636</v>
      </c>
      <c r="K136" s="8">
        <f t="shared" si="15"/>
        <v>0.60227272727272729</v>
      </c>
      <c r="L136" s="27">
        <v>0</v>
      </c>
      <c r="M136" s="21"/>
      <c r="N136" s="27">
        <v>1140</v>
      </c>
      <c r="O136" s="27">
        <v>1140</v>
      </c>
      <c r="P136" s="9">
        <f t="shared" si="16"/>
        <v>-720</v>
      </c>
      <c r="Q136" s="9">
        <f>IFERROR(IF(D136=20250,O136/(#REF!/30),O136/(I136/30)),0)</f>
        <v>32.386363636363633</v>
      </c>
      <c r="R136" s="9">
        <f t="shared" si="17"/>
        <v>32.386363636363633</v>
      </c>
    </row>
    <row r="137" spans="1:18" ht="13.15" x14ac:dyDescent="0.45">
      <c r="A137" s="15" t="str">
        <f t="shared" si="13"/>
        <v>410416336</v>
      </c>
      <c r="B137" s="19" t="s">
        <v>70</v>
      </c>
      <c r="C137" s="6" t="e">
        <f>_xlfn.XLOOKUP(B:B,#REF!,#REF!)</f>
        <v>#REF!</v>
      </c>
      <c r="D137" s="19" t="s">
        <v>20</v>
      </c>
      <c r="E137" s="6" t="str">
        <f t="shared" si="14"/>
        <v>410416336</v>
      </c>
      <c r="F137" s="19" t="s">
        <v>21</v>
      </c>
      <c r="G137" s="7" t="e">
        <f>VLOOKUP(D137,#REF!,4,)</f>
        <v>#REF!</v>
      </c>
      <c r="H137" s="6" t="e">
        <f>VLOOKUP(D137,#REF!,5,)</f>
        <v>#REF!</v>
      </c>
      <c r="I137" s="27">
        <v>39999.96</v>
      </c>
      <c r="J137" s="27">
        <v>24684</v>
      </c>
      <c r="K137" s="8">
        <f t="shared" si="15"/>
        <v>0.61710061710061714</v>
      </c>
      <c r="L137" s="27">
        <v>0</v>
      </c>
      <c r="M137" s="21"/>
      <c r="N137" s="27">
        <v>30564</v>
      </c>
      <c r="O137" s="27">
        <v>30564</v>
      </c>
      <c r="P137" s="9">
        <f t="shared" si="16"/>
        <v>-15248.04</v>
      </c>
      <c r="Q137" s="9">
        <f>IFERROR(IF(D137=20250,O137/(#REF!/30),O137/(I137/30)),0)</f>
        <v>22.923022923022923</v>
      </c>
      <c r="R137" s="9">
        <f t="shared" si="17"/>
        <v>22.923022923022923</v>
      </c>
    </row>
    <row r="138" spans="1:18" ht="13.15" x14ac:dyDescent="0.45">
      <c r="A138" s="15" t="str">
        <f t="shared" si="13"/>
        <v>410416984</v>
      </c>
      <c r="B138" s="19" t="s">
        <v>70</v>
      </c>
      <c r="C138" s="6" t="e">
        <f>_xlfn.XLOOKUP(B:B,#REF!,#REF!)</f>
        <v>#REF!</v>
      </c>
      <c r="D138" s="19" t="s">
        <v>60</v>
      </c>
      <c r="E138" s="6" t="str">
        <f t="shared" si="14"/>
        <v>410416984</v>
      </c>
      <c r="F138" s="19" t="s">
        <v>61</v>
      </c>
      <c r="G138" s="7" t="e">
        <f>VLOOKUP(D138,#REF!,4,)</f>
        <v>#REF!</v>
      </c>
      <c r="H138" s="6" t="e">
        <f>VLOOKUP(D138,#REF!,5,)</f>
        <v>#REF!</v>
      </c>
      <c r="I138" s="27">
        <v>144</v>
      </c>
      <c r="J138" s="27">
        <v>264</v>
      </c>
      <c r="K138" s="8">
        <f t="shared" si="15"/>
        <v>1.8333333333333333</v>
      </c>
      <c r="L138" s="27">
        <v>0</v>
      </c>
      <c r="M138" s="21"/>
      <c r="N138" s="27">
        <v>84</v>
      </c>
      <c r="O138" s="27">
        <v>84</v>
      </c>
      <c r="P138" s="9">
        <f t="shared" si="16"/>
        <v>-204</v>
      </c>
      <c r="Q138" s="9">
        <f>IFERROR(IF(D138=20250,O138/(#REF!/30),O138/(I138/30)),0)</f>
        <v>17.5</v>
      </c>
      <c r="R138" s="9">
        <f t="shared" si="17"/>
        <v>17.5</v>
      </c>
    </row>
    <row r="139" spans="1:18" ht="13.15" x14ac:dyDescent="0.45">
      <c r="A139" s="15" t="str">
        <f t="shared" si="13"/>
        <v>410416998</v>
      </c>
      <c r="B139" s="19" t="s">
        <v>70</v>
      </c>
      <c r="C139" s="6" t="e">
        <f>_xlfn.XLOOKUP(B:B,#REF!,#REF!)</f>
        <v>#REF!</v>
      </c>
      <c r="D139" s="19" t="s">
        <v>62</v>
      </c>
      <c r="E139" s="6" t="str">
        <f t="shared" si="14"/>
        <v>410416998</v>
      </c>
      <c r="F139" s="19" t="s">
        <v>63</v>
      </c>
      <c r="G139" s="7" t="e">
        <f>VLOOKUP(D139,#REF!,4,)</f>
        <v>#REF!</v>
      </c>
      <c r="H139" s="6" t="e">
        <f>VLOOKUP(D139,#REF!,5,)</f>
        <v>#REF!</v>
      </c>
      <c r="I139" s="27">
        <v>4776</v>
      </c>
      <c r="J139" s="27">
        <v>4212</v>
      </c>
      <c r="K139" s="8">
        <f t="shared" si="15"/>
        <v>0.88190954773869346</v>
      </c>
      <c r="L139" s="27">
        <v>0</v>
      </c>
      <c r="M139" s="21"/>
      <c r="N139" s="27">
        <v>5988</v>
      </c>
      <c r="O139" s="27">
        <v>5988</v>
      </c>
      <c r="P139" s="9">
        <f t="shared" si="16"/>
        <v>-5424</v>
      </c>
      <c r="Q139" s="9">
        <f>IFERROR(IF(D139=20250,O139/(#REF!/30),O139/(I139/30)),0)</f>
        <v>37.613065326633169</v>
      </c>
      <c r="R139" s="9">
        <f t="shared" si="17"/>
        <v>37.613065326633169</v>
      </c>
    </row>
    <row r="140" spans="1:18" ht="13.15" x14ac:dyDescent="0.45">
      <c r="A140" s="15" t="str">
        <f t="shared" si="13"/>
        <v>410418098</v>
      </c>
      <c r="B140" s="19" t="s">
        <v>70</v>
      </c>
      <c r="C140" s="6" t="e">
        <f>_xlfn.XLOOKUP(B:B,#REF!,#REF!)</f>
        <v>#REF!</v>
      </c>
      <c r="D140" s="19" t="s">
        <v>64</v>
      </c>
      <c r="E140" s="6" t="str">
        <f t="shared" si="14"/>
        <v>410418098</v>
      </c>
      <c r="F140" s="19" t="s">
        <v>131</v>
      </c>
      <c r="G140" s="7" t="e">
        <f>VLOOKUP(D140,#REF!,4,)</f>
        <v>#REF!</v>
      </c>
      <c r="H140" s="6" t="e">
        <f>VLOOKUP(D140,#REF!,5,)</f>
        <v>#REF!</v>
      </c>
      <c r="I140" s="27">
        <v>999.96</v>
      </c>
      <c r="J140" s="27">
        <v>492</v>
      </c>
      <c r="K140" s="8">
        <f t="shared" si="15"/>
        <v>0.49201968078723146</v>
      </c>
      <c r="L140" s="27">
        <v>0</v>
      </c>
      <c r="M140" s="21"/>
      <c r="N140" s="27">
        <v>876</v>
      </c>
      <c r="O140" s="27">
        <v>876</v>
      </c>
      <c r="P140" s="9">
        <f t="shared" si="16"/>
        <v>-368.03999999999996</v>
      </c>
      <c r="Q140" s="9">
        <f>IFERROR(IF(D140=20250,O140/(#REF!/30),O140/(I140/30)),0)</f>
        <v>26.281051242049681</v>
      </c>
      <c r="R140" s="9">
        <f t="shared" si="17"/>
        <v>26.281051242049681</v>
      </c>
    </row>
    <row r="141" spans="1:18" ht="13.15" x14ac:dyDescent="0.45">
      <c r="A141" s="15" t="str">
        <f t="shared" si="13"/>
        <v>410420827</v>
      </c>
      <c r="B141" s="19" t="s">
        <v>70</v>
      </c>
      <c r="C141" s="6" t="e">
        <f>_xlfn.XLOOKUP(B:B,#REF!,#REF!)</f>
        <v>#REF!</v>
      </c>
      <c r="D141" s="19" t="s">
        <v>85</v>
      </c>
      <c r="E141" s="6" t="str">
        <f t="shared" si="14"/>
        <v>410420827</v>
      </c>
      <c r="F141" s="19" t="s">
        <v>86</v>
      </c>
      <c r="G141" s="7" t="e">
        <f>VLOOKUP(D141,#REF!,4,)</f>
        <v>#REF!</v>
      </c>
      <c r="H141" s="6" t="e">
        <f>VLOOKUP(D141,#REF!,5,)</f>
        <v>#REF!</v>
      </c>
      <c r="I141" s="27">
        <v>3499.92</v>
      </c>
      <c r="J141" s="27">
        <v>1644</v>
      </c>
      <c r="K141" s="8">
        <f t="shared" si="15"/>
        <v>0.46972502228622365</v>
      </c>
      <c r="L141" s="27">
        <v>0</v>
      </c>
      <c r="M141" s="21"/>
      <c r="N141" s="27">
        <v>6696</v>
      </c>
      <c r="O141" s="27">
        <v>6696</v>
      </c>
      <c r="P141" s="9">
        <f t="shared" si="16"/>
        <v>-4840.08</v>
      </c>
      <c r="Q141" s="9">
        <f>IFERROR(IF(D141=20250,O141/(#REF!/30),O141/(I141/30)),0)</f>
        <v>57.395597613659739</v>
      </c>
      <c r="R141" s="9">
        <f t="shared" si="17"/>
        <v>57.395597613659739</v>
      </c>
    </row>
    <row r="142" spans="1:18" ht="13.15" x14ac:dyDescent="0.45">
      <c r="A142" s="15" t="str">
        <f t="shared" si="13"/>
        <v>410423081</v>
      </c>
      <c r="B142" s="19" t="s">
        <v>70</v>
      </c>
      <c r="C142" s="6" t="e">
        <f>_xlfn.XLOOKUP(B:B,#REF!,#REF!)</f>
        <v>#REF!</v>
      </c>
      <c r="D142" s="19" t="s">
        <v>96</v>
      </c>
      <c r="E142" s="6" t="str">
        <f t="shared" si="14"/>
        <v>410423081</v>
      </c>
      <c r="F142" s="19" t="s">
        <v>97</v>
      </c>
      <c r="G142" s="7" t="e">
        <f>VLOOKUP(D142,#REF!,4,)</f>
        <v>#REF!</v>
      </c>
      <c r="H142" s="6" t="e">
        <f>VLOOKUP(D142,#REF!,5,)</f>
        <v>#REF!</v>
      </c>
      <c r="I142" s="27">
        <v>300</v>
      </c>
      <c r="J142" s="27">
        <v>84</v>
      </c>
      <c r="K142" s="8">
        <f t="shared" si="15"/>
        <v>0.28000000000000003</v>
      </c>
      <c r="L142" s="27">
        <v>0</v>
      </c>
      <c r="M142" s="21"/>
      <c r="N142" s="27">
        <v>300</v>
      </c>
      <c r="O142" s="27">
        <v>300</v>
      </c>
      <c r="P142" s="9">
        <f t="shared" si="16"/>
        <v>-84</v>
      </c>
      <c r="Q142" s="9">
        <f>IFERROR(IF(D142=20250,O142/(#REF!/30),O142/(I142/30)),0)</f>
        <v>30</v>
      </c>
      <c r="R142" s="9">
        <f t="shared" si="17"/>
        <v>30</v>
      </c>
    </row>
    <row r="143" spans="1:18" ht="13.15" x14ac:dyDescent="0.45">
      <c r="A143" s="15" t="str">
        <f t="shared" si="13"/>
        <v>410424768</v>
      </c>
      <c r="B143" s="19" t="s">
        <v>70</v>
      </c>
      <c r="C143" s="6" t="e">
        <f>_xlfn.XLOOKUP(B:B,#REF!,#REF!)</f>
        <v>#REF!</v>
      </c>
      <c r="D143" s="19" t="s">
        <v>111</v>
      </c>
      <c r="E143" s="6" t="str">
        <f t="shared" si="14"/>
        <v>410424768</v>
      </c>
      <c r="F143" s="19" t="s">
        <v>112</v>
      </c>
      <c r="G143" s="7" t="e">
        <f>VLOOKUP(D143,#REF!,4,)</f>
        <v>#REF!</v>
      </c>
      <c r="H143" s="6" t="e">
        <f>VLOOKUP(D143,#REF!,5,)</f>
        <v>#REF!</v>
      </c>
      <c r="I143" s="27">
        <v>3499.92</v>
      </c>
      <c r="J143" s="27">
        <v>3636</v>
      </c>
      <c r="K143" s="8">
        <f t="shared" si="15"/>
        <v>1.0388808887060275</v>
      </c>
      <c r="L143" s="27">
        <v>0</v>
      </c>
      <c r="M143" s="21"/>
      <c r="N143" s="27">
        <v>2352</v>
      </c>
      <c r="O143" s="27">
        <v>2352</v>
      </c>
      <c r="P143" s="9">
        <f t="shared" si="16"/>
        <v>-2488.08</v>
      </c>
      <c r="Q143" s="9">
        <f>IFERROR(IF(D143=20250,O143/(#REF!/30),O143/(I143/30)),0)</f>
        <v>20.160460810532811</v>
      </c>
      <c r="R143" s="9">
        <f t="shared" si="17"/>
        <v>20.160460810532811</v>
      </c>
    </row>
    <row r="144" spans="1:18" ht="13.15" x14ac:dyDescent="0.45">
      <c r="A144" s="15" t="str">
        <f t="shared" si="13"/>
        <v>410425570</v>
      </c>
      <c r="B144" s="19" t="s">
        <v>70</v>
      </c>
      <c r="C144" s="6" t="e">
        <f>_xlfn.XLOOKUP(B:B,#REF!,#REF!)</f>
        <v>#REF!</v>
      </c>
      <c r="D144" s="19" t="s">
        <v>116</v>
      </c>
      <c r="E144" s="6" t="str">
        <f t="shared" si="14"/>
        <v>410425570</v>
      </c>
      <c r="F144" s="19" t="s">
        <v>118</v>
      </c>
      <c r="G144" s="7" t="e">
        <f>VLOOKUP(D144,#REF!,4,)</f>
        <v>#REF!</v>
      </c>
      <c r="H144" s="6" t="e">
        <f>VLOOKUP(D144,#REF!,5,)</f>
        <v>#REF!</v>
      </c>
      <c r="I144" s="27">
        <v>1008</v>
      </c>
      <c r="J144" s="27">
        <v>2472</v>
      </c>
      <c r="K144" s="8">
        <f t="shared" si="15"/>
        <v>2.4523809523809526</v>
      </c>
      <c r="L144" s="27">
        <v>0</v>
      </c>
      <c r="M144" s="21"/>
      <c r="N144" s="27">
        <v>1560</v>
      </c>
      <c r="O144" s="27">
        <v>1560</v>
      </c>
      <c r="P144" s="9">
        <f t="shared" si="16"/>
        <v>-3024</v>
      </c>
      <c r="Q144" s="9">
        <f>IFERROR(IF(D144=20250,O144/(#REF!/30),O144/(I144/30)),0)</f>
        <v>46.428571428571423</v>
      </c>
      <c r="R144" s="9">
        <f t="shared" si="17"/>
        <v>46.428571428571423</v>
      </c>
    </row>
    <row r="145" spans="1:18" ht="13.15" x14ac:dyDescent="0.45">
      <c r="A145" s="15" t="str">
        <f t="shared" si="13"/>
        <v>410425598</v>
      </c>
      <c r="B145" s="19" t="s">
        <v>70</v>
      </c>
      <c r="C145" s="6" t="e">
        <f>_xlfn.XLOOKUP(B:B,#REF!,#REF!)</f>
        <v>#REF!</v>
      </c>
      <c r="D145" s="19" t="s">
        <v>117</v>
      </c>
      <c r="E145" s="6" t="str">
        <f t="shared" si="14"/>
        <v>410425598</v>
      </c>
      <c r="F145" s="19" t="s">
        <v>119</v>
      </c>
      <c r="G145" s="7" t="e">
        <f>VLOOKUP(D145,#REF!,4,)</f>
        <v>#REF!</v>
      </c>
      <c r="H145" s="6" t="e">
        <f>VLOOKUP(D145,#REF!,5,)</f>
        <v>#REF!</v>
      </c>
      <c r="I145" s="27">
        <v>36</v>
      </c>
      <c r="J145" s="27">
        <v>12</v>
      </c>
      <c r="K145" s="8">
        <f t="shared" si="15"/>
        <v>0.33333333333333331</v>
      </c>
      <c r="L145" s="27">
        <v>0</v>
      </c>
      <c r="M145" s="21"/>
      <c r="N145" s="27">
        <v>336</v>
      </c>
      <c r="O145" s="27">
        <v>336</v>
      </c>
      <c r="P145" s="9">
        <f t="shared" si="16"/>
        <v>-312</v>
      </c>
      <c r="Q145" s="9">
        <f>IFERROR(IF(D145=20250,O145/(#REF!/30),O145/(I145/30)),0)</f>
        <v>280</v>
      </c>
      <c r="R145" s="9">
        <f t="shared" si="17"/>
        <v>280</v>
      </c>
    </row>
    <row r="146" spans="1:18" ht="13.15" x14ac:dyDescent="0.45">
      <c r="A146" s="15" t="str">
        <f t="shared" si="13"/>
        <v>410506151</v>
      </c>
      <c r="B146" s="19" t="s">
        <v>87</v>
      </c>
      <c r="C146" s="6" t="e">
        <f>_xlfn.XLOOKUP(B:B,#REF!,#REF!)</f>
        <v>#REF!</v>
      </c>
      <c r="D146" s="19" t="s">
        <v>23</v>
      </c>
      <c r="E146" s="6" t="str">
        <f t="shared" si="14"/>
        <v>410506151</v>
      </c>
      <c r="F146" s="19" t="s">
        <v>24</v>
      </c>
      <c r="G146" s="7" t="e">
        <f>VLOOKUP(D146,#REF!,4,)</f>
        <v>#REF!</v>
      </c>
      <c r="H146" s="6" t="e">
        <f>VLOOKUP(D146,#REF!,5,)</f>
        <v>#REF!</v>
      </c>
      <c r="I146" s="27">
        <v>10295.64</v>
      </c>
      <c r="J146" s="27">
        <v>8112</v>
      </c>
      <c r="K146" s="8">
        <f t="shared" si="15"/>
        <v>0.78790633705141211</v>
      </c>
      <c r="L146" s="27">
        <v>1500</v>
      </c>
      <c r="M146" s="21">
        <v>46160</v>
      </c>
      <c r="N146" s="27">
        <v>7848</v>
      </c>
      <c r="O146" s="27">
        <v>9348</v>
      </c>
      <c r="P146" s="9">
        <f t="shared" si="16"/>
        <v>-7164.3600000000006</v>
      </c>
      <c r="Q146" s="9">
        <f>IFERROR(IF(D146=20250,O146/(#REF!/30),O146/(I146/30)),0)</f>
        <v>27.238714640372041</v>
      </c>
      <c r="R146" s="9">
        <f t="shared" si="17"/>
        <v>22.867932445190391</v>
      </c>
    </row>
    <row r="147" spans="1:18" ht="13.15" x14ac:dyDescent="0.45">
      <c r="A147" s="15" t="str">
        <f t="shared" si="13"/>
        <v>410513490</v>
      </c>
      <c r="B147" s="19" t="s">
        <v>87</v>
      </c>
      <c r="C147" s="6" t="e">
        <f>_xlfn.XLOOKUP(B:B,#REF!,#REF!)</f>
        <v>#REF!</v>
      </c>
      <c r="D147" s="19" t="s">
        <v>27</v>
      </c>
      <c r="E147" s="6" t="str">
        <f t="shared" si="14"/>
        <v>410513490</v>
      </c>
      <c r="F147" s="19" t="s">
        <v>28</v>
      </c>
      <c r="G147" s="7" t="e">
        <f>VLOOKUP(D147,#REF!,4,)</f>
        <v>#REF!</v>
      </c>
      <c r="H147" s="6" t="e">
        <f>VLOOKUP(D147,#REF!,5,)</f>
        <v>#REF!</v>
      </c>
      <c r="I147" s="27">
        <v>2152.6999999999998</v>
      </c>
      <c r="J147" s="27">
        <v>1650</v>
      </c>
      <c r="K147" s="8">
        <f t="shared" si="15"/>
        <v>0.76647930505876349</v>
      </c>
      <c r="L147" s="27">
        <v>0</v>
      </c>
      <c r="M147" s="21"/>
      <c r="N147" s="27">
        <v>2070</v>
      </c>
      <c r="O147" s="27">
        <v>2070</v>
      </c>
      <c r="P147" s="9">
        <f t="shared" si="16"/>
        <v>-1567.3000000000002</v>
      </c>
      <c r="Q147" s="9">
        <f>IFERROR(IF(D147=20250,O147/(#REF!/30),O147/(I147/30)),0)</f>
        <v>28.847493844938917</v>
      </c>
      <c r="R147" s="9">
        <f t="shared" si="17"/>
        <v>28.847493844938917</v>
      </c>
    </row>
    <row r="148" spans="1:18" ht="13.15" x14ac:dyDescent="0.45">
      <c r="A148" s="15" t="str">
        <f t="shared" si="13"/>
        <v>410515300</v>
      </c>
      <c r="B148" s="19" t="s">
        <v>87</v>
      </c>
      <c r="C148" s="6" t="e">
        <f>_xlfn.XLOOKUP(B:B,#REF!,#REF!)</f>
        <v>#REF!</v>
      </c>
      <c r="D148" s="19" t="s">
        <v>31</v>
      </c>
      <c r="E148" s="6" t="str">
        <f t="shared" si="14"/>
        <v>410515300</v>
      </c>
      <c r="F148" s="19" t="s">
        <v>32</v>
      </c>
      <c r="G148" s="7" t="e">
        <f>VLOOKUP(D148,#REF!,4,)</f>
        <v>#REF!</v>
      </c>
      <c r="H148" s="6" t="e">
        <f>VLOOKUP(D148,#REF!,5,)</f>
        <v>#REF!</v>
      </c>
      <c r="I148" s="27">
        <v>207.81</v>
      </c>
      <c r="J148" s="27">
        <v>99</v>
      </c>
      <c r="K148" s="8">
        <f t="shared" si="15"/>
        <v>0.47639670853183197</v>
      </c>
      <c r="L148" s="27">
        <v>0</v>
      </c>
      <c r="M148" s="21"/>
      <c r="N148" s="27">
        <v>351</v>
      </c>
      <c r="O148" s="27">
        <v>351</v>
      </c>
      <c r="P148" s="9">
        <f t="shared" si="16"/>
        <v>-242.19</v>
      </c>
      <c r="Q148" s="9">
        <f>IFERROR(IF(D148=20250,O148/(#REF!/30),O148/(I148/30)),0)</f>
        <v>50.671286271113033</v>
      </c>
      <c r="R148" s="9">
        <f t="shared" si="17"/>
        <v>50.671286271113033</v>
      </c>
    </row>
    <row r="149" spans="1:18" ht="13.15" x14ac:dyDescent="0.45">
      <c r="A149" s="15" t="str">
        <f t="shared" si="13"/>
        <v>410519690</v>
      </c>
      <c r="B149" s="19" t="s">
        <v>87</v>
      </c>
      <c r="C149" s="6" t="e">
        <f>_xlfn.XLOOKUP(B:B,#REF!,#REF!)</f>
        <v>#REF!</v>
      </c>
      <c r="D149" s="19" t="s">
        <v>66</v>
      </c>
      <c r="E149" s="6" t="str">
        <f t="shared" si="14"/>
        <v>410519690</v>
      </c>
      <c r="F149" s="19" t="s">
        <v>67</v>
      </c>
      <c r="G149" s="7" t="e">
        <f>VLOOKUP(D149,#REF!,4,)</f>
        <v>#REF!</v>
      </c>
      <c r="H149" s="6" t="e">
        <f>VLOOKUP(D149,#REF!,5,)</f>
        <v>#REF!</v>
      </c>
      <c r="I149" s="27">
        <v>0</v>
      </c>
      <c r="J149" s="27">
        <v>36</v>
      </c>
      <c r="K149" s="8">
        <f t="shared" si="15"/>
        <v>0</v>
      </c>
      <c r="L149" s="27">
        <v>0</v>
      </c>
      <c r="M149" s="21"/>
      <c r="N149" s="27">
        <v>144</v>
      </c>
      <c r="O149" s="27">
        <v>144</v>
      </c>
      <c r="P149" s="9">
        <f t="shared" si="16"/>
        <v>-180</v>
      </c>
      <c r="Q149" s="9">
        <f>IFERROR(IF(D149=20250,O149/(#REF!/30),O149/(I149/30)),0)</f>
        <v>0</v>
      </c>
      <c r="R149" s="9">
        <f t="shared" si="17"/>
        <v>0</v>
      </c>
    </row>
    <row r="150" spans="1:18" ht="13.15" x14ac:dyDescent="0.45">
      <c r="A150" s="15" t="str">
        <f t="shared" si="13"/>
        <v>410520661</v>
      </c>
      <c r="B150" s="19" t="s">
        <v>87</v>
      </c>
      <c r="C150" s="6" t="e">
        <f>_xlfn.XLOOKUP(B:B,#REF!,#REF!)</f>
        <v>#REF!</v>
      </c>
      <c r="D150" s="19" t="s">
        <v>88</v>
      </c>
      <c r="E150" s="6" t="str">
        <f t="shared" si="14"/>
        <v>410520661</v>
      </c>
      <c r="F150" s="19" t="s">
        <v>89</v>
      </c>
      <c r="G150" s="7" t="e">
        <f>VLOOKUP(D150,#REF!,4,)</f>
        <v>#REF!</v>
      </c>
      <c r="H150" s="6" t="e">
        <f>VLOOKUP(D150,#REF!,5,)</f>
        <v>#REF!</v>
      </c>
      <c r="I150" s="27">
        <v>1608.36</v>
      </c>
      <c r="J150" s="27">
        <v>1236</v>
      </c>
      <c r="K150" s="8">
        <f t="shared" si="15"/>
        <v>0.76848466761172873</v>
      </c>
      <c r="L150" s="27">
        <v>0</v>
      </c>
      <c r="M150" s="21"/>
      <c r="N150" s="27">
        <v>780</v>
      </c>
      <c r="O150" s="27">
        <v>780</v>
      </c>
      <c r="P150" s="9">
        <f t="shared" si="16"/>
        <v>-407.6400000000001</v>
      </c>
      <c r="Q150" s="9">
        <f>IFERROR(IF(D150=20250,O150/(#REF!/30),O150/(I150/30)),0)</f>
        <v>14.54898157129001</v>
      </c>
      <c r="R150" s="9">
        <f t="shared" si="17"/>
        <v>14.54898157129001</v>
      </c>
    </row>
    <row r="151" spans="1:18" ht="13.15" x14ac:dyDescent="0.45">
      <c r="A151" s="15" t="str">
        <f t="shared" si="13"/>
        <v>410523638</v>
      </c>
      <c r="B151" s="19" t="s">
        <v>87</v>
      </c>
      <c r="C151" s="6" t="e">
        <f>_xlfn.XLOOKUP(B:B,#REF!,#REF!)</f>
        <v>#REF!</v>
      </c>
      <c r="D151" s="19" t="s">
        <v>100</v>
      </c>
      <c r="E151" s="6" t="str">
        <f t="shared" si="14"/>
        <v>410523638</v>
      </c>
      <c r="F151" s="19" t="s">
        <v>101</v>
      </c>
      <c r="G151" s="7" t="e">
        <f>VLOOKUP(D151,#REF!,4,)</f>
        <v>#REF!</v>
      </c>
      <c r="H151" s="6" t="e">
        <f>VLOOKUP(D151,#REF!,5,)</f>
        <v>#REF!</v>
      </c>
      <c r="I151" s="27">
        <v>3499.92</v>
      </c>
      <c r="J151" s="27">
        <v>672</v>
      </c>
      <c r="K151" s="8">
        <f t="shared" si="15"/>
        <v>0.19200438867174108</v>
      </c>
      <c r="L151" s="27">
        <v>0</v>
      </c>
      <c r="M151" s="21"/>
      <c r="N151" s="27">
        <v>7644</v>
      </c>
      <c r="O151" s="27">
        <v>7644</v>
      </c>
      <c r="P151" s="9">
        <f t="shared" si="16"/>
        <v>-4816.08</v>
      </c>
      <c r="Q151" s="9">
        <f>IFERROR(IF(D151=20250,O151/(#REF!/30),O151/(I151/30)),0)</f>
        <v>65.521497634231636</v>
      </c>
      <c r="R151" s="9">
        <f t="shared" si="17"/>
        <v>65.521497634231636</v>
      </c>
    </row>
    <row r="152" spans="1:18" ht="13.15" x14ac:dyDescent="0.45">
      <c r="A152" s="15" t="str">
        <f t="shared" si="13"/>
        <v>410525885</v>
      </c>
      <c r="B152" s="19" t="s">
        <v>87</v>
      </c>
      <c r="C152" s="6" t="e">
        <f>_xlfn.XLOOKUP(B:B,#REF!,#REF!)</f>
        <v>#REF!</v>
      </c>
      <c r="D152" s="19" t="s">
        <v>122</v>
      </c>
      <c r="E152" s="6" t="str">
        <f t="shared" si="14"/>
        <v>410525885</v>
      </c>
      <c r="F152" s="19" t="s">
        <v>123</v>
      </c>
      <c r="G152" s="7" t="e">
        <f>VLOOKUP(D152,#REF!,4,)</f>
        <v>#REF!</v>
      </c>
      <c r="H152" s="6" t="e">
        <f>VLOOKUP(D152,#REF!,5,)</f>
        <v>#REF!</v>
      </c>
      <c r="I152" s="27">
        <v>2320.92</v>
      </c>
      <c r="J152" s="27">
        <v>612</v>
      </c>
      <c r="K152" s="8">
        <f t="shared" si="15"/>
        <v>0.26368853730417247</v>
      </c>
      <c r="L152" s="27">
        <v>0</v>
      </c>
      <c r="M152" s="21"/>
      <c r="N152" s="27">
        <v>2832</v>
      </c>
      <c r="O152" s="27">
        <v>2832</v>
      </c>
      <c r="P152" s="9">
        <f t="shared" si="16"/>
        <v>-1123.08</v>
      </c>
      <c r="Q152" s="9">
        <f>IFERROR(IF(D152=20250,O152/(#REF!/30),O152/(I152/30)),0)</f>
        <v>36.606173413991002</v>
      </c>
      <c r="R152" s="9">
        <f t="shared" si="17"/>
        <v>36.606173413991002</v>
      </c>
    </row>
    <row r="153" spans="1:18" ht="13.15" x14ac:dyDescent="0.45">
      <c r="A153" s="15" t="str">
        <f t="shared" si="13"/>
        <v>410526744</v>
      </c>
      <c r="B153" s="19" t="s">
        <v>87</v>
      </c>
      <c r="C153" s="6" t="e">
        <f>_xlfn.XLOOKUP(B:B,#REF!,#REF!)</f>
        <v>#REF!</v>
      </c>
      <c r="D153" s="19" t="s">
        <v>135</v>
      </c>
      <c r="E153" s="6" t="str">
        <f t="shared" si="14"/>
        <v>410526744</v>
      </c>
      <c r="F153" s="19" t="s">
        <v>137</v>
      </c>
      <c r="G153" s="7" t="e">
        <f>VLOOKUP(D153,#REF!,4,)</f>
        <v>#REF!</v>
      </c>
      <c r="H153" s="6" t="e">
        <f>VLOOKUP(D153,#REF!,5,)</f>
        <v>#REF!</v>
      </c>
      <c r="I153" s="27">
        <v>0</v>
      </c>
      <c r="J153" s="27">
        <v>0</v>
      </c>
      <c r="K153" s="8">
        <f t="shared" si="15"/>
        <v>0</v>
      </c>
      <c r="L153" s="27">
        <v>0</v>
      </c>
      <c r="M153" s="21"/>
      <c r="N153" s="27">
        <v>48</v>
      </c>
      <c r="O153" s="27">
        <v>48</v>
      </c>
      <c r="P153" s="9">
        <f t="shared" si="16"/>
        <v>-48</v>
      </c>
      <c r="Q153" s="9">
        <f>IFERROR(IF(D153=20250,O153/(#REF!/30),O153/(I153/30)),0)</f>
        <v>0</v>
      </c>
      <c r="R153" s="9">
        <f t="shared" si="17"/>
        <v>0</v>
      </c>
    </row>
    <row r="154" spans="1:18" ht="13.15" x14ac:dyDescent="0.45">
      <c r="A154" s="15" t="str">
        <f t="shared" si="13"/>
        <v>410526745</v>
      </c>
      <c r="B154" s="19" t="s">
        <v>87</v>
      </c>
      <c r="C154" s="6" t="e">
        <f>_xlfn.XLOOKUP(B:B,#REF!,#REF!)</f>
        <v>#REF!</v>
      </c>
      <c r="D154" s="19" t="s">
        <v>136</v>
      </c>
      <c r="E154" s="6" t="str">
        <f t="shared" si="14"/>
        <v>410526745</v>
      </c>
      <c r="F154" s="19" t="s">
        <v>138</v>
      </c>
      <c r="G154" s="7" t="e">
        <f>VLOOKUP(D154,#REF!,4,)</f>
        <v>#REF!</v>
      </c>
      <c r="H154" s="6" t="e">
        <f>VLOOKUP(D154,#REF!,5,)</f>
        <v>#REF!</v>
      </c>
      <c r="I154" s="27">
        <v>0</v>
      </c>
      <c r="J154" s="27">
        <v>0</v>
      </c>
      <c r="K154" s="8">
        <f t="shared" si="15"/>
        <v>0</v>
      </c>
      <c r="L154" s="27">
        <v>0</v>
      </c>
      <c r="M154" s="21"/>
      <c r="N154" s="27">
        <v>192</v>
      </c>
      <c r="O154" s="27">
        <v>192</v>
      </c>
      <c r="P154" s="9">
        <f t="shared" si="16"/>
        <v>-192</v>
      </c>
      <c r="Q154" s="9">
        <f>IFERROR(IF(D154=20250,O154/(#REF!/30),O154/(I154/30)),0)</f>
        <v>0</v>
      </c>
      <c r="R154" s="9">
        <f t="shared" si="17"/>
        <v>0</v>
      </c>
    </row>
    <row r="155" spans="1:18" ht="13.15" x14ac:dyDescent="0.45">
      <c r="A155" s="15" t="str">
        <f t="shared" si="13"/>
        <v>410504145</v>
      </c>
      <c r="B155" s="19" t="s">
        <v>87</v>
      </c>
      <c r="C155" s="6" t="e">
        <f>_xlfn.XLOOKUP(B:B,#REF!,#REF!)</f>
        <v>#REF!</v>
      </c>
      <c r="D155" s="19" t="s">
        <v>25</v>
      </c>
      <c r="E155" s="6" t="str">
        <f t="shared" si="14"/>
        <v>410504145</v>
      </c>
      <c r="F155" s="19" t="s">
        <v>26</v>
      </c>
      <c r="G155" s="7" t="e">
        <f>VLOOKUP(D155,#REF!,4,)</f>
        <v>#REF!</v>
      </c>
      <c r="H155" s="6" t="e">
        <f>VLOOKUP(D155,#REF!,5,)</f>
        <v>#REF!</v>
      </c>
      <c r="I155" s="27">
        <v>240.48</v>
      </c>
      <c r="J155" s="27">
        <v>126</v>
      </c>
      <c r="K155" s="8">
        <f t="shared" si="15"/>
        <v>0.5239520958083832</v>
      </c>
      <c r="L155" s="27">
        <v>0</v>
      </c>
      <c r="M155" s="21"/>
      <c r="N155" s="27">
        <v>315</v>
      </c>
      <c r="O155" s="27">
        <v>315</v>
      </c>
      <c r="P155" s="9">
        <f t="shared" si="16"/>
        <v>-200.52</v>
      </c>
      <c r="Q155" s="9">
        <f>IFERROR(IF(D155=20250,O155/(#REF!/30),O155/(I155/30)),0)</f>
        <v>39.296407185628745</v>
      </c>
      <c r="R155" s="9">
        <f t="shared" si="17"/>
        <v>39.296407185628745</v>
      </c>
    </row>
    <row r="156" spans="1:18" ht="13.15" x14ac:dyDescent="0.45">
      <c r="A156" s="15" t="str">
        <f t="shared" si="13"/>
        <v>410514248</v>
      </c>
      <c r="B156" s="19" t="s">
        <v>87</v>
      </c>
      <c r="C156" s="6" t="e">
        <f>_xlfn.XLOOKUP(B:B,#REF!,#REF!)</f>
        <v>#REF!</v>
      </c>
      <c r="D156" s="19" t="s">
        <v>29</v>
      </c>
      <c r="E156" s="6" t="str">
        <f t="shared" si="14"/>
        <v>410514248</v>
      </c>
      <c r="F156" s="19" t="s">
        <v>30</v>
      </c>
      <c r="G156" s="7" t="e">
        <f>VLOOKUP(D156,#REF!,4,)</f>
        <v>#REF!</v>
      </c>
      <c r="H156" s="6" t="e">
        <f>VLOOKUP(D156,#REF!,5,)</f>
        <v>#REF!</v>
      </c>
      <c r="I156" s="27">
        <v>1076.8</v>
      </c>
      <c r="J156" s="27">
        <v>880</v>
      </c>
      <c r="K156" s="8">
        <f t="shared" si="15"/>
        <v>0.81723625557206536</v>
      </c>
      <c r="L156" s="27">
        <v>0</v>
      </c>
      <c r="M156" s="21"/>
      <c r="N156" s="27">
        <v>400</v>
      </c>
      <c r="O156" s="27">
        <v>400</v>
      </c>
      <c r="P156" s="9">
        <f t="shared" si="16"/>
        <v>-203.20000000000005</v>
      </c>
      <c r="Q156" s="9">
        <f>IFERROR(IF(D156=20250,O156/(#REF!/30),O156/(I156/30)),0)</f>
        <v>11.144130757800893</v>
      </c>
      <c r="R156" s="9">
        <f t="shared" si="17"/>
        <v>11.144130757800893</v>
      </c>
    </row>
    <row r="157" spans="1:18" ht="13.15" x14ac:dyDescent="0.45">
      <c r="A157" s="15" t="str">
        <f t="shared" si="13"/>
        <v>410515305</v>
      </c>
      <c r="B157" s="19" t="s">
        <v>87</v>
      </c>
      <c r="C157" s="6" t="e">
        <f>_xlfn.XLOOKUP(B:B,#REF!,#REF!)</f>
        <v>#REF!</v>
      </c>
      <c r="D157" s="19" t="s">
        <v>33</v>
      </c>
      <c r="E157" s="6" t="str">
        <f t="shared" si="14"/>
        <v>410515305</v>
      </c>
      <c r="F157" s="19" t="s">
        <v>34</v>
      </c>
      <c r="G157" s="7" t="e">
        <f>VLOOKUP(D157,#REF!,4,)</f>
        <v>#REF!</v>
      </c>
      <c r="H157" s="6" t="e">
        <f>VLOOKUP(D157,#REF!,5,)</f>
        <v>#REF!</v>
      </c>
      <c r="I157" s="27">
        <v>73.17</v>
      </c>
      <c r="J157" s="27">
        <v>45</v>
      </c>
      <c r="K157" s="8">
        <f t="shared" si="15"/>
        <v>0.61500615006150061</v>
      </c>
      <c r="L157" s="27">
        <v>0</v>
      </c>
      <c r="M157" s="21"/>
      <c r="N157" s="27">
        <v>90</v>
      </c>
      <c r="O157" s="27">
        <v>90</v>
      </c>
      <c r="P157" s="9">
        <f t="shared" si="16"/>
        <v>-61.83</v>
      </c>
      <c r="Q157" s="9">
        <f>IFERROR(IF(D157=20250,O157/(#REF!/30),O157/(I157/30)),0)</f>
        <v>36.900369003690038</v>
      </c>
      <c r="R157" s="9">
        <f t="shared" si="17"/>
        <v>36.900369003690038</v>
      </c>
    </row>
    <row r="158" spans="1:18" ht="13.15" x14ac:dyDescent="0.45">
      <c r="A158" s="15" t="str">
        <f t="shared" si="13"/>
        <v>410515312</v>
      </c>
      <c r="B158" s="19" t="s">
        <v>87</v>
      </c>
      <c r="C158" s="6" t="e">
        <f>_xlfn.XLOOKUP(B:B,#REF!,#REF!)</f>
        <v>#REF!</v>
      </c>
      <c r="D158" s="19" t="s">
        <v>35</v>
      </c>
      <c r="E158" s="6" t="str">
        <f t="shared" si="14"/>
        <v>410515312</v>
      </c>
      <c r="F158" s="19" t="s">
        <v>36</v>
      </c>
      <c r="G158" s="7" t="e">
        <f>VLOOKUP(D158,#REF!,4,)</f>
        <v>#REF!</v>
      </c>
      <c r="H158" s="6" t="e">
        <f>VLOOKUP(D158,#REF!,5,)</f>
        <v>#REF!</v>
      </c>
      <c r="I158" s="27">
        <v>16.739999999999998</v>
      </c>
      <c r="J158" s="27">
        <v>9</v>
      </c>
      <c r="K158" s="8">
        <f t="shared" si="15"/>
        <v>0.53763440860215062</v>
      </c>
      <c r="L158" s="27">
        <v>0</v>
      </c>
      <c r="M158" s="21"/>
      <c r="N158" s="27">
        <v>36</v>
      </c>
      <c r="O158" s="27">
        <v>36</v>
      </c>
      <c r="P158" s="9">
        <f t="shared" si="16"/>
        <v>-28.26</v>
      </c>
      <c r="Q158" s="9">
        <f>IFERROR(IF(D158=20250,O158/(#REF!/30),O158/(I158/30)),0)</f>
        <v>64.516129032258078</v>
      </c>
      <c r="R158" s="9">
        <f t="shared" si="17"/>
        <v>64.516129032258078</v>
      </c>
    </row>
    <row r="159" spans="1:18" ht="13.15" x14ac:dyDescent="0.45">
      <c r="A159" s="15" t="str">
        <f t="shared" si="13"/>
        <v>410516407</v>
      </c>
      <c r="B159" s="19" t="s">
        <v>87</v>
      </c>
      <c r="C159" s="6" t="e">
        <f>_xlfn.XLOOKUP(B:B,#REF!,#REF!)</f>
        <v>#REF!</v>
      </c>
      <c r="D159" s="19" t="s">
        <v>37</v>
      </c>
      <c r="E159" s="6" t="str">
        <f t="shared" si="14"/>
        <v>410516407</v>
      </c>
      <c r="F159" s="19" t="s">
        <v>38</v>
      </c>
      <c r="G159" s="7" t="e">
        <f>VLOOKUP(D159,#REF!,4,)</f>
        <v>#REF!</v>
      </c>
      <c r="H159" s="6" t="e">
        <f>VLOOKUP(D159,#REF!,5,)</f>
        <v>#REF!</v>
      </c>
      <c r="I159" s="27">
        <v>668.07</v>
      </c>
      <c r="J159" s="27">
        <v>423</v>
      </c>
      <c r="K159" s="8">
        <f t="shared" si="15"/>
        <v>0.63316718307961739</v>
      </c>
      <c r="L159" s="27">
        <v>0</v>
      </c>
      <c r="M159" s="21"/>
      <c r="N159" s="27">
        <v>423</v>
      </c>
      <c r="O159" s="27">
        <v>423</v>
      </c>
      <c r="P159" s="9">
        <f t="shared" si="16"/>
        <v>-177.92999999999995</v>
      </c>
      <c r="Q159" s="9">
        <f>IFERROR(IF(D159=20250,O159/(#REF!/30),O159/(I159/30)),0)</f>
        <v>18.995015492388521</v>
      </c>
      <c r="R159" s="9">
        <f t="shared" si="17"/>
        <v>18.995015492388521</v>
      </c>
    </row>
    <row r="160" spans="1:18" ht="13.15" x14ac:dyDescent="0.45">
      <c r="A160" s="15" t="str">
        <f t="shared" si="13"/>
        <v>410500189</v>
      </c>
      <c r="B160" s="19" t="s">
        <v>87</v>
      </c>
      <c r="C160" s="6" t="e">
        <f>_xlfn.XLOOKUP(B:B,#REF!,#REF!)</f>
        <v>#REF!</v>
      </c>
      <c r="D160" s="19" t="s">
        <v>39</v>
      </c>
      <c r="E160" s="6" t="str">
        <f t="shared" si="14"/>
        <v>410500189</v>
      </c>
      <c r="F160" s="19" t="s">
        <v>109</v>
      </c>
      <c r="G160" s="7" t="e">
        <f>VLOOKUP(D160,#REF!,4,)</f>
        <v>#REF!</v>
      </c>
      <c r="H160" s="6" t="e">
        <f>VLOOKUP(D160,#REF!,5,)</f>
        <v>#REF!</v>
      </c>
      <c r="I160" s="27">
        <v>23215.200000000001</v>
      </c>
      <c r="J160" s="27">
        <v>19080</v>
      </c>
      <c r="K160" s="8">
        <f t="shared" si="15"/>
        <v>0.8218753230641993</v>
      </c>
      <c r="L160" s="27">
        <v>0</v>
      </c>
      <c r="M160" s="21"/>
      <c r="N160" s="27">
        <v>7884</v>
      </c>
      <c r="O160" s="27">
        <v>7884</v>
      </c>
      <c r="P160" s="9">
        <f t="shared" si="16"/>
        <v>-3748.7999999999993</v>
      </c>
      <c r="Q160" s="9">
        <f>IFERROR(IF(D160=20250,O160/(#REF!/30),O160/(I160/30)),0)</f>
        <v>10.188152589682621</v>
      </c>
      <c r="R160" s="9">
        <f t="shared" si="17"/>
        <v>10.188152589682621</v>
      </c>
    </row>
    <row r="161" spans="1:18" ht="13.15" x14ac:dyDescent="0.45">
      <c r="A161" s="15" t="str">
        <f t="shared" si="13"/>
        <v>410501167</v>
      </c>
      <c r="B161" s="19" t="s">
        <v>87</v>
      </c>
      <c r="C161" s="6" t="e">
        <f>_xlfn.XLOOKUP(B:B,#REF!,#REF!)</f>
        <v>#REF!</v>
      </c>
      <c r="D161" s="19" t="s">
        <v>40</v>
      </c>
      <c r="E161" s="6" t="str">
        <f t="shared" si="14"/>
        <v>410501167</v>
      </c>
      <c r="F161" s="19" t="s">
        <v>41</v>
      </c>
      <c r="G161" s="7" t="e">
        <f>VLOOKUP(D161,#REF!,4,)</f>
        <v>#REF!</v>
      </c>
      <c r="H161" s="6" t="e">
        <f>VLOOKUP(D161,#REF!,5,)</f>
        <v>#REF!</v>
      </c>
      <c r="I161" s="27">
        <v>5920.8</v>
      </c>
      <c r="J161" s="27">
        <v>6036</v>
      </c>
      <c r="K161" s="8">
        <f t="shared" si="15"/>
        <v>1.0194568301580866</v>
      </c>
      <c r="L161" s="27">
        <v>0</v>
      </c>
      <c r="M161" s="21"/>
      <c r="N161" s="27">
        <v>4236</v>
      </c>
      <c r="O161" s="27">
        <v>4236</v>
      </c>
      <c r="P161" s="9">
        <f t="shared" si="16"/>
        <v>-4351.2</v>
      </c>
      <c r="Q161" s="9">
        <f>IFERROR(IF(D161=20250,O161/(#REF!/30),O161/(I161/30)),0)</f>
        <v>21.463315768139438</v>
      </c>
      <c r="R161" s="9">
        <f t="shared" si="17"/>
        <v>21.463315768139438</v>
      </c>
    </row>
    <row r="162" spans="1:18" ht="13.15" x14ac:dyDescent="0.45">
      <c r="A162" s="15" t="str">
        <f t="shared" si="13"/>
        <v>410501296</v>
      </c>
      <c r="B162" s="19" t="s">
        <v>87</v>
      </c>
      <c r="C162" s="6" t="e">
        <f>_xlfn.XLOOKUP(B:B,#REF!,#REF!)</f>
        <v>#REF!</v>
      </c>
      <c r="D162" s="19" t="s">
        <v>14</v>
      </c>
      <c r="E162" s="6" t="str">
        <f t="shared" si="14"/>
        <v>410501296</v>
      </c>
      <c r="F162" s="19" t="s">
        <v>15</v>
      </c>
      <c r="G162" s="7" t="e">
        <f>VLOOKUP(D162,#REF!,4,)</f>
        <v>#REF!</v>
      </c>
      <c r="H162" s="6" t="e">
        <f>VLOOKUP(D162,#REF!,5,)</f>
        <v>#REF!</v>
      </c>
      <c r="I162" s="27">
        <v>2415</v>
      </c>
      <c r="J162" s="27">
        <v>2220</v>
      </c>
      <c r="K162" s="8">
        <f t="shared" si="15"/>
        <v>0.91925465838509313</v>
      </c>
      <c r="L162" s="27">
        <v>0</v>
      </c>
      <c r="M162" s="21"/>
      <c r="N162" s="27">
        <v>2160</v>
      </c>
      <c r="O162" s="27">
        <v>2160</v>
      </c>
      <c r="P162" s="9">
        <f t="shared" si="16"/>
        <v>-1965</v>
      </c>
      <c r="Q162" s="9">
        <f>IFERROR(IF(D162=20250,O162/(#REF!/30),O162/(I162/30)),0)</f>
        <v>26.832298136645964</v>
      </c>
      <c r="R162" s="9">
        <f t="shared" si="17"/>
        <v>26.832298136645964</v>
      </c>
    </row>
    <row r="163" spans="1:18" ht="13.15" x14ac:dyDescent="0.45">
      <c r="A163" s="15" t="str">
        <f t="shared" si="13"/>
        <v>410502122</v>
      </c>
      <c r="B163" s="19" t="s">
        <v>87</v>
      </c>
      <c r="C163" s="6" t="e">
        <f>_xlfn.XLOOKUP(B:B,#REF!,#REF!)</f>
        <v>#REF!</v>
      </c>
      <c r="D163" s="19" t="s">
        <v>42</v>
      </c>
      <c r="E163" s="6" t="str">
        <f t="shared" si="14"/>
        <v>410502122</v>
      </c>
      <c r="F163" s="19" t="s">
        <v>43</v>
      </c>
      <c r="G163" s="7" t="e">
        <f>VLOOKUP(D163,#REF!,4,)</f>
        <v>#REF!</v>
      </c>
      <c r="H163" s="6" t="e">
        <f>VLOOKUP(D163,#REF!,5,)</f>
        <v>#REF!</v>
      </c>
      <c r="I163" s="27">
        <v>5621.88</v>
      </c>
      <c r="J163" s="27">
        <v>1188</v>
      </c>
      <c r="K163" s="8">
        <f t="shared" si="15"/>
        <v>0.21131721061281991</v>
      </c>
      <c r="L163" s="27">
        <v>0</v>
      </c>
      <c r="M163" s="21"/>
      <c r="N163" s="27">
        <v>7116</v>
      </c>
      <c r="O163" s="27">
        <v>7116</v>
      </c>
      <c r="P163" s="9">
        <f t="shared" si="16"/>
        <v>-2682.12</v>
      </c>
      <c r="Q163" s="9">
        <f>IFERROR(IF(D163=20250,O163/(#REF!/30),O163/(I163/30)),0)</f>
        <v>37.973062391940061</v>
      </c>
      <c r="R163" s="9">
        <f t="shared" si="17"/>
        <v>37.973062391940061</v>
      </c>
    </row>
    <row r="164" spans="1:18" ht="13.15" x14ac:dyDescent="0.45">
      <c r="A164" s="15" t="str">
        <f t="shared" si="13"/>
        <v>410505159</v>
      </c>
      <c r="B164" s="19" t="s">
        <v>87</v>
      </c>
      <c r="C164" s="6" t="e">
        <f>_xlfn.XLOOKUP(B:B,#REF!,#REF!)</f>
        <v>#REF!</v>
      </c>
      <c r="D164" s="19" t="s">
        <v>44</v>
      </c>
      <c r="E164" s="6" t="str">
        <f t="shared" si="14"/>
        <v>410505159</v>
      </c>
      <c r="F164" s="19" t="s">
        <v>45</v>
      </c>
      <c r="G164" s="7" t="e">
        <f>VLOOKUP(D164,#REF!,4,)</f>
        <v>#REF!</v>
      </c>
      <c r="H164" s="6" t="e">
        <f>VLOOKUP(D164,#REF!,5,)</f>
        <v>#REF!</v>
      </c>
      <c r="I164" s="27">
        <v>34.56</v>
      </c>
      <c r="J164" s="27">
        <v>0</v>
      </c>
      <c r="K164" s="8">
        <f t="shared" si="15"/>
        <v>0</v>
      </c>
      <c r="L164" s="27">
        <v>0</v>
      </c>
      <c r="M164" s="21"/>
      <c r="N164" s="27">
        <v>36</v>
      </c>
      <c r="O164" s="27">
        <v>36</v>
      </c>
      <c r="P164" s="9">
        <f t="shared" si="16"/>
        <v>-1.4399999999999977</v>
      </c>
      <c r="Q164" s="9">
        <f>IFERROR(IF(D164=20250,O164/(#REF!/30),O164/(I164/30)),0)</f>
        <v>31.249999999999996</v>
      </c>
      <c r="R164" s="9">
        <f t="shared" si="17"/>
        <v>31.249999999999996</v>
      </c>
    </row>
    <row r="165" spans="1:18" ht="13.15" x14ac:dyDescent="0.45">
      <c r="A165" s="15" t="str">
        <f t="shared" si="13"/>
        <v>410506982</v>
      </c>
      <c r="B165" s="19" t="s">
        <v>87</v>
      </c>
      <c r="C165" s="6" t="e">
        <f>_xlfn.XLOOKUP(B:B,#REF!,#REF!)</f>
        <v>#REF!</v>
      </c>
      <c r="D165" s="19" t="s">
        <v>46</v>
      </c>
      <c r="E165" s="6" t="str">
        <f t="shared" si="14"/>
        <v>410506982</v>
      </c>
      <c r="F165" s="19" t="s">
        <v>47</v>
      </c>
      <c r="G165" s="7" t="e">
        <f>VLOOKUP(D165,#REF!,4,)</f>
        <v>#REF!</v>
      </c>
      <c r="H165" s="6" t="e">
        <f>VLOOKUP(D165,#REF!,5,)</f>
        <v>#REF!</v>
      </c>
      <c r="I165" s="27">
        <v>8971.32</v>
      </c>
      <c r="J165" s="27">
        <v>5460</v>
      </c>
      <c r="K165" s="8">
        <f t="shared" si="15"/>
        <v>0.6086060914112974</v>
      </c>
      <c r="L165" s="27">
        <v>0</v>
      </c>
      <c r="M165" s="21"/>
      <c r="N165" s="27">
        <v>10620</v>
      </c>
      <c r="O165" s="27">
        <v>10620</v>
      </c>
      <c r="P165" s="9">
        <f t="shared" si="16"/>
        <v>-7108.68</v>
      </c>
      <c r="Q165" s="9">
        <f>IFERROR(IF(D165=20250,O165/(#REF!/30),O165/(I165/30)),0)</f>
        <v>35.513168630703177</v>
      </c>
      <c r="R165" s="9">
        <f t="shared" si="17"/>
        <v>35.513168630703177</v>
      </c>
    </row>
    <row r="166" spans="1:18" ht="13.15" x14ac:dyDescent="0.45">
      <c r="A166" s="15" t="str">
        <f t="shared" si="13"/>
        <v>410507310</v>
      </c>
      <c r="B166" s="19" t="s">
        <v>87</v>
      </c>
      <c r="C166" s="6" t="e">
        <f>_xlfn.XLOOKUP(B:B,#REF!,#REF!)</f>
        <v>#REF!</v>
      </c>
      <c r="D166" s="19" t="s">
        <v>16</v>
      </c>
      <c r="E166" s="6" t="str">
        <f t="shared" si="14"/>
        <v>410507310</v>
      </c>
      <c r="F166" s="19" t="s">
        <v>17</v>
      </c>
      <c r="G166" s="7" t="e">
        <f>VLOOKUP(D166,#REF!,4,)</f>
        <v>#REF!</v>
      </c>
      <c r="H166" s="6" t="e">
        <f>VLOOKUP(D166,#REF!,5,)</f>
        <v>#REF!</v>
      </c>
      <c r="I166" s="27">
        <v>13513.32</v>
      </c>
      <c r="J166" s="27">
        <v>7992</v>
      </c>
      <c r="K166" s="8">
        <f t="shared" si="15"/>
        <v>0.59141646908383727</v>
      </c>
      <c r="L166" s="27">
        <v>0</v>
      </c>
      <c r="M166" s="21"/>
      <c r="N166" s="27">
        <v>20112</v>
      </c>
      <c r="O166" s="27">
        <v>20112</v>
      </c>
      <c r="P166" s="9">
        <f t="shared" si="16"/>
        <v>-14590.68</v>
      </c>
      <c r="Q166" s="9">
        <f>IFERROR(IF(D166=20250,O166/(#REF!/30),O166/(I166/30)),0)</f>
        <v>44.649279377680685</v>
      </c>
      <c r="R166" s="9">
        <f t="shared" si="17"/>
        <v>44.649279377680685</v>
      </c>
    </row>
    <row r="167" spans="1:18" ht="13.15" x14ac:dyDescent="0.45">
      <c r="A167" s="15" t="str">
        <f t="shared" si="13"/>
        <v>410508529</v>
      </c>
      <c r="B167" s="19" t="s">
        <v>87</v>
      </c>
      <c r="C167" s="6" t="e">
        <f>_xlfn.XLOOKUP(B:B,#REF!,#REF!)</f>
        <v>#REF!</v>
      </c>
      <c r="D167" s="19" t="s">
        <v>48</v>
      </c>
      <c r="E167" s="6" t="str">
        <f t="shared" si="14"/>
        <v>410508529</v>
      </c>
      <c r="F167" s="19" t="s">
        <v>49</v>
      </c>
      <c r="G167" s="7" t="e">
        <f>VLOOKUP(D167,#REF!,4,)</f>
        <v>#REF!</v>
      </c>
      <c r="H167" s="6" t="e">
        <f>VLOOKUP(D167,#REF!,5,)</f>
        <v>#REF!</v>
      </c>
      <c r="I167" s="27">
        <v>8263.56</v>
      </c>
      <c r="J167" s="27">
        <v>4992</v>
      </c>
      <c r="K167" s="8">
        <f t="shared" si="15"/>
        <v>0.60409799166460942</v>
      </c>
      <c r="L167" s="27">
        <v>0</v>
      </c>
      <c r="M167" s="21"/>
      <c r="N167" s="27">
        <v>10032</v>
      </c>
      <c r="O167" s="27">
        <v>10032</v>
      </c>
      <c r="P167" s="9">
        <f t="shared" si="16"/>
        <v>-6760.4400000000005</v>
      </c>
      <c r="Q167" s="9">
        <f>IFERROR(IF(D167=20250,O167/(#REF!/30),O167/(I167/30)),0)</f>
        <v>36.420138535933667</v>
      </c>
      <c r="R167" s="9">
        <f t="shared" si="17"/>
        <v>36.420138535933667</v>
      </c>
    </row>
    <row r="168" spans="1:18" ht="13.15" x14ac:dyDescent="0.45">
      <c r="A168" s="15" t="str">
        <f t="shared" si="13"/>
        <v>410513179</v>
      </c>
      <c r="B168" s="19" t="s">
        <v>87</v>
      </c>
      <c r="C168" s="6" t="e">
        <f>_xlfn.XLOOKUP(B:B,#REF!,#REF!)</f>
        <v>#REF!</v>
      </c>
      <c r="D168" s="19" t="s">
        <v>18</v>
      </c>
      <c r="E168" s="6" t="str">
        <f t="shared" si="14"/>
        <v>410513179</v>
      </c>
      <c r="F168" s="19" t="s">
        <v>19</v>
      </c>
      <c r="G168" s="7" t="e">
        <f>VLOOKUP(D168,#REF!,4,)</f>
        <v>#REF!</v>
      </c>
      <c r="H168" s="6" t="e">
        <f>VLOOKUP(D168,#REF!,5,)</f>
        <v>#REF!</v>
      </c>
      <c r="I168" s="27">
        <v>16975.560000000001</v>
      </c>
      <c r="J168" s="27">
        <v>9768</v>
      </c>
      <c r="K168" s="8">
        <f t="shared" si="15"/>
        <v>0.57541547966606099</v>
      </c>
      <c r="L168" s="27">
        <v>0</v>
      </c>
      <c r="M168" s="21"/>
      <c r="N168" s="27">
        <v>16212</v>
      </c>
      <c r="O168" s="27">
        <v>16212</v>
      </c>
      <c r="P168" s="9">
        <f t="shared" si="16"/>
        <v>-9004.4399999999987</v>
      </c>
      <c r="Q168" s="9">
        <f>IFERROR(IF(D168=20250,O168/(#REF!/30),O168/(I168/30)),0)</f>
        <v>28.650601217279426</v>
      </c>
      <c r="R168" s="9">
        <f t="shared" si="17"/>
        <v>28.650601217279426</v>
      </c>
    </row>
    <row r="169" spans="1:18" ht="13.15" x14ac:dyDescent="0.45">
      <c r="A169" s="15" t="str">
        <f t="shared" si="13"/>
        <v>410513678</v>
      </c>
      <c r="B169" s="19" t="s">
        <v>87</v>
      </c>
      <c r="C169" s="6" t="e">
        <f>_xlfn.XLOOKUP(B:B,#REF!,#REF!)</f>
        <v>#REF!</v>
      </c>
      <c r="D169" s="19" t="s">
        <v>50</v>
      </c>
      <c r="E169" s="6" t="str">
        <f t="shared" si="14"/>
        <v>410513678</v>
      </c>
      <c r="F169" s="19" t="s">
        <v>51</v>
      </c>
      <c r="G169" s="7" t="e">
        <f>VLOOKUP(D169,#REF!,4,)</f>
        <v>#REF!</v>
      </c>
      <c r="H169" s="6" t="e">
        <f>VLOOKUP(D169,#REF!,5,)</f>
        <v>#REF!</v>
      </c>
      <c r="I169" s="27">
        <v>5385.36</v>
      </c>
      <c r="J169" s="27">
        <v>4956</v>
      </c>
      <c r="K169" s="8">
        <f t="shared" si="15"/>
        <v>0.9202727394268907</v>
      </c>
      <c r="L169" s="27">
        <v>0</v>
      </c>
      <c r="M169" s="21"/>
      <c r="N169" s="27">
        <v>5496</v>
      </c>
      <c r="O169" s="27">
        <v>5496</v>
      </c>
      <c r="P169" s="9">
        <f t="shared" si="16"/>
        <v>-5066.6400000000003</v>
      </c>
      <c r="Q169" s="9">
        <f>IFERROR(IF(D169=20250,O169/(#REF!/30),O169/(I169/30)),0)</f>
        <v>30.616337626453941</v>
      </c>
      <c r="R169" s="9">
        <f t="shared" si="17"/>
        <v>30.616337626453941</v>
      </c>
    </row>
    <row r="170" spans="1:18" ht="13.15" x14ac:dyDescent="0.45">
      <c r="A170" s="15" t="str">
        <f t="shared" si="13"/>
        <v>410514654</v>
      </c>
      <c r="B170" s="19" t="s">
        <v>87</v>
      </c>
      <c r="C170" s="6" t="e">
        <f>_xlfn.XLOOKUP(B:B,#REF!,#REF!)</f>
        <v>#REF!</v>
      </c>
      <c r="D170" s="19" t="s">
        <v>52</v>
      </c>
      <c r="E170" s="6" t="str">
        <f t="shared" si="14"/>
        <v>410514654</v>
      </c>
      <c r="F170" s="19" t="s">
        <v>53</v>
      </c>
      <c r="G170" s="7" t="e">
        <f>VLOOKUP(D170,#REF!,4,)</f>
        <v>#REF!</v>
      </c>
      <c r="H170" s="6" t="e">
        <f>VLOOKUP(D170,#REF!,5,)</f>
        <v>#REF!</v>
      </c>
      <c r="I170" s="27">
        <v>1682.52</v>
      </c>
      <c r="J170" s="27">
        <v>984</v>
      </c>
      <c r="K170" s="8">
        <f t="shared" si="15"/>
        <v>0.58483703016903221</v>
      </c>
      <c r="L170" s="27">
        <v>0</v>
      </c>
      <c r="M170" s="21"/>
      <c r="N170" s="27">
        <v>1116</v>
      </c>
      <c r="O170" s="27">
        <v>1116</v>
      </c>
      <c r="P170" s="9">
        <f t="shared" si="16"/>
        <v>-417.48</v>
      </c>
      <c r="Q170" s="9">
        <f>IFERROR(IF(D170=20250,O170/(#REF!/30),O170/(I170/30)),0)</f>
        <v>19.898723343556096</v>
      </c>
      <c r="R170" s="9">
        <f t="shared" si="17"/>
        <v>19.898723343556096</v>
      </c>
    </row>
    <row r="171" spans="1:18" ht="13.15" x14ac:dyDescent="0.45">
      <c r="A171" s="15" t="str">
        <f t="shared" si="13"/>
        <v>410514788</v>
      </c>
      <c r="B171" s="19" t="s">
        <v>87</v>
      </c>
      <c r="C171" s="6" t="e">
        <f>_xlfn.XLOOKUP(B:B,#REF!,#REF!)</f>
        <v>#REF!</v>
      </c>
      <c r="D171" s="19" t="s">
        <v>54</v>
      </c>
      <c r="E171" s="6" t="str">
        <f t="shared" si="14"/>
        <v>410514788</v>
      </c>
      <c r="F171" s="19" t="s">
        <v>55</v>
      </c>
      <c r="G171" s="7" t="e">
        <f>VLOOKUP(D171,#REF!,4,)</f>
        <v>#REF!</v>
      </c>
      <c r="H171" s="6" t="e">
        <f>VLOOKUP(D171,#REF!,5,)</f>
        <v>#REF!</v>
      </c>
      <c r="I171" s="27">
        <v>34204.68</v>
      </c>
      <c r="J171" s="27">
        <v>19932</v>
      </c>
      <c r="K171" s="8">
        <f t="shared" si="15"/>
        <v>0.58272727591662898</v>
      </c>
      <c r="L171" s="27">
        <v>0</v>
      </c>
      <c r="M171" s="21"/>
      <c r="N171" s="27">
        <v>20280</v>
      </c>
      <c r="O171" s="27">
        <v>20280</v>
      </c>
      <c r="P171" s="9">
        <f t="shared" si="16"/>
        <v>-6007.32</v>
      </c>
      <c r="Q171" s="9">
        <f>IFERROR(IF(D171=20250,O171/(#REF!/30),O171/(I171/30)),0)</f>
        <v>17.787039668255925</v>
      </c>
      <c r="R171" s="9">
        <f t="shared" si="17"/>
        <v>17.787039668255925</v>
      </c>
    </row>
    <row r="172" spans="1:18" ht="13.15" x14ac:dyDescent="0.45">
      <c r="A172" s="15" t="str">
        <f t="shared" si="13"/>
        <v>410515536</v>
      </c>
      <c r="B172" s="19" t="s">
        <v>87</v>
      </c>
      <c r="C172" s="6" t="e">
        <f>_xlfn.XLOOKUP(B:B,#REF!,#REF!)</f>
        <v>#REF!</v>
      </c>
      <c r="D172" s="19" t="s">
        <v>56</v>
      </c>
      <c r="E172" s="6" t="str">
        <f t="shared" si="14"/>
        <v>410515536</v>
      </c>
      <c r="F172" s="19" t="s">
        <v>57</v>
      </c>
      <c r="G172" s="7" t="e">
        <f>VLOOKUP(D172,#REF!,4,)</f>
        <v>#REF!</v>
      </c>
      <c r="H172" s="6" t="e">
        <f>VLOOKUP(D172,#REF!,5,)</f>
        <v>#REF!</v>
      </c>
      <c r="I172" s="27">
        <v>4407.3599999999997</v>
      </c>
      <c r="J172" s="27">
        <v>2940</v>
      </c>
      <c r="K172" s="8">
        <f t="shared" si="15"/>
        <v>0.66706599869309524</v>
      </c>
      <c r="L172" s="27">
        <v>0</v>
      </c>
      <c r="M172" s="21"/>
      <c r="N172" s="27">
        <v>6048</v>
      </c>
      <c r="O172" s="27">
        <v>6048</v>
      </c>
      <c r="P172" s="9">
        <f t="shared" si="16"/>
        <v>-4580.6400000000003</v>
      </c>
      <c r="Q172" s="9">
        <f>IFERROR(IF(D172=20250,O172/(#REF!/30),O172/(I172/30)),0)</f>
        <v>41.167501633631026</v>
      </c>
      <c r="R172" s="9">
        <f t="shared" si="17"/>
        <v>41.167501633631026</v>
      </c>
    </row>
    <row r="173" spans="1:18" ht="13.15" x14ac:dyDescent="0.45">
      <c r="A173" s="15" t="str">
        <f t="shared" si="13"/>
        <v>410515906</v>
      </c>
      <c r="B173" s="19" t="s">
        <v>87</v>
      </c>
      <c r="C173" s="6" t="e">
        <f>_xlfn.XLOOKUP(B:B,#REF!,#REF!)</f>
        <v>#REF!</v>
      </c>
      <c r="D173" s="19" t="s">
        <v>58</v>
      </c>
      <c r="E173" s="6" t="str">
        <f t="shared" si="14"/>
        <v>410515906</v>
      </c>
      <c r="F173" s="19" t="s">
        <v>59</v>
      </c>
      <c r="G173" s="7" t="e">
        <f>VLOOKUP(D173,#REF!,4,)</f>
        <v>#REF!</v>
      </c>
      <c r="H173" s="6" t="e">
        <f>VLOOKUP(D173,#REF!,5,)</f>
        <v>#REF!</v>
      </c>
      <c r="I173" s="27">
        <v>3875.88</v>
      </c>
      <c r="J173" s="27">
        <v>2784</v>
      </c>
      <c r="K173" s="8">
        <f t="shared" si="15"/>
        <v>0.71828849190377408</v>
      </c>
      <c r="L173" s="27">
        <v>0</v>
      </c>
      <c r="M173" s="21"/>
      <c r="N173" s="27">
        <v>4104</v>
      </c>
      <c r="O173" s="27">
        <v>4104</v>
      </c>
      <c r="P173" s="9">
        <f t="shared" si="16"/>
        <v>-3012.12</v>
      </c>
      <c r="Q173" s="9">
        <f>IFERROR(IF(D173=20250,O173/(#REF!/30),O173/(I173/30)),0)</f>
        <v>31.765689340227251</v>
      </c>
      <c r="R173" s="9">
        <f t="shared" si="17"/>
        <v>31.765689340227251</v>
      </c>
    </row>
    <row r="174" spans="1:18" ht="13.15" x14ac:dyDescent="0.45">
      <c r="A174" s="15" t="str">
        <f t="shared" si="13"/>
        <v>410516336</v>
      </c>
      <c r="B174" s="19" t="s">
        <v>87</v>
      </c>
      <c r="C174" s="6" t="e">
        <f>_xlfn.XLOOKUP(B:B,#REF!,#REF!)</f>
        <v>#REF!</v>
      </c>
      <c r="D174" s="19" t="s">
        <v>20</v>
      </c>
      <c r="E174" s="6" t="str">
        <f t="shared" si="14"/>
        <v>410516336</v>
      </c>
      <c r="F174" s="19" t="s">
        <v>21</v>
      </c>
      <c r="G174" s="7" t="e">
        <f>VLOOKUP(D174,#REF!,4,)</f>
        <v>#REF!</v>
      </c>
      <c r="H174" s="6" t="e">
        <f>VLOOKUP(D174,#REF!,5,)</f>
        <v>#REF!</v>
      </c>
      <c r="I174" s="27">
        <v>57035.88</v>
      </c>
      <c r="J174" s="27">
        <v>38160</v>
      </c>
      <c r="K174" s="8">
        <f t="shared" si="15"/>
        <v>0.6690525332474927</v>
      </c>
      <c r="L174" s="27">
        <v>0</v>
      </c>
      <c r="M174" s="21"/>
      <c r="N174" s="27">
        <v>51912</v>
      </c>
      <c r="O174" s="27">
        <v>51912</v>
      </c>
      <c r="P174" s="9">
        <f t="shared" si="16"/>
        <v>-33036.120000000003</v>
      </c>
      <c r="Q174" s="9">
        <f>IFERROR(IF(D174=20250,O174/(#REF!/30),O174/(I174/30)),0)</f>
        <v>27.304917536119369</v>
      </c>
      <c r="R174" s="9">
        <f t="shared" si="17"/>
        <v>27.304917536119369</v>
      </c>
    </row>
    <row r="175" spans="1:18" ht="13.15" x14ac:dyDescent="0.45">
      <c r="A175" s="15" t="str">
        <f t="shared" si="13"/>
        <v>410516984</v>
      </c>
      <c r="B175" s="19" t="s">
        <v>87</v>
      </c>
      <c r="C175" s="6" t="e">
        <f>_xlfn.XLOOKUP(B:B,#REF!,#REF!)</f>
        <v>#REF!</v>
      </c>
      <c r="D175" s="19" t="s">
        <v>60</v>
      </c>
      <c r="E175" s="6" t="str">
        <f t="shared" si="14"/>
        <v>410516984</v>
      </c>
      <c r="F175" s="19" t="s">
        <v>61</v>
      </c>
      <c r="G175" s="7" t="e">
        <f>VLOOKUP(D175,#REF!,4,)</f>
        <v>#REF!</v>
      </c>
      <c r="H175" s="6" t="e">
        <f>VLOOKUP(D175,#REF!,5,)</f>
        <v>#REF!</v>
      </c>
      <c r="I175" s="27">
        <v>64.319999999999993</v>
      </c>
      <c r="J175" s="27">
        <v>24</v>
      </c>
      <c r="K175" s="8">
        <f t="shared" si="15"/>
        <v>0.37313432835820898</v>
      </c>
      <c r="L175" s="27">
        <v>0</v>
      </c>
      <c r="M175" s="21"/>
      <c r="N175" s="27">
        <v>228</v>
      </c>
      <c r="O175" s="27">
        <v>228</v>
      </c>
      <c r="P175" s="9">
        <f t="shared" si="16"/>
        <v>-187.68</v>
      </c>
      <c r="Q175" s="9">
        <f>IFERROR(IF(D175=20250,O175/(#REF!/30),O175/(I175/30)),0)</f>
        <v>106.34328358208957</v>
      </c>
      <c r="R175" s="9">
        <f t="shared" si="17"/>
        <v>106.34328358208957</v>
      </c>
    </row>
    <row r="176" spans="1:18" ht="13.15" x14ac:dyDescent="0.45">
      <c r="A176" s="15" t="str">
        <f t="shared" si="13"/>
        <v>410516998</v>
      </c>
      <c r="B176" s="19" t="s">
        <v>87</v>
      </c>
      <c r="C176" s="6" t="e">
        <f>_xlfn.XLOOKUP(B:B,#REF!,#REF!)</f>
        <v>#REF!</v>
      </c>
      <c r="D176" s="19" t="s">
        <v>62</v>
      </c>
      <c r="E176" s="6" t="str">
        <f t="shared" si="14"/>
        <v>410516998</v>
      </c>
      <c r="F176" s="19" t="s">
        <v>63</v>
      </c>
      <c r="G176" s="7" t="e">
        <f>VLOOKUP(D176,#REF!,4,)</f>
        <v>#REF!</v>
      </c>
      <c r="H176" s="6" t="e">
        <f>VLOOKUP(D176,#REF!,5,)</f>
        <v>#REF!</v>
      </c>
      <c r="I176" s="27">
        <v>5804.04</v>
      </c>
      <c r="J176" s="27">
        <v>3204</v>
      </c>
      <c r="K176" s="8">
        <f t="shared" si="15"/>
        <v>0.55202927615936481</v>
      </c>
      <c r="L176" s="27">
        <v>0</v>
      </c>
      <c r="M176" s="21"/>
      <c r="N176" s="27">
        <v>8364</v>
      </c>
      <c r="O176" s="27">
        <v>8364</v>
      </c>
      <c r="P176" s="9">
        <f t="shared" si="16"/>
        <v>-5763.96</v>
      </c>
      <c r="Q176" s="9">
        <f>IFERROR(IF(D176=20250,O176/(#REF!/30),O176/(I176/30)),0)</f>
        <v>43.231955672255879</v>
      </c>
      <c r="R176" s="9">
        <f t="shared" si="17"/>
        <v>43.231955672255879</v>
      </c>
    </row>
    <row r="177" spans="1:18" ht="13.15" x14ac:dyDescent="0.45">
      <c r="A177" s="15" t="str">
        <f t="shared" si="13"/>
        <v>410518098</v>
      </c>
      <c r="B177" s="19" t="s">
        <v>87</v>
      </c>
      <c r="C177" s="6" t="e">
        <f>_xlfn.XLOOKUP(B:B,#REF!,#REF!)</f>
        <v>#REF!</v>
      </c>
      <c r="D177" s="19" t="s">
        <v>64</v>
      </c>
      <c r="E177" s="6" t="str">
        <f t="shared" si="14"/>
        <v>410518098</v>
      </c>
      <c r="F177" s="19" t="s">
        <v>131</v>
      </c>
      <c r="G177" s="7" t="e">
        <f>VLOOKUP(D177,#REF!,4,)</f>
        <v>#REF!</v>
      </c>
      <c r="H177" s="6" t="e">
        <f>VLOOKUP(D177,#REF!,5,)</f>
        <v>#REF!</v>
      </c>
      <c r="I177" s="27">
        <v>579</v>
      </c>
      <c r="J177" s="27">
        <v>264</v>
      </c>
      <c r="K177" s="8">
        <f t="shared" si="15"/>
        <v>0.45595854922279794</v>
      </c>
      <c r="L177" s="27">
        <v>0</v>
      </c>
      <c r="M177" s="21"/>
      <c r="N177" s="27">
        <v>696</v>
      </c>
      <c r="O177" s="27">
        <v>696</v>
      </c>
      <c r="P177" s="9">
        <f t="shared" si="16"/>
        <v>-381</v>
      </c>
      <c r="Q177" s="9">
        <f>IFERROR(IF(D177=20250,O177/(#REF!/30),O177/(I177/30)),0)</f>
        <v>36.062176165803109</v>
      </c>
      <c r="R177" s="9">
        <f t="shared" si="17"/>
        <v>36.062176165803109</v>
      </c>
    </row>
    <row r="178" spans="1:18" ht="13.15" x14ac:dyDescent="0.45">
      <c r="A178" s="15" t="str">
        <f t="shared" si="13"/>
        <v>410520827</v>
      </c>
      <c r="B178" s="19" t="s">
        <v>87</v>
      </c>
      <c r="C178" s="6" t="e">
        <f>_xlfn.XLOOKUP(B:B,#REF!,#REF!)</f>
        <v>#REF!</v>
      </c>
      <c r="D178" s="19" t="s">
        <v>85</v>
      </c>
      <c r="E178" s="6" t="str">
        <f t="shared" si="14"/>
        <v>410520827</v>
      </c>
      <c r="F178" s="19" t="s">
        <v>86</v>
      </c>
      <c r="G178" s="7" t="e">
        <f>VLOOKUP(D178,#REF!,4,)</f>
        <v>#REF!</v>
      </c>
      <c r="H178" s="6" t="e">
        <f>VLOOKUP(D178,#REF!,5,)</f>
        <v>#REF!</v>
      </c>
      <c r="I178" s="27">
        <v>3305.76</v>
      </c>
      <c r="J178" s="27">
        <v>2232</v>
      </c>
      <c r="K178" s="8">
        <f t="shared" si="15"/>
        <v>0.67518513140699865</v>
      </c>
      <c r="L178" s="27">
        <v>0</v>
      </c>
      <c r="M178" s="21"/>
      <c r="N178" s="27">
        <v>4152</v>
      </c>
      <c r="O178" s="27">
        <v>4152</v>
      </c>
      <c r="P178" s="9">
        <f t="shared" si="16"/>
        <v>-3078.24</v>
      </c>
      <c r="Q178" s="9">
        <f>IFERROR(IF(D178=20250,O178/(#REF!/30),O178/(I178/30)),0)</f>
        <v>37.679686365616377</v>
      </c>
      <c r="R178" s="9">
        <f t="shared" si="17"/>
        <v>37.679686365616377</v>
      </c>
    </row>
    <row r="179" spans="1:18" ht="13.15" x14ac:dyDescent="0.45">
      <c r="A179" s="15" t="str">
        <f t="shared" si="13"/>
        <v>410523081</v>
      </c>
      <c r="B179" s="19" t="s">
        <v>87</v>
      </c>
      <c r="C179" s="6" t="e">
        <f>_xlfn.XLOOKUP(B:B,#REF!,#REF!)</f>
        <v>#REF!</v>
      </c>
      <c r="D179" s="19" t="s">
        <v>96</v>
      </c>
      <c r="E179" s="6" t="str">
        <f t="shared" si="14"/>
        <v>410523081</v>
      </c>
      <c r="F179" s="19" t="s">
        <v>97</v>
      </c>
      <c r="G179" s="7" t="e">
        <f>VLOOKUP(D179,#REF!,4,)</f>
        <v>#REF!</v>
      </c>
      <c r="H179" s="6" t="e">
        <f>VLOOKUP(D179,#REF!,5,)</f>
        <v>#REF!</v>
      </c>
      <c r="I179" s="27">
        <v>257.27999999999997</v>
      </c>
      <c r="J179" s="27">
        <v>240</v>
      </c>
      <c r="K179" s="8">
        <f t="shared" si="15"/>
        <v>0.93283582089552253</v>
      </c>
      <c r="L179" s="27">
        <v>0</v>
      </c>
      <c r="M179" s="21"/>
      <c r="N179" s="27">
        <v>132</v>
      </c>
      <c r="O179" s="27">
        <v>132</v>
      </c>
      <c r="P179" s="9">
        <f t="shared" si="16"/>
        <v>-114.72000000000003</v>
      </c>
      <c r="Q179" s="9">
        <f>IFERROR(IF(D179=20250,O179/(#REF!/30),O179/(I179/30)),0)</f>
        <v>15.391791044776122</v>
      </c>
      <c r="R179" s="9">
        <f t="shared" si="17"/>
        <v>15.391791044776122</v>
      </c>
    </row>
    <row r="180" spans="1:18" ht="13.15" x14ac:dyDescent="0.45">
      <c r="A180" s="15" t="str">
        <f t="shared" si="13"/>
        <v>410523401</v>
      </c>
      <c r="B180" s="19" t="s">
        <v>87</v>
      </c>
      <c r="C180" s="6" t="e">
        <f>_xlfn.XLOOKUP(B:B,#REF!,#REF!)</f>
        <v>#REF!</v>
      </c>
      <c r="D180" s="19" t="s">
        <v>98</v>
      </c>
      <c r="E180" s="6" t="str">
        <f t="shared" si="14"/>
        <v>410523401</v>
      </c>
      <c r="F180" s="19" t="s">
        <v>99</v>
      </c>
      <c r="G180" s="7" t="e">
        <f>VLOOKUP(D180,#REF!,4,)</f>
        <v>#REF!</v>
      </c>
      <c r="H180" s="6" t="e">
        <f>VLOOKUP(D180,#REF!,5,)</f>
        <v>#REF!</v>
      </c>
      <c r="I180" s="27">
        <v>2500.08</v>
      </c>
      <c r="J180" s="27">
        <v>780</v>
      </c>
      <c r="K180" s="8">
        <f t="shared" si="15"/>
        <v>0.31199001631947776</v>
      </c>
      <c r="L180" s="27">
        <v>0</v>
      </c>
      <c r="M180" s="21"/>
      <c r="N180" s="27">
        <v>4080</v>
      </c>
      <c r="O180" s="27">
        <v>4080</v>
      </c>
      <c r="P180" s="9">
        <f t="shared" si="16"/>
        <v>-2359.92</v>
      </c>
      <c r="Q180" s="9">
        <f>IFERROR(IF(D180=20250,O180/(#REF!/30),O180/(I180/30)),0)</f>
        <v>48.958433330133438</v>
      </c>
      <c r="R180" s="9">
        <f t="shared" si="17"/>
        <v>48.958433330133438</v>
      </c>
    </row>
    <row r="181" spans="1:18" ht="13.15" x14ac:dyDescent="0.45">
      <c r="A181" s="15" t="str">
        <f t="shared" si="13"/>
        <v>410524768</v>
      </c>
      <c r="B181" s="19" t="s">
        <v>87</v>
      </c>
      <c r="C181" s="6" t="e">
        <f>_xlfn.XLOOKUP(B:B,#REF!,#REF!)</f>
        <v>#REF!</v>
      </c>
      <c r="D181" s="19" t="s">
        <v>111</v>
      </c>
      <c r="E181" s="6" t="str">
        <f t="shared" si="14"/>
        <v>410524768</v>
      </c>
      <c r="F181" s="19" t="s">
        <v>112</v>
      </c>
      <c r="G181" s="7" t="e">
        <f>VLOOKUP(D181,#REF!,4,)</f>
        <v>#REF!</v>
      </c>
      <c r="H181" s="6" t="e">
        <f>VLOOKUP(D181,#REF!,5,)</f>
        <v>#REF!</v>
      </c>
      <c r="I181" s="27">
        <v>3364.2</v>
      </c>
      <c r="J181" s="27">
        <v>1992</v>
      </c>
      <c r="K181" s="8">
        <f t="shared" si="15"/>
        <v>0.59211699661137862</v>
      </c>
      <c r="L181" s="27">
        <v>0</v>
      </c>
      <c r="M181" s="21"/>
      <c r="N181" s="27">
        <v>5520</v>
      </c>
      <c r="O181" s="27">
        <v>5520</v>
      </c>
      <c r="P181" s="9">
        <f t="shared" si="16"/>
        <v>-4147.8</v>
      </c>
      <c r="Q181" s="9">
        <f>IFERROR(IF(D181=20250,O181/(#REF!/30),O181/(I181/30)),0)</f>
        <v>49.224184055644727</v>
      </c>
      <c r="R181" s="9">
        <f t="shared" si="17"/>
        <v>49.224184055644727</v>
      </c>
    </row>
    <row r="182" spans="1:18" ht="13.15" x14ac:dyDescent="0.45">
      <c r="A182" s="15" t="str">
        <f t="shared" si="13"/>
        <v>410525598</v>
      </c>
      <c r="B182" s="19" t="s">
        <v>87</v>
      </c>
      <c r="C182" s="6" t="e">
        <f>_xlfn.XLOOKUP(B:B,#REF!,#REF!)</f>
        <v>#REF!</v>
      </c>
      <c r="D182" s="19" t="s">
        <v>117</v>
      </c>
      <c r="E182" s="6" t="str">
        <f t="shared" si="14"/>
        <v>410525598</v>
      </c>
      <c r="F182" s="19" t="s">
        <v>119</v>
      </c>
      <c r="G182" s="7" t="e">
        <f>VLOOKUP(D182,#REF!,4,)</f>
        <v>#REF!</v>
      </c>
      <c r="H182" s="6" t="e">
        <f>VLOOKUP(D182,#REF!,5,)</f>
        <v>#REF!</v>
      </c>
      <c r="I182" s="27">
        <v>307.8</v>
      </c>
      <c r="J182" s="27">
        <v>468</v>
      </c>
      <c r="K182" s="8">
        <f t="shared" si="15"/>
        <v>1.5204678362573099</v>
      </c>
      <c r="L182" s="27">
        <v>0</v>
      </c>
      <c r="M182" s="21"/>
      <c r="N182" s="27">
        <v>12</v>
      </c>
      <c r="O182" s="27">
        <v>12</v>
      </c>
      <c r="P182" s="9">
        <f t="shared" si="16"/>
        <v>-172.2</v>
      </c>
      <c r="Q182" s="9">
        <f>IFERROR(IF(D182=20250,O182/(#REF!/30),O182/(I182/30)),0)</f>
        <v>1.1695906432748537</v>
      </c>
      <c r="R182" s="9">
        <f t="shared" si="17"/>
        <v>1.1695906432748537</v>
      </c>
    </row>
    <row r="183" spans="1:18" ht="13.15" x14ac:dyDescent="0.45">
      <c r="A183" s="15" t="str">
        <f t="shared" si="13"/>
        <v>410806151</v>
      </c>
      <c r="B183" s="19" t="s">
        <v>110</v>
      </c>
      <c r="C183" s="6" t="e">
        <f>_xlfn.XLOOKUP(B:B,#REF!,#REF!)</f>
        <v>#REF!</v>
      </c>
      <c r="D183" s="19" t="s">
        <v>23</v>
      </c>
      <c r="E183" s="6" t="str">
        <f t="shared" si="14"/>
        <v>410806151</v>
      </c>
      <c r="F183" s="19" t="s">
        <v>24</v>
      </c>
      <c r="G183" s="7" t="e">
        <f>VLOOKUP(D183,#REF!,4,)</f>
        <v>#REF!</v>
      </c>
      <c r="H183" s="6" t="e">
        <f>VLOOKUP(D183,#REF!,5,)</f>
        <v>#REF!</v>
      </c>
      <c r="I183" s="27">
        <v>7722.24</v>
      </c>
      <c r="J183" s="27">
        <v>4488</v>
      </c>
      <c r="K183" s="8">
        <f t="shared" si="15"/>
        <v>0.58117851815017407</v>
      </c>
      <c r="L183" s="27">
        <v>0</v>
      </c>
      <c r="M183" s="21"/>
      <c r="N183" s="27">
        <v>12252</v>
      </c>
      <c r="O183" s="27">
        <v>12252</v>
      </c>
      <c r="P183" s="9">
        <f t="shared" si="16"/>
        <v>-9017.76</v>
      </c>
      <c r="Q183" s="9">
        <f>IFERROR(IF(D183=20250,O183/(#REF!/30),O183/(I183/30)),0)</f>
        <v>47.597588264545003</v>
      </c>
      <c r="R183" s="9">
        <f t="shared" si="17"/>
        <v>47.597588264545003</v>
      </c>
    </row>
    <row r="184" spans="1:18" ht="13.15" x14ac:dyDescent="0.45">
      <c r="A184" s="15" t="str">
        <f t="shared" si="13"/>
        <v>410813490</v>
      </c>
      <c r="B184" s="19" t="s">
        <v>110</v>
      </c>
      <c r="C184" s="6" t="e">
        <f>_xlfn.XLOOKUP(B:B,#REF!,#REF!)</f>
        <v>#REF!</v>
      </c>
      <c r="D184" s="19" t="s">
        <v>27</v>
      </c>
      <c r="E184" s="6" t="str">
        <f t="shared" si="14"/>
        <v>410813490</v>
      </c>
      <c r="F184" s="19" t="s">
        <v>28</v>
      </c>
      <c r="G184" s="7" t="e">
        <f>VLOOKUP(D184,#REF!,4,)</f>
        <v>#REF!</v>
      </c>
      <c r="H184" s="6" t="e">
        <f>VLOOKUP(D184,#REF!,5,)</f>
        <v>#REF!</v>
      </c>
      <c r="I184" s="27">
        <v>774.9</v>
      </c>
      <c r="J184" s="27">
        <v>590</v>
      </c>
      <c r="K184" s="8">
        <f t="shared" si="15"/>
        <v>0.76138856626661511</v>
      </c>
      <c r="L184" s="27">
        <v>0</v>
      </c>
      <c r="M184" s="21"/>
      <c r="N184" s="27">
        <v>8190</v>
      </c>
      <c r="O184" s="27">
        <v>8190</v>
      </c>
      <c r="P184" s="9">
        <f t="shared" si="16"/>
        <v>-8005.1</v>
      </c>
      <c r="Q184" s="9">
        <f>IFERROR(IF(D184=20250,O184/(#REF!/30),O184/(I184/30)),0)</f>
        <v>317.07317073170736</v>
      </c>
      <c r="R184" s="9">
        <f t="shared" si="17"/>
        <v>317.07317073170736</v>
      </c>
    </row>
    <row r="185" spans="1:18" ht="13.15" x14ac:dyDescent="0.45">
      <c r="A185" s="15" t="str">
        <f t="shared" si="13"/>
        <v>410815300</v>
      </c>
      <c r="B185" s="19" t="s">
        <v>110</v>
      </c>
      <c r="C185" s="6" t="e">
        <f>_xlfn.XLOOKUP(B:B,#REF!,#REF!)</f>
        <v>#REF!</v>
      </c>
      <c r="D185" s="19" t="s">
        <v>31</v>
      </c>
      <c r="E185" s="6" t="str">
        <f t="shared" si="14"/>
        <v>410815300</v>
      </c>
      <c r="F185" s="19" t="s">
        <v>32</v>
      </c>
      <c r="G185" s="7" t="e">
        <f>VLOOKUP(D185,#REF!,4,)</f>
        <v>#REF!</v>
      </c>
      <c r="H185" s="6" t="e">
        <f>VLOOKUP(D185,#REF!,5,)</f>
        <v>#REF!</v>
      </c>
      <c r="I185" s="27">
        <v>207.81</v>
      </c>
      <c r="J185" s="27">
        <v>90</v>
      </c>
      <c r="K185" s="8">
        <f t="shared" si="15"/>
        <v>0.43308791684711995</v>
      </c>
      <c r="L185" s="27">
        <v>0</v>
      </c>
      <c r="M185" s="21"/>
      <c r="N185" s="27">
        <v>1053</v>
      </c>
      <c r="O185" s="27">
        <v>1053</v>
      </c>
      <c r="P185" s="9">
        <f t="shared" si="16"/>
        <v>-935.19</v>
      </c>
      <c r="Q185" s="9">
        <f>IFERROR(IF(D185=20250,O185/(#REF!/30),O185/(I185/30)),0)</f>
        <v>152.01385881333908</v>
      </c>
      <c r="R185" s="9">
        <f t="shared" si="17"/>
        <v>152.01385881333908</v>
      </c>
    </row>
    <row r="186" spans="1:18" ht="13.15" x14ac:dyDescent="0.45">
      <c r="A186" s="15" t="str">
        <f t="shared" si="13"/>
        <v>410819690</v>
      </c>
      <c r="B186" s="19" t="s">
        <v>110</v>
      </c>
      <c r="C186" s="6" t="e">
        <f>_xlfn.XLOOKUP(B:B,#REF!,#REF!)</f>
        <v>#REF!</v>
      </c>
      <c r="D186" s="19" t="s">
        <v>66</v>
      </c>
      <c r="E186" s="6" t="str">
        <f t="shared" si="14"/>
        <v>410819690</v>
      </c>
      <c r="F186" s="19" t="s">
        <v>67</v>
      </c>
      <c r="G186" s="7" t="e">
        <f>VLOOKUP(D186,#REF!,4,)</f>
        <v>#REF!</v>
      </c>
      <c r="H186" s="6" t="e">
        <f>VLOOKUP(D186,#REF!,5,)</f>
        <v>#REF!</v>
      </c>
      <c r="I186" s="27">
        <v>206.76</v>
      </c>
      <c r="J186" s="27">
        <v>12</v>
      </c>
      <c r="K186" s="8">
        <f t="shared" si="15"/>
        <v>5.8038305281485784E-2</v>
      </c>
      <c r="L186" s="27">
        <v>0</v>
      </c>
      <c r="M186" s="21"/>
      <c r="N186" s="27">
        <v>180</v>
      </c>
      <c r="O186" s="27">
        <v>180</v>
      </c>
      <c r="P186" s="9">
        <f t="shared" si="16"/>
        <v>14.759999999999991</v>
      </c>
      <c r="Q186" s="9">
        <f>IFERROR(IF(D186=20250,O186/(#REF!/30),O186/(I186/30)),0)</f>
        <v>26.117237376668605</v>
      </c>
      <c r="R186" s="9">
        <f t="shared" si="17"/>
        <v>26.117237376668605</v>
      </c>
    </row>
    <row r="187" spans="1:18" ht="13.15" x14ac:dyDescent="0.45">
      <c r="A187" s="15" t="str">
        <f t="shared" si="13"/>
        <v>410820661</v>
      </c>
      <c r="B187" s="19" t="s">
        <v>110</v>
      </c>
      <c r="C187" s="6" t="e">
        <f>_xlfn.XLOOKUP(B:B,#REF!,#REF!)</f>
        <v>#REF!</v>
      </c>
      <c r="D187" s="19" t="s">
        <v>88</v>
      </c>
      <c r="E187" s="6" t="str">
        <f t="shared" si="14"/>
        <v>410820661</v>
      </c>
      <c r="F187" s="19" t="s">
        <v>89</v>
      </c>
      <c r="G187" s="7" t="e">
        <f>VLOOKUP(D187,#REF!,4,)</f>
        <v>#REF!</v>
      </c>
      <c r="H187" s="6" t="e">
        <f>VLOOKUP(D187,#REF!,5,)</f>
        <v>#REF!</v>
      </c>
      <c r="I187" s="27">
        <v>1286.6400000000001</v>
      </c>
      <c r="J187" s="27">
        <v>588</v>
      </c>
      <c r="K187" s="8">
        <f t="shared" si="15"/>
        <v>0.45700429024435735</v>
      </c>
      <c r="L187" s="27">
        <v>0</v>
      </c>
      <c r="M187" s="21"/>
      <c r="N187" s="27">
        <v>48</v>
      </c>
      <c r="O187" s="27">
        <v>48</v>
      </c>
      <c r="P187" s="9">
        <f t="shared" si="16"/>
        <v>650.6400000000001</v>
      </c>
      <c r="Q187" s="9">
        <f>IFERROR(IF(D187=20250,O187/(#REF!/30),O187/(I187/30)),0)</f>
        <v>1.119194180190263</v>
      </c>
      <c r="R187" s="9">
        <f t="shared" si="17"/>
        <v>1.119194180190263</v>
      </c>
    </row>
    <row r="188" spans="1:18" ht="13.15" x14ac:dyDescent="0.45">
      <c r="A188" s="15" t="str">
        <f t="shared" si="13"/>
        <v>410823638</v>
      </c>
      <c r="B188" s="19" t="s">
        <v>110</v>
      </c>
      <c r="C188" s="6" t="e">
        <f>_xlfn.XLOOKUP(B:B,#REF!,#REF!)</f>
        <v>#REF!</v>
      </c>
      <c r="D188" s="19" t="s">
        <v>100</v>
      </c>
      <c r="E188" s="6" t="str">
        <f t="shared" si="14"/>
        <v>410823638</v>
      </c>
      <c r="F188" s="19" t="s">
        <v>101</v>
      </c>
      <c r="G188" s="7" t="e">
        <f>VLOOKUP(D188,#REF!,4,)</f>
        <v>#REF!</v>
      </c>
      <c r="H188" s="6" t="e">
        <f>VLOOKUP(D188,#REF!,5,)</f>
        <v>#REF!</v>
      </c>
      <c r="I188" s="27">
        <v>4999.92</v>
      </c>
      <c r="J188" s="27">
        <v>3720</v>
      </c>
      <c r="K188" s="8">
        <f t="shared" si="15"/>
        <v>0.74401190419046703</v>
      </c>
      <c r="L188" s="27">
        <v>0</v>
      </c>
      <c r="M188" s="21"/>
      <c r="N188" s="27">
        <v>1176</v>
      </c>
      <c r="O188" s="27">
        <v>1176</v>
      </c>
      <c r="P188" s="9">
        <f t="shared" si="16"/>
        <v>103.92000000000007</v>
      </c>
      <c r="Q188" s="9">
        <f>IFERROR(IF(D188=20250,O188/(#REF!/30),O188/(I188/30)),0)</f>
        <v>7.0561128978063641</v>
      </c>
      <c r="R188" s="9">
        <f t="shared" si="17"/>
        <v>7.0561128978063641</v>
      </c>
    </row>
    <row r="189" spans="1:18" ht="13.15" x14ac:dyDescent="0.45">
      <c r="A189" s="15" t="str">
        <f t="shared" si="13"/>
        <v>410825885</v>
      </c>
      <c r="B189" s="19" t="s">
        <v>110</v>
      </c>
      <c r="C189" s="6" t="e">
        <f>_xlfn.XLOOKUP(B:B,#REF!,#REF!)</f>
        <v>#REF!</v>
      </c>
      <c r="D189" s="19" t="s">
        <v>122</v>
      </c>
      <c r="E189" s="6" t="str">
        <f t="shared" si="14"/>
        <v>410825885</v>
      </c>
      <c r="F189" s="19" t="s">
        <v>123</v>
      </c>
      <c r="G189" s="7" t="e">
        <f>VLOOKUP(D189,#REF!,4,)</f>
        <v>#REF!</v>
      </c>
      <c r="H189" s="6" t="e">
        <f>VLOOKUP(D189,#REF!,5,)</f>
        <v>#REF!</v>
      </c>
      <c r="I189" s="27">
        <v>1548</v>
      </c>
      <c r="J189" s="27">
        <v>72</v>
      </c>
      <c r="K189" s="8">
        <f t="shared" si="15"/>
        <v>4.6511627906976744E-2</v>
      </c>
      <c r="L189" s="27">
        <v>0</v>
      </c>
      <c r="M189" s="21"/>
      <c r="N189" s="27">
        <v>45372</v>
      </c>
      <c r="O189" s="27">
        <v>45372</v>
      </c>
      <c r="P189" s="9">
        <f t="shared" si="16"/>
        <v>-43896</v>
      </c>
      <c r="Q189" s="9">
        <f>IFERROR(IF(D189=20250,O189/(#REF!/30),O189/(I189/30)),0)</f>
        <v>879.30232558139528</v>
      </c>
      <c r="R189" s="9">
        <f t="shared" si="17"/>
        <v>879.30232558139528</v>
      </c>
    </row>
    <row r="190" spans="1:18" ht="13.15" x14ac:dyDescent="0.45">
      <c r="A190" s="15" t="str">
        <f t="shared" si="13"/>
        <v>410826234</v>
      </c>
      <c r="B190" s="19" t="s">
        <v>110</v>
      </c>
      <c r="C190" s="6" t="e">
        <f>_xlfn.XLOOKUP(B:B,#REF!,#REF!)</f>
        <v>#REF!</v>
      </c>
      <c r="D190" s="19" t="s">
        <v>126</v>
      </c>
      <c r="E190" s="6" t="str">
        <f t="shared" si="14"/>
        <v>410826234</v>
      </c>
      <c r="F190" s="19" t="s">
        <v>127</v>
      </c>
      <c r="G190" s="7" t="e">
        <f>VLOOKUP(D190,#REF!,4,)</f>
        <v>#REF!</v>
      </c>
      <c r="H190" s="6" t="e">
        <f>VLOOKUP(D190,#REF!,5,)</f>
        <v>#REF!</v>
      </c>
      <c r="I190" s="27">
        <v>0</v>
      </c>
      <c r="J190" s="27">
        <v>0</v>
      </c>
      <c r="K190" s="8">
        <f t="shared" si="15"/>
        <v>0</v>
      </c>
      <c r="L190" s="27">
        <v>0</v>
      </c>
      <c r="M190" s="21"/>
      <c r="N190" s="27">
        <v>10680</v>
      </c>
      <c r="O190" s="27">
        <v>10680</v>
      </c>
      <c r="P190" s="9">
        <f t="shared" si="16"/>
        <v>-10680</v>
      </c>
      <c r="Q190" s="9">
        <f>IFERROR(IF(D190=20250,O190/(#REF!/30),O190/(I190/30)),0)</f>
        <v>0</v>
      </c>
      <c r="R190" s="9">
        <f t="shared" si="17"/>
        <v>0</v>
      </c>
    </row>
    <row r="191" spans="1:18" ht="13.15" x14ac:dyDescent="0.45">
      <c r="A191" s="15" t="str">
        <f t="shared" si="13"/>
        <v>410826984</v>
      </c>
      <c r="B191" s="19" t="s">
        <v>110</v>
      </c>
      <c r="C191" s="6" t="e">
        <f>_xlfn.XLOOKUP(B:B,#REF!,#REF!)</f>
        <v>#REF!</v>
      </c>
      <c r="D191" s="19" t="s">
        <v>142</v>
      </c>
      <c r="E191" s="6" t="str">
        <f t="shared" si="14"/>
        <v>410826984</v>
      </c>
      <c r="F191" s="19" t="s">
        <v>143</v>
      </c>
      <c r="G191" s="7" t="e">
        <f>VLOOKUP(D191,#REF!,4,)</f>
        <v>#REF!</v>
      </c>
      <c r="H191" s="6" t="e">
        <f>VLOOKUP(D191,#REF!,5,)</f>
        <v>#REF!</v>
      </c>
      <c r="I191" s="27">
        <v>0</v>
      </c>
      <c r="J191" s="27">
        <v>0</v>
      </c>
      <c r="K191" s="8">
        <f t="shared" si="15"/>
        <v>0</v>
      </c>
      <c r="L191" s="27">
        <v>0</v>
      </c>
      <c r="M191" s="21"/>
      <c r="N191" s="27">
        <v>1152</v>
      </c>
      <c r="O191" s="27">
        <v>1152</v>
      </c>
      <c r="P191" s="9">
        <f t="shared" si="16"/>
        <v>-1152</v>
      </c>
      <c r="Q191" s="9">
        <f>IFERROR(IF(D191=20250,O191/(#REF!/30),O191/(I191/30)),0)</f>
        <v>0</v>
      </c>
      <c r="R191" s="9">
        <f t="shared" si="17"/>
        <v>0</v>
      </c>
    </row>
    <row r="192" spans="1:18" ht="13.15" x14ac:dyDescent="0.45">
      <c r="A192" s="15" t="str">
        <f t="shared" si="13"/>
        <v>410827021</v>
      </c>
      <c r="B192" s="19" t="s">
        <v>110</v>
      </c>
      <c r="C192" s="6" t="e">
        <f>_xlfn.XLOOKUP(B:B,#REF!,#REF!)</f>
        <v>#REF!</v>
      </c>
      <c r="D192" s="19" t="s">
        <v>140</v>
      </c>
      <c r="E192" s="6" t="str">
        <f t="shared" si="14"/>
        <v>410827021</v>
      </c>
      <c r="F192" s="19" t="s">
        <v>141</v>
      </c>
      <c r="G192" s="7" t="e">
        <f>VLOOKUP(D192,#REF!,4,)</f>
        <v>#REF!</v>
      </c>
      <c r="H192" s="6" t="e">
        <f>VLOOKUP(D192,#REF!,5,)</f>
        <v>#REF!</v>
      </c>
      <c r="I192" s="27">
        <v>0</v>
      </c>
      <c r="J192" s="27">
        <v>0</v>
      </c>
      <c r="K192" s="8">
        <f t="shared" si="15"/>
        <v>0</v>
      </c>
      <c r="L192" s="27">
        <v>0</v>
      </c>
      <c r="M192" s="21"/>
      <c r="N192" s="27">
        <v>696</v>
      </c>
      <c r="O192" s="27">
        <v>696</v>
      </c>
      <c r="P192" s="9">
        <f t="shared" si="16"/>
        <v>-696</v>
      </c>
      <c r="Q192" s="9">
        <f>IFERROR(IF(D192=20250,O192/(#REF!/30),O192/(I192/30)),0)</f>
        <v>0</v>
      </c>
      <c r="R192" s="9">
        <f t="shared" si="17"/>
        <v>0</v>
      </c>
    </row>
    <row r="193" spans="1:18" ht="13.15" x14ac:dyDescent="0.45">
      <c r="A193" s="15" t="str">
        <f t="shared" si="13"/>
        <v>410804145</v>
      </c>
      <c r="B193" s="19" t="s">
        <v>110</v>
      </c>
      <c r="C193" s="6" t="e">
        <f>_xlfn.XLOOKUP(B:B,#REF!,#REF!)</f>
        <v>#REF!</v>
      </c>
      <c r="D193" s="19" t="s">
        <v>25</v>
      </c>
      <c r="E193" s="6" t="str">
        <f t="shared" si="14"/>
        <v>410804145</v>
      </c>
      <c r="F193" s="19" t="s">
        <v>26</v>
      </c>
      <c r="G193" s="7" t="e">
        <f>VLOOKUP(D193,#REF!,4,)</f>
        <v>#REF!</v>
      </c>
      <c r="H193" s="6" t="e">
        <f>VLOOKUP(D193,#REF!,5,)</f>
        <v>#REF!</v>
      </c>
      <c r="I193" s="27">
        <v>131.58000000000001</v>
      </c>
      <c r="J193" s="27">
        <v>72</v>
      </c>
      <c r="K193" s="8">
        <f t="shared" si="15"/>
        <v>0.54719562243502051</v>
      </c>
      <c r="L193" s="27">
        <v>0</v>
      </c>
      <c r="M193" s="21"/>
      <c r="N193" s="27">
        <v>855</v>
      </c>
      <c r="O193" s="27">
        <v>855</v>
      </c>
      <c r="P193" s="9">
        <f t="shared" si="16"/>
        <v>-795.42</v>
      </c>
      <c r="Q193" s="9">
        <f>IFERROR(IF(D193=20250,O193/(#REF!/30),O193/(I193/30)),0)</f>
        <v>194.93844049247605</v>
      </c>
      <c r="R193" s="9">
        <f t="shared" si="17"/>
        <v>194.93844049247605</v>
      </c>
    </row>
    <row r="194" spans="1:18" ht="13.15" x14ac:dyDescent="0.45">
      <c r="A194" s="15" t="str">
        <f t="shared" si="13"/>
        <v>410814248</v>
      </c>
      <c r="B194" s="19" t="s">
        <v>110</v>
      </c>
      <c r="C194" s="6" t="e">
        <f>_xlfn.XLOOKUP(B:B,#REF!,#REF!)</f>
        <v>#REF!</v>
      </c>
      <c r="D194" s="19" t="s">
        <v>29</v>
      </c>
      <c r="E194" s="6" t="str">
        <f t="shared" si="14"/>
        <v>410814248</v>
      </c>
      <c r="F194" s="19" t="s">
        <v>30</v>
      </c>
      <c r="G194" s="7" t="e">
        <f>VLOOKUP(D194,#REF!,4,)</f>
        <v>#REF!</v>
      </c>
      <c r="H194" s="6" t="e">
        <f>VLOOKUP(D194,#REF!,5,)</f>
        <v>#REF!</v>
      </c>
      <c r="I194" s="27">
        <v>129.6</v>
      </c>
      <c r="J194" s="27">
        <v>170</v>
      </c>
      <c r="K194" s="8">
        <f t="shared" si="15"/>
        <v>1.3117283950617284</v>
      </c>
      <c r="L194" s="27">
        <v>0</v>
      </c>
      <c r="M194" s="21"/>
      <c r="N194" s="27">
        <v>17260</v>
      </c>
      <c r="O194" s="27">
        <v>17260</v>
      </c>
      <c r="P194" s="9">
        <f t="shared" si="16"/>
        <v>-17300.400000000001</v>
      </c>
      <c r="Q194" s="9">
        <f>IFERROR(IF(D194=20250,O194/(#REF!/30),O194/(I194/30)),0)</f>
        <v>3995.3703703703709</v>
      </c>
      <c r="R194" s="9">
        <f t="shared" si="17"/>
        <v>3995.3703703703709</v>
      </c>
    </row>
    <row r="195" spans="1:18" ht="13.15" x14ac:dyDescent="0.45">
      <c r="A195" s="15" t="str">
        <f t="shared" si="13"/>
        <v>410815305</v>
      </c>
      <c r="B195" s="19" t="s">
        <v>110</v>
      </c>
      <c r="C195" s="6" t="e">
        <f>_xlfn.XLOOKUP(B:B,#REF!,#REF!)</f>
        <v>#REF!</v>
      </c>
      <c r="D195" s="19" t="s">
        <v>33</v>
      </c>
      <c r="E195" s="6" t="str">
        <f t="shared" si="14"/>
        <v>410815305</v>
      </c>
      <c r="F195" s="19" t="s">
        <v>34</v>
      </c>
      <c r="G195" s="7" t="e">
        <f>VLOOKUP(D195,#REF!,4,)</f>
        <v>#REF!</v>
      </c>
      <c r="H195" s="6" t="e">
        <f>VLOOKUP(D195,#REF!,5,)</f>
        <v>#REF!</v>
      </c>
      <c r="I195" s="27">
        <v>54.36</v>
      </c>
      <c r="J195" s="27">
        <v>45</v>
      </c>
      <c r="K195" s="8">
        <f t="shared" si="15"/>
        <v>0.82781456953642385</v>
      </c>
      <c r="L195" s="27">
        <v>0</v>
      </c>
      <c r="M195" s="21"/>
      <c r="N195" s="27">
        <v>3339</v>
      </c>
      <c r="O195" s="27">
        <v>3339</v>
      </c>
      <c r="P195" s="9">
        <f t="shared" si="16"/>
        <v>-3329.64</v>
      </c>
      <c r="Q195" s="9">
        <f>IFERROR(IF(D195=20250,O195/(#REF!/30),O195/(I195/30)),0)</f>
        <v>1842.7152317880793</v>
      </c>
      <c r="R195" s="9">
        <f t="shared" si="17"/>
        <v>1842.7152317880793</v>
      </c>
    </row>
    <row r="196" spans="1:18" ht="13.15" x14ac:dyDescent="0.45">
      <c r="A196" s="15" t="str">
        <f t="shared" ref="A196:A259" si="18">B196&amp;D196</f>
        <v>410815312</v>
      </c>
      <c r="B196" s="19" t="s">
        <v>110</v>
      </c>
      <c r="C196" s="6" t="e">
        <f>_xlfn.XLOOKUP(B:B,#REF!,#REF!)</f>
        <v>#REF!</v>
      </c>
      <c r="D196" s="19" t="s">
        <v>35</v>
      </c>
      <c r="E196" s="6" t="str">
        <f t="shared" ref="E196:E259" si="19">B196&amp;D196</f>
        <v>410815312</v>
      </c>
      <c r="F196" s="19" t="s">
        <v>36</v>
      </c>
      <c r="G196" s="7" t="e">
        <f>VLOOKUP(D196,#REF!,4,)</f>
        <v>#REF!</v>
      </c>
      <c r="H196" s="6" t="e">
        <f>VLOOKUP(D196,#REF!,5,)</f>
        <v>#REF!</v>
      </c>
      <c r="I196" s="27">
        <v>0</v>
      </c>
      <c r="J196" s="27">
        <v>0</v>
      </c>
      <c r="K196" s="8">
        <f t="shared" ref="K196:K259" si="20">IFERROR(J196/I196,0)</f>
        <v>0</v>
      </c>
      <c r="L196" s="27">
        <v>0</v>
      </c>
      <c r="M196" s="21"/>
      <c r="N196" s="27">
        <v>1422</v>
      </c>
      <c r="O196" s="27">
        <v>1422</v>
      </c>
      <c r="P196" s="9">
        <f t="shared" ref="P196:P259" si="21">I196-J196-O196</f>
        <v>-1422</v>
      </c>
      <c r="Q196" s="9">
        <f>IFERROR(IF(D196=20250,O196/(#REF!/30),O196/(I196/30)),0)</f>
        <v>0</v>
      </c>
      <c r="R196" s="9">
        <f t="shared" ref="R196:R259" si="22">IFERROR(N196/(I196/30),0)</f>
        <v>0</v>
      </c>
    </row>
    <row r="197" spans="1:18" ht="13.15" x14ac:dyDescent="0.45">
      <c r="A197" s="15" t="str">
        <f t="shared" si="18"/>
        <v>410816407</v>
      </c>
      <c r="B197" s="19" t="s">
        <v>110</v>
      </c>
      <c r="C197" s="6" t="e">
        <f>_xlfn.XLOOKUP(B:B,#REF!,#REF!)</f>
        <v>#REF!</v>
      </c>
      <c r="D197" s="19" t="s">
        <v>37</v>
      </c>
      <c r="E197" s="6" t="str">
        <f t="shared" si="19"/>
        <v>410816407</v>
      </c>
      <c r="F197" s="19" t="s">
        <v>38</v>
      </c>
      <c r="G197" s="7" t="e">
        <f>VLOOKUP(D197,#REF!,4,)</f>
        <v>#REF!</v>
      </c>
      <c r="H197" s="6" t="e">
        <f>VLOOKUP(D197,#REF!,5,)</f>
        <v>#REF!</v>
      </c>
      <c r="I197" s="27">
        <v>130.59</v>
      </c>
      <c r="J197" s="27">
        <v>27</v>
      </c>
      <c r="K197" s="8">
        <f t="shared" si="20"/>
        <v>0.2067539627842867</v>
      </c>
      <c r="L197" s="27">
        <v>0</v>
      </c>
      <c r="M197" s="21"/>
      <c r="N197" s="27">
        <v>720</v>
      </c>
      <c r="O197" s="27">
        <v>720</v>
      </c>
      <c r="P197" s="9">
        <f t="shared" si="21"/>
        <v>-616.41</v>
      </c>
      <c r="Q197" s="9">
        <f>IFERROR(IF(D197=20250,O197/(#REF!/30),O197/(I197/30)),0)</f>
        <v>165.40317022742937</v>
      </c>
      <c r="R197" s="9">
        <f t="shared" si="22"/>
        <v>165.40317022742937</v>
      </c>
    </row>
    <row r="198" spans="1:18" ht="13.15" x14ac:dyDescent="0.45">
      <c r="A198" s="15" t="str">
        <f t="shared" si="18"/>
        <v>410800189</v>
      </c>
      <c r="B198" s="19" t="s">
        <v>110</v>
      </c>
      <c r="C198" s="6" t="e">
        <f>_xlfn.XLOOKUP(B:B,#REF!,#REF!)</f>
        <v>#REF!</v>
      </c>
      <c r="D198" s="19" t="s">
        <v>39</v>
      </c>
      <c r="E198" s="6" t="str">
        <f t="shared" si="19"/>
        <v>410800189</v>
      </c>
      <c r="F198" s="19" t="s">
        <v>109</v>
      </c>
      <c r="G198" s="7" t="e">
        <f>VLOOKUP(D198,#REF!,4,)</f>
        <v>#REF!</v>
      </c>
      <c r="H198" s="6" t="e">
        <f>VLOOKUP(D198,#REF!,5,)</f>
        <v>#REF!</v>
      </c>
      <c r="I198" s="27">
        <v>10317.36</v>
      </c>
      <c r="J198" s="27">
        <v>26856</v>
      </c>
      <c r="K198" s="8">
        <f t="shared" si="20"/>
        <v>2.602991462932378</v>
      </c>
      <c r="L198" s="27">
        <v>0</v>
      </c>
      <c r="M198" s="21"/>
      <c r="N198" s="27">
        <v>107436</v>
      </c>
      <c r="O198" s="27">
        <v>107436</v>
      </c>
      <c r="P198" s="9">
        <f t="shared" si="21"/>
        <v>-123974.64</v>
      </c>
      <c r="Q198" s="9">
        <f>IFERROR(IF(D198=20250,O198/(#REF!/30),O198/(I198/30)),0)</f>
        <v>312.39386819884152</v>
      </c>
      <c r="R198" s="9">
        <f t="shared" si="22"/>
        <v>312.39386819884152</v>
      </c>
    </row>
    <row r="199" spans="1:18" ht="13.15" x14ac:dyDescent="0.45">
      <c r="A199" s="15" t="str">
        <f t="shared" si="18"/>
        <v>410801167</v>
      </c>
      <c r="B199" s="19" t="s">
        <v>110</v>
      </c>
      <c r="C199" s="6" t="e">
        <f>_xlfn.XLOOKUP(B:B,#REF!,#REF!)</f>
        <v>#REF!</v>
      </c>
      <c r="D199" s="19" t="s">
        <v>40</v>
      </c>
      <c r="E199" s="6" t="str">
        <f t="shared" si="19"/>
        <v>410801167</v>
      </c>
      <c r="F199" s="19" t="s">
        <v>41</v>
      </c>
      <c r="G199" s="7" t="e">
        <f>VLOOKUP(D199,#REF!,4,)</f>
        <v>#REF!</v>
      </c>
      <c r="H199" s="6" t="e">
        <f>VLOOKUP(D199,#REF!,5,)</f>
        <v>#REF!</v>
      </c>
      <c r="I199" s="27">
        <v>1615.2</v>
      </c>
      <c r="J199" s="27">
        <v>1224</v>
      </c>
      <c r="K199" s="8">
        <f t="shared" si="20"/>
        <v>0.7578008915304606</v>
      </c>
      <c r="L199" s="27">
        <v>0</v>
      </c>
      <c r="M199" s="21"/>
      <c r="N199" s="27">
        <v>1344</v>
      </c>
      <c r="O199" s="27">
        <v>1344</v>
      </c>
      <c r="P199" s="9">
        <f t="shared" si="21"/>
        <v>-952.8</v>
      </c>
      <c r="Q199" s="9">
        <f>IFERROR(IF(D199=20250,O199/(#REF!/30),O199/(I199/30)),0)</f>
        <v>24.962852897473997</v>
      </c>
      <c r="R199" s="9">
        <f t="shared" si="22"/>
        <v>24.962852897473997</v>
      </c>
    </row>
    <row r="200" spans="1:18" ht="13.15" x14ac:dyDescent="0.45">
      <c r="A200" s="15" t="str">
        <f t="shared" si="18"/>
        <v>410801296</v>
      </c>
      <c r="B200" s="19" t="s">
        <v>110</v>
      </c>
      <c r="C200" s="6" t="e">
        <f>_xlfn.XLOOKUP(B:B,#REF!,#REF!)</f>
        <v>#REF!</v>
      </c>
      <c r="D200" s="19" t="s">
        <v>14</v>
      </c>
      <c r="E200" s="6" t="str">
        <f t="shared" si="19"/>
        <v>410801296</v>
      </c>
      <c r="F200" s="19" t="s">
        <v>15</v>
      </c>
      <c r="G200" s="7" t="e">
        <f>VLOOKUP(D200,#REF!,4,)</f>
        <v>#REF!</v>
      </c>
      <c r="H200" s="6" t="e">
        <f>VLOOKUP(D200,#REF!,5,)</f>
        <v>#REF!</v>
      </c>
      <c r="I200" s="27">
        <v>1262.8800000000001</v>
      </c>
      <c r="J200" s="27">
        <v>900</v>
      </c>
      <c r="K200" s="8">
        <f t="shared" si="20"/>
        <v>0.71265678449258829</v>
      </c>
      <c r="L200" s="27">
        <v>0</v>
      </c>
      <c r="M200" s="21"/>
      <c r="N200" s="27">
        <v>1680</v>
      </c>
      <c r="O200" s="27">
        <v>1680</v>
      </c>
      <c r="P200" s="9">
        <f t="shared" si="21"/>
        <v>-1317.12</v>
      </c>
      <c r="Q200" s="9">
        <f>IFERROR(IF(D200=20250,O200/(#REF!/30),O200/(I200/30)),0)</f>
        <v>39.908779931584945</v>
      </c>
      <c r="R200" s="9">
        <f t="shared" si="22"/>
        <v>39.908779931584945</v>
      </c>
    </row>
    <row r="201" spans="1:18" ht="13.15" x14ac:dyDescent="0.45">
      <c r="A201" s="15" t="str">
        <f t="shared" si="18"/>
        <v>410802122</v>
      </c>
      <c r="B201" s="19" t="s">
        <v>110</v>
      </c>
      <c r="C201" s="6" t="e">
        <f>_xlfn.XLOOKUP(B:B,#REF!,#REF!)</f>
        <v>#REF!</v>
      </c>
      <c r="D201" s="19" t="s">
        <v>42</v>
      </c>
      <c r="E201" s="6" t="str">
        <f t="shared" si="19"/>
        <v>410802122</v>
      </c>
      <c r="F201" s="19" t="s">
        <v>43</v>
      </c>
      <c r="G201" s="7" t="e">
        <f>VLOOKUP(D201,#REF!,4,)</f>
        <v>#REF!</v>
      </c>
      <c r="H201" s="6" t="e">
        <f>VLOOKUP(D201,#REF!,5,)</f>
        <v>#REF!</v>
      </c>
      <c r="I201" s="27">
        <v>3978.84</v>
      </c>
      <c r="J201" s="27">
        <v>2112</v>
      </c>
      <c r="K201" s="8">
        <f t="shared" si="20"/>
        <v>0.53080797418343029</v>
      </c>
      <c r="L201" s="27">
        <v>0</v>
      </c>
      <c r="M201" s="21"/>
      <c r="N201" s="27">
        <v>4368</v>
      </c>
      <c r="O201" s="27">
        <v>4368</v>
      </c>
      <c r="P201" s="9">
        <f t="shared" si="21"/>
        <v>-2501.16</v>
      </c>
      <c r="Q201" s="9">
        <f>IFERROR(IF(D201=20250,O201/(#REF!/30),O201/(I201/30)),0)</f>
        <v>32.934222034562836</v>
      </c>
      <c r="R201" s="9">
        <f t="shared" si="22"/>
        <v>32.934222034562836</v>
      </c>
    </row>
    <row r="202" spans="1:18" ht="13.15" x14ac:dyDescent="0.45">
      <c r="A202" s="15" t="str">
        <f t="shared" si="18"/>
        <v>410806982</v>
      </c>
      <c r="B202" s="19" t="s">
        <v>110</v>
      </c>
      <c r="C202" s="6" t="e">
        <f>_xlfn.XLOOKUP(B:B,#REF!,#REF!)</f>
        <v>#REF!</v>
      </c>
      <c r="D202" s="19" t="s">
        <v>46</v>
      </c>
      <c r="E202" s="6" t="str">
        <f t="shared" si="19"/>
        <v>410806982</v>
      </c>
      <c r="F202" s="19" t="s">
        <v>47</v>
      </c>
      <c r="G202" s="7" t="e">
        <f>VLOOKUP(D202,#REF!,4,)</f>
        <v>#REF!</v>
      </c>
      <c r="H202" s="6" t="e">
        <f>VLOOKUP(D202,#REF!,5,)</f>
        <v>#REF!</v>
      </c>
      <c r="I202" s="27">
        <v>2242.8000000000002</v>
      </c>
      <c r="J202" s="27">
        <v>1524</v>
      </c>
      <c r="K202" s="8">
        <f t="shared" si="20"/>
        <v>0.67950775815944353</v>
      </c>
      <c r="L202" s="27">
        <v>0</v>
      </c>
      <c r="M202" s="21"/>
      <c r="N202" s="27">
        <v>480</v>
      </c>
      <c r="O202" s="27">
        <v>480</v>
      </c>
      <c r="P202" s="9">
        <f t="shared" si="21"/>
        <v>238.80000000000018</v>
      </c>
      <c r="Q202" s="9">
        <f>IFERROR(IF(D202=20250,O202/(#REF!/30),O202/(I202/30)),0)</f>
        <v>6.4205457463884423</v>
      </c>
      <c r="R202" s="9">
        <f t="shared" si="22"/>
        <v>6.4205457463884423</v>
      </c>
    </row>
    <row r="203" spans="1:18" ht="13.15" x14ac:dyDescent="0.45">
      <c r="A203" s="15" t="str">
        <f t="shared" si="18"/>
        <v>410807310</v>
      </c>
      <c r="B203" s="19" t="s">
        <v>110</v>
      </c>
      <c r="C203" s="6" t="e">
        <f>_xlfn.XLOOKUP(B:B,#REF!,#REF!)</f>
        <v>#REF!</v>
      </c>
      <c r="D203" s="19" t="s">
        <v>16</v>
      </c>
      <c r="E203" s="6" t="str">
        <f t="shared" si="19"/>
        <v>410807310</v>
      </c>
      <c r="F203" s="19" t="s">
        <v>17</v>
      </c>
      <c r="G203" s="7" t="e">
        <f>VLOOKUP(D203,#REF!,4,)</f>
        <v>#REF!</v>
      </c>
      <c r="H203" s="6" t="e">
        <f>VLOOKUP(D203,#REF!,5,)</f>
        <v>#REF!</v>
      </c>
      <c r="I203" s="27">
        <v>37537.199999999997</v>
      </c>
      <c r="J203" s="27">
        <v>17340</v>
      </c>
      <c r="K203" s="8">
        <f t="shared" si="20"/>
        <v>0.46194175378025004</v>
      </c>
      <c r="L203" s="27">
        <v>0</v>
      </c>
      <c r="M203" s="21"/>
      <c r="N203" s="27">
        <v>35292</v>
      </c>
      <c r="O203" s="27">
        <v>35292</v>
      </c>
      <c r="P203" s="9">
        <f t="shared" si="21"/>
        <v>-15094.800000000003</v>
      </c>
      <c r="Q203" s="9">
        <f>IFERROR(IF(D203=20250,O203/(#REF!/30),O203/(I203/30)),0)</f>
        <v>28.205620024935264</v>
      </c>
      <c r="R203" s="9">
        <f t="shared" si="22"/>
        <v>28.205620024935264</v>
      </c>
    </row>
    <row r="204" spans="1:18" ht="13.15" x14ac:dyDescent="0.45">
      <c r="A204" s="15" t="str">
        <f t="shared" si="18"/>
        <v>410808529</v>
      </c>
      <c r="B204" s="19" t="s">
        <v>110</v>
      </c>
      <c r="C204" s="6" t="e">
        <f>_xlfn.XLOOKUP(B:B,#REF!,#REF!)</f>
        <v>#REF!</v>
      </c>
      <c r="D204" s="19" t="s">
        <v>48</v>
      </c>
      <c r="E204" s="6" t="str">
        <f t="shared" si="19"/>
        <v>410808529</v>
      </c>
      <c r="F204" s="19" t="s">
        <v>49</v>
      </c>
      <c r="G204" s="7" t="e">
        <f>VLOOKUP(D204,#REF!,4,)</f>
        <v>#REF!</v>
      </c>
      <c r="H204" s="6" t="e">
        <f>VLOOKUP(D204,#REF!,5,)</f>
        <v>#REF!</v>
      </c>
      <c r="I204" s="27">
        <v>4957.68</v>
      </c>
      <c r="J204" s="27">
        <v>4716</v>
      </c>
      <c r="K204" s="8">
        <f t="shared" si="20"/>
        <v>0.95125139178002605</v>
      </c>
      <c r="L204" s="27">
        <v>0</v>
      </c>
      <c r="M204" s="21"/>
      <c r="N204" s="27">
        <v>5652</v>
      </c>
      <c r="O204" s="27">
        <v>5652</v>
      </c>
      <c r="P204" s="9">
        <f t="shared" si="21"/>
        <v>-5410.32</v>
      </c>
      <c r="Q204" s="9">
        <f>IFERROR(IF(D204=20250,O204/(#REF!/30),O204/(I204/30)),0)</f>
        <v>34.201481338045213</v>
      </c>
      <c r="R204" s="9">
        <f t="shared" si="22"/>
        <v>34.201481338045213</v>
      </c>
    </row>
    <row r="205" spans="1:18" ht="13.15" x14ac:dyDescent="0.45">
      <c r="A205" s="15" t="str">
        <f t="shared" si="18"/>
        <v>410813179</v>
      </c>
      <c r="B205" s="19" t="s">
        <v>110</v>
      </c>
      <c r="C205" s="6" t="e">
        <f>_xlfn.XLOOKUP(B:B,#REF!,#REF!)</f>
        <v>#REF!</v>
      </c>
      <c r="D205" s="19" t="s">
        <v>18</v>
      </c>
      <c r="E205" s="6" t="str">
        <f t="shared" si="19"/>
        <v>410813179</v>
      </c>
      <c r="F205" s="19" t="s">
        <v>19</v>
      </c>
      <c r="G205" s="7" t="e">
        <f>VLOOKUP(D205,#REF!,4,)</f>
        <v>#REF!</v>
      </c>
      <c r="H205" s="6" t="e">
        <f>VLOOKUP(D205,#REF!,5,)</f>
        <v>#REF!</v>
      </c>
      <c r="I205" s="27">
        <v>12266.28</v>
      </c>
      <c r="J205" s="27">
        <v>10968</v>
      </c>
      <c r="K205" s="8">
        <f t="shared" si="20"/>
        <v>0.89415862021737635</v>
      </c>
      <c r="L205" s="27">
        <v>0</v>
      </c>
      <c r="M205" s="21"/>
      <c r="N205" s="27">
        <v>9168</v>
      </c>
      <c r="O205" s="27">
        <v>9168</v>
      </c>
      <c r="P205" s="9">
        <f t="shared" si="21"/>
        <v>-7869.7199999999993</v>
      </c>
      <c r="Q205" s="9">
        <f>IFERROR(IF(D205=20250,O205/(#REF!/30),O205/(I205/30)),0)</f>
        <v>22.422445924925892</v>
      </c>
      <c r="R205" s="9">
        <f t="shared" si="22"/>
        <v>22.422445924925892</v>
      </c>
    </row>
    <row r="206" spans="1:18" ht="13.15" x14ac:dyDescent="0.45">
      <c r="A206" s="15" t="str">
        <f t="shared" si="18"/>
        <v>410813678</v>
      </c>
      <c r="B206" s="19" t="s">
        <v>110</v>
      </c>
      <c r="C206" s="6" t="e">
        <f>_xlfn.XLOOKUP(B:B,#REF!,#REF!)</f>
        <v>#REF!</v>
      </c>
      <c r="D206" s="19" t="s">
        <v>50</v>
      </c>
      <c r="E206" s="6" t="str">
        <f t="shared" si="19"/>
        <v>410813678</v>
      </c>
      <c r="F206" s="19" t="s">
        <v>51</v>
      </c>
      <c r="G206" s="7" t="e">
        <f>VLOOKUP(D206,#REF!,4,)</f>
        <v>#REF!</v>
      </c>
      <c r="H206" s="6" t="e">
        <f>VLOOKUP(D206,#REF!,5,)</f>
        <v>#REF!</v>
      </c>
      <c r="I206" s="27">
        <v>5574.36</v>
      </c>
      <c r="J206" s="27">
        <v>3120</v>
      </c>
      <c r="K206" s="8">
        <f t="shared" si="20"/>
        <v>0.55970550879383463</v>
      </c>
      <c r="L206" s="27">
        <v>0</v>
      </c>
      <c r="M206" s="21"/>
      <c r="N206" s="27">
        <v>5088</v>
      </c>
      <c r="O206" s="27">
        <v>5088</v>
      </c>
      <c r="P206" s="9">
        <f t="shared" si="21"/>
        <v>-2633.6400000000003</v>
      </c>
      <c r="Q206" s="9">
        <f>IFERROR(IF(D206=20250,O206/(#REF!/30),O206/(I206/30)),0)</f>
        <v>27.382515660990681</v>
      </c>
      <c r="R206" s="9">
        <f t="shared" si="22"/>
        <v>27.382515660990681</v>
      </c>
    </row>
    <row r="207" spans="1:18" ht="13.15" x14ac:dyDescent="0.45">
      <c r="A207" s="15" t="str">
        <f t="shared" si="18"/>
        <v>410814654</v>
      </c>
      <c r="B207" s="19" t="s">
        <v>110</v>
      </c>
      <c r="C207" s="6" t="e">
        <f>_xlfn.XLOOKUP(B:B,#REF!,#REF!)</f>
        <v>#REF!</v>
      </c>
      <c r="D207" s="19" t="s">
        <v>52</v>
      </c>
      <c r="E207" s="6" t="str">
        <f t="shared" si="19"/>
        <v>410814654</v>
      </c>
      <c r="F207" s="19" t="s">
        <v>53</v>
      </c>
      <c r="G207" s="7" t="e">
        <f>VLOOKUP(D207,#REF!,4,)</f>
        <v>#REF!</v>
      </c>
      <c r="H207" s="6" t="e">
        <f>VLOOKUP(D207,#REF!,5,)</f>
        <v>#REF!</v>
      </c>
      <c r="I207" s="27">
        <v>1682.52</v>
      </c>
      <c r="J207" s="27">
        <v>1392</v>
      </c>
      <c r="K207" s="8">
        <f t="shared" si="20"/>
        <v>0.82733043292204556</v>
      </c>
      <c r="L207" s="27">
        <v>0</v>
      </c>
      <c r="M207" s="21"/>
      <c r="N207" s="27">
        <v>912</v>
      </c>
      <c r="O207" s="27">
        <v>912</v>
      </c>
      <c r="P207" s="9">
        <f t="shared" si="21"/>
        <v>-621.48</v>
      </c>
      <c r="Q207" s="9">
        <f>IFERROR(IF(D207=20250,O207/(#REF!/30),O207/(I207/30)),0)</f>
        <v>16.261322302260897</v>
      </c>
      <c r="R207" s="9">
        <f t="shared" si="22"/>
        <v>16.261322302260897</v>
      </c>
    </row>
    <row r="208" spans="1:18" ht="13.15" x14ac:dyDescent="0.45">
      <c r="A208" s="15" t="str">
        <f t="shared" si="18"/>
        <v>410814788</v>
      </c>
      <c r="B208" s="19" t="s">
        <v>110</v>
      </c>
      <c r="C208" s="6" t="e">
        <f>_xlfn.XLOOKUP(B:B,#REF!,#REF!)</f>
        <v>#REF!</v>
      </c>
      <c r="D208" s="19" t="s">
        <v>54</v>
      </c>
      <c r="E208" s="6" t="str">
        <f t="shared" si="19"/>
        <v>410814788</v>
      </c>
      <c r="F208" s="19" t="s">
        <v>55</v>
      </c>
      <c r="G208" s="7" t="e">
        <f>VLOOKUP(D208,#REF!,4,)</f>
        <v>#REF!</v>
      </c>
      <c r="H208" s="6" t="e">
        <f>VLOOKUP(D208,#REF!,5,)</f>
        <v>#REF!</v>
      </c>
      <c r="I208" s="27">
        <v>7849.92</v>
      </c>
      <c r="J208" s="27">
        <v>4908</v>
      </c>
      <c r="K208" s="8">
        <f t="shared" si="20"/>
        <v>0.62522930169988988</v>
      </c>
      <c r="L208" s="27">
        <v>0</v>
      </c>
      <c r="M208" s="21"/>
      <c r="N208" s="27">
        <v>4992</v>
      </c>
      <c r="O208" s="27">
        <v>4992</v>
      </c>
      <c r="P208" s="9">
        <f t="shared" si="21"/>
        <v>-2050.08</v>
      </c>
      <c r="Q208" s="9">
        <f>IFERROR(IF(D208=20250,O208/(#REF!/30),O208/(I208/30)),0)</f>
        <v>19.077901430842608</v>
      </c>
      <c r="R208" s="9">
        <f t="shared" si="22"/>
        <v>19.077901430842608</v>
      </c>
    </row>
    <row r="209" spans="1:18" ht="13.15" x14ac:dyDescent="0.45">
      <c r="A209" s="15" t="str">
        <f t="shared" si="18"/>
        <v>410815536</v>
      </c>
      <c r="B209" s="19" t="s">
        <v>110</v>
      </c>
      <c r="C209" s="6" t="e">
        <f>_xlfn.XLOOKUP(B:B,#REF!,#REF!)</f>
        <v>#REF!</v>
      </c>
      <c r="D209" s="19" t="s">
        <v>56</v>
      </c>
      <c r="E209" s="6" t="str">
        <f t="shared" si="19"/>
        <v>410815536</v>
      </c>
      <c r="F209" s="19" t="s">
        <v>57</v>
      </c>
      <c r="G209" s="7" t="e">
        <f>VLOOKUP(D209,#REF!,4,)</f>
        <v>#REF!</v>
      </c>
      <c r="H209" s="6" t="e">
        <f>VLOOKUP(D209,#REF!,5,)</f>
        <v>#REF!</v>
      </c>
      <c r="I209" s="27">
        <v>2644.68</v>
      </c>
      <c r="J209" s="27">
        <v>2652</v>
      </c>
      <c r="K209" s="8">
        <f t="shared" si="20"/>
        <v>1.0027678206815192</v>
      </c>
      <c r="L209" s="27">
        <v>0</v>
      </c>
      <c r="M209" s="21"/>
      <c r="N209" s="27">
        <v>59940</v>
      </c>
      <c r="O209" s="27">
        <v>59940</v>
      </c>
      <c r="P209" s="9">
        <f t="shared" si="21"/>
        <v>-59947.32</v>
      </c>
      <c r="Q209" s="9">
        <f>IFERROR(IF(D209=20250,O209/(#REF!/30),O209/(I209/30)),0)</f>
        <v>679.93103135350975</v>
      </c>
      <c r="R209" s="9">
        <f t="shared" si="22"/>
        <v>679.93103135350975</v>
      </c>
    </row>
    <row r="210" spans="1:18" ht="13.15" x14ac:dyDescent="0.45">
      <c r="A210" s="15" t="str">
        <f t="shared" si="18"/>
        <v>410815906</v>
      </c>
      <c r="B210" s="19" t="s">
        <v>110</v>
      </c>
      <c r="C210" s="6" t="e">
        <f>_xlfn.XLOOKUP(B:B,#REF!,#REF!)</f>
        <v>#REF!</v>
      </c>
      <c r="D210" s="19" t="s">
        <v>58</v>
      </c>
      <c r="E210" s="6" t="str">
        <f t="shared" si="19"/>
        <v>410815906</v>
      </c>
      <c r="F210" s="19" t="s">
        <v>59</v>
      </c>
      <c r="G210" s="7" t="e">
        <f>VLOOKUP(D210,#REF!,4,)</f>
        <v>#REF!</v>
      </c>
      <c r="H210" s="6" t="e">
        <f>VLOOKUP(D210,#REF!,5,)</f>
        <v>#REF!</v>
      </c>
      <c r="I210" s="27">
        <v>0</v>
      </c>
      <c r="J210" s="27">
        <v>0</v>
      </c>
      <c r="K210" s="8">
        <f t="shared" si="20"/>
        <v>0</v>
      </c>
      <c r="L210" s="27">
        <v>444</v>
      </c>
      <c r="M210" s="21">
        <v>46112</v>
      </c>
      <c r="N210" s="27">
        <v>36</v>
      </c>
      <c r="O210" s="27">
        <v>480</v>
      </c>
      <c r="P210" s="9">
        <f t="shared" si="21"/>
        <v>-480</v>
      </c>
      <c r="Q210" s="9">
        <f>IFERROR(IF(D210=20250,O210/(#REF!/30),O210/(I210/30)),0)</f>
        <v>0</v>
      </c>
      <c r="R210" s="9">
        <f t="shared" si="22"/>
        <v>0</v>
      </c>
    </row>
    <row r="211" spans="1:18" ht="13.15" x14ac:dyDescent="0.45">
      <c r="A211" s="15" t="str">
        <f t="shared" si="18"/>
        <v>410816336</v>
      </c>
      <c r="B211" s="19" t="s">
        <v>110</v>
      </c>
      <c r="C211" s="6" t="e">
        <f>_xlfn.XLOOKUP(B:B,#REF!,#REF!)</f>
        <v>#REF!</v>
      </c>
      <c r="D211" s="19" t="s">
        <v>20</v>
      </c>
      <c r="E211" s="6" t="str">
        <f t="shared" si="19"/>
        <v>410816336</v>
      </c>
      <c r="F211" s="19" t="s">
        <v>21</v>
      </c>
      <c r="G211" s="7" t="e">
        <f>VLOOKUP(D211,#REF!,4,)</f>
        <v>#REF!</v>
      </c>
      <c r="H211" s="6" t="e">
        <f>VLOOKUP(D211,#REF!,5,)</f>
        <v>#REF!</v>
      </c>
      <c r="I211" s="27">
        <v>13688.52</v>
      </c>
      <c r="J211" s="27">
        <v>11472</v>
      </c>
      <c r="K211" s="8">
        <f t="shared" si="20"/>
        <v>0.83807453252798692</v>
      </c>
      <c r="L211" s="27">
        <v>0</v>
      </c>
      <c r="M211" s="21"/>
      <c r="N211" s="27">
        <v>2784</v>
      </c>
      <c r="O211" s="27">
        <v>2784</v>
      </c>
      <c r="P211" s="9">
        <f t="shared" si="21"/>
        <v>-567.47999999999956</v>
      </c>
      <c r="Q211" s="9">
        <f>IFERROR(IF(D211=20250,O211/(#REF!/30),O211/(I211/30)),0)</f>
        <v>6.1014631238439216</v>
      </c>
      <c r="R211" s="9">
        <f t="shared" si="22"/>
        <v>6.1014631238439216</v>
      </c>
    </row>
    <row r="212" spans="1:18" ht="13.15" x14ac:dyDescent="0.45">
      <c r="A212" s="15" t="str">
        <f t="shared" si="18"/>
        <v>410816984</v>
      </c>
      <c r="B212" s="19" t="s">
        <v>110</v>
      </c>
      <c r="C212" s="6" t="e">
        <f>_xlfn.XLOOKUP(B:B,#REF!,#REF!)</f>
        <v>#REF!</v>
      </c>
      <c r="D212" s="19" t="s">
        <v>60</v>
      </c>
      <c r="E212" s="6" t="str">
        <f t="shared" si="19"/>
        <v>410816984</v>
      </c>
      <c r="F212" s="19" t="s">
        <v>61</v>
      </c>
      <c r="G212" s="7" t="e">
        <f>VLOOKUP(D212,#REF!,4,)</f>
        <v>#REF!</v>
      </c>
      <c r="H212" s="6" t="e">
        <f>VLOOKUP(D212,#REF!,5,)</f>
        <v>#REF!</v>
      </c>
      <c r="I212" s="27">
        <v>2019.12</v>
      </c>
      <c r="J212" s="27">
        <v>960</v>
      </c>
      <c r="K212" s="8">
        <f t="shared" si="20"/>
        <v>0.47545465351242128</v>
      </c>
      <c r="L212" s="27">
        <v>0</v>
      </c>
      <c r="M212" s="21"/>
      <c r="N212" s="27">
        <v>7920</v>
      </c>
      <c r="O212" s="27">
        <v>7920</v>
      </c>
      <c r="P212" s="9">
        <f t="shared" si="21"/>
        <v>-6860.88</v>
      </c>
      <c r="Q212" s="9">
        <f>IFERROR(IF(D212=20250,O212/(#REF!/30),O212/(I212/30)),0)</f>
        <v>117.67502674432426</v>
      </c>
      <c r="R212" s="9">
        <f t="shared" si="22"/>
        <v>117.67502674432426</v>
      </c>
    </row>
    <row r="213" spans="1:18" ht="13.15" x14ac:dyDescent="0.45">
      <c r="A213" s="15" t="str">
        <f t="shared" si="18"/>
        <v>410816998</v>
      </c>
      <c r="B213" s="19" t="s">
        <v>110</v>
      </c>
      <c r="C213" s="6" t="e">
        <f>_xlfn.XLOOKUP(B:B,#REF!,#REF!)</f>
        <v>#REF!</v>
      </c>
      <c r="D213" s="19" t="s">
        <v>62</v>
      </c>
      <c r="E213" s="6" t="str">
        <f t="shared" si="19"/>
        <v>410816998</v>
      </c>
      <c r="F213" s="19" t="s">
        <v>63</v>
      </c>
      <c r="G213" s="7" t="e">
        <f>VLOOKUP(D213,#REF!,4,)</f>
        <v>#REF!</v>
      </c>
      <c r="H213" s="6" t="e">
        <f>VLOOKUP(D213,#REF!,5,)</f>
        <v>#REF!</v>
      </c>
      <c r="I213" s="27">
        <v>4702.32</v>
      </c>
      <c r="J213" s="27">
        <v>3024</v>
      </c>
      <c r="K213" s="8">
        <f t="shared" si="20"/>
        <v>0.64308681672025725</v>
      </c>
      <c r="L213" s="27">
        <v>0</v>
      </c>
      <c r="M213" s="21"/>
      <c r="N213" s="27">
        <v>28056</v>
      </c>
      <c r="O213" s="27">
        <v>28056</v>
      </c>
      <c r="P213" s="9">
        <f t="shared" si="21"/>
        <v>-26377.68</v>
      </c>
      <c r="Q213" s="9">
        <f>IFERROR(IF(D213=20250,O213/(#REF!/30),O213/(I213/30)),0)</f>
        <v>178.99249732047159</v>
      </c>
      <c r="R213" s="9">
        <f t="shared" si="22"/>
        <v>178.99249732047159</v>
      </c>
    </row>
    <row r="214" spans="1:18" ht="13.15" x14ac:dyDescent="0.45">
      <c r="A214" s="15" t="str">
        <f t="shared" si="18"/>
        <v>410818098</v>
      </c>
      <c r="B214" s="19" t="s">
        <v>110</v>
      </c>
      <c r="C214" s="6" t="e">
        <f>_xlfn.XLOOKUP(B:B,#REF!,#REF!)</f>
        <v>#REF!</v>
      </c>
      <c r="D214" s="19" t="s">
        <v>64</v>
      </c>
      <c r="E214" s="6" t="str">
        <f t="shared" si="19"/>
        <v>410818098</v>
      </c>
      <c r="F214" s="19" t="s">
        <v>131</v>
      </c>
      <c r="G214" s="7" t="e">
        <f>VLOOKUP(D214,#REF!,4,)</f>
        <v>#REF!</v>
      </c>
      <c r="H214" s="6" t="e">
        <f>VLOOKUP(D214,#REF!,5,)</f>
        <v>#REF!</v>
      </c>
      <c r="I214" s="27">
        <v>192.96</v>
      </c>
      <c r="J214" s="27">
        <v>0</v>
      </c>
      <c r="K214" s="8">
        <f t="shared" si="20"/>
        <v>0</v>
      </c>
      <c r="L214" s="27">
        <v>0</v>
      </c>
      <c r="M214" s="21"/>
      <c r="N214" s="27">
        <v>396</v>
      </c>
      <c r="O214" s="27">
        <v>396</v>
      </c>
      <c r="P214" s="9">
        <f t="shared" si="21"/>
        <v>-203.04</v>
      </c>
      <c r="Q214" s="9">
        <f>IFERROR(IF(D214=20250,O214/(#REF!/30),O214/(I214/30)),0)</f>
        <v>61.567164179104473</v>
      </c>
      <c r="R214" s="9">
        <f t="shared" si="22"/>
        <v>61.567164179104473</v>
      </c>
    </row>
    <row r="215" spans="1:18" ht="13.15" x14ac:dyDescent="0.45">
      <c r="A215" s="15" t="str">
        <f t="shared" si="18"/>
        <v>410820308</v>
      </c>
      <c r="B215" s="19" t="s">
        <v>110</v>
      </c>
      <c r="C215" s="6" t="e">
        <f>_xlfn.XLOOKUP(B:B,#REF!,#REF!)</f>
        <v>#REF!</v>
      </c>
      <c r="D215" s="19" t="s">
        <v>84</v>
      </c>
      <c r="E215" s="6" t="str">
        <f t="shared" si="19"/>
        <v>410820308</v>
      </c>
      <c r="F215" s="19" t="s">
        <v>108</v>
      </c>
      <c r="G215" s="7" t="e">
        <f>VLOOKUP(D215,#REF!,4,)</f>
        <v>#REF!</v>
      </c>
      <c r="H215" s="6" t="e">
        <f>VLOOKUP(D215,#REF!,5,)</f>
        <v>#REF!</v>
      </c>
      <c r="I215" s="27">
        <v>3034.56</v>
      </c>
      <c r="J215" s="27">
        <v>852</v>
      </c>
      <c r="K215" s="8">
        <f t="shared" si="20"/>
        <v>0.28076558051249606</v>
      </c>
      <c r="L215" s="27">
        <v>0</v>
      </c>
      <c r="M215" s="21"/>
      <c r="N215" s="27">
        <v>5916</v>
      </c>
      <c r="O215" s="27">
        <v>5916</v>
      </c>
      <c r="P215" s="9">
        <f t="shared" si="21"/>
        <v>-3733.44</v>
      </c>
      <c r="Q215" s="9">
        <f>IFERROR(IF(D215=20250,O215/(#REF!/30),O215/(I215/30)),0)</f>
        <v>58.486238532110093</v>
      </c>
      <c r="R215" s="9">
        <f t="shared" si="22"/>
        <v>58.486238532110093</v>
      </c>
    </row>
    <row r="216" spans="1:18" ht="13.15" x14ac:dyDescent="0.45">
      <c r="A216" s="15" t="str">
        <f t="shared" si="18"/>
        <v>410820827</v>
      </c>
      <c r="B216" s="19" t="s">
        <v>110</v>
      </c>
      <c r="C216" s="6" t="e">
        <f>_xlfn.XLOOKUP(B:B,#REF!,#REF!)</f>
        <v>#REF!</v>
      </c>
      <c r="D216" s="19" t="s">
        <v>85</v>
      </c>
      <c r="E216" s="6" t="str">
        <f t="shared" si="19"/>
        <v>410820827</v>
      </c>
      <c r="F216" s="19" t="s">
        <v>86</v>
      </c>
      <c r="G216" s="7" t="e">
        <f>VLOOKUP(D216,#REF!,4,)</f>
        <v>#REF!</v>
      </c>
      <c r="H216" s="6" t="e">
        <f>VLOOKUP(D216,#REF!,5,)</f>
        <v>#REF!</v>
      </c>
      <c r="I216" s="27">
        <v>3305.76</v>
      </c>
      <c r="J216" s="27">
        <v>2316</v>
      </c>
      <c r="K216" s="8">
        <f t="shared" si="20"/>
        <v>0.70059532452446638</v>
      </c>
      <c r="L216" s="27">
        <v>0</v>
      </c>
      <c r="M216" s="21"/>
      <c r="N216" s="27">
        <v>3528</v>
      </c>
      <c r="O216" s="27">
        <v>3528</v>
      </c>
      <c r="P216" s="9">
        <f t="shared" si="21"/>
        <v>-2538.2399999999998</v>
      </c>
      <c r="Q216" s="9">
        <f>IFERROR(IF(D216=20250,O216/(#REF!/30),O216/(I216/30)),0)</f>
        <v>32.016843328009294</v>
      </c>
      <c r="R216" s="9">
        <f t="shared" si="22"/>
        <v>32.016843328009294</v>
      </c>
    </row>
    <row r="217" spans="1:18" ht="13.15" x14ac:dyDescent="0.45">
      <c r="A217" s="15" t="str">
        <f t="shared" si="18"/>
        <v>410823081</v>
      </c>
      <c r="B217" s="19" t="s">
        <v>110</v>
      </c>
      <c r="C217" s="6" t="e">
        <f>_xlfn.XLOOKUP(B:B,#REF!,#REF!)</f>
        <v>#REF!</v>
      </c>
      <c r="D217" s="19" t="s">
        <v>96</v>
      </c>
      <c r="E217" s="6" t="str">
        <f t="shared" si="19"/>
        <v>410823081</v>
      </c>
      <c r="F217" s="19" t="s">
        <v>97</v>
      </c>
      <c r="G217" s="7" t="e">
        <f>VLOOKUP(D217,#REF!,4,)</f>
        <v>#REF!</v>
      </c>
      <c r="H217" s="6" t="e">
        <f>VLOOKUP(D217,#REF!,5,)</f>
        <v>#REF!</v>
      </c>
      <c r="I217" s="27">
        <v>25.68</v>
      </c>
      <c r="J217" s="27">
        <v>0</v>
      </c>
      <c r="K217" s="8">
        <f t="shared" si="20"/>
        <v>0</v>
      </c>
      <c r="L217" s="27">
        <v>0</v>
      </c>
      <c r="M217" s="21"/>
      <c r="N217" s="27">
        <v>132</v>
      </c>
      <c r="O217" s="27">
        <v>132</v>
      </c>
      <c r="P217" s="9">
        <f t="shared" si="21"/>
        <v>-106.32</v>
      </c>
      <c r="Q217" s="9">
        <f>IFERROR(IF(D217=20250,O217/(#REF!/30),O217/(I217/30)),0)</f>
        <v>154.20560747663552</v>
      </c>
      <c r="R217" s="9">
        <f t="shared" si="22"/>
        <v>154.20560747663552</v>
      </c>
    </row>
    <row r="218" spans="1:18" ht="13.15" x14ac:dyDescent="0.45">
      <c r="A218" s="15" t="str">
        <f t="shared" si="18"/>
        <v>410823401</v>
      </c>
      <c r="B218" s="19" t="s">
        <v>110</v>
      </c>
      <c r="C218" s="6" t="e">
        <f>_xlfn.XLOOKUP(B:B,#REF!,#REF!)</f>
        <v>#REF!</v>
      </c>
      <c r="D218" s="19" t="s">
        <v>98</v>
      </c>
      <c r="E218" s="6" t="str">
        <f t="shared" si="19"/>
        <v>410823401</v>
      </c>
      <c r="F218" s="19" t="s">
        <v>99</v>
      </c>
      <c r="G218" s="7" t="e">
        <f>VLOOKUP(D218,#REF!,4,)</f>
        <v>#REF!</v>
      </c>
      <c r="H218" s="6" t="e">
        <f>VLOOKUP(D218,#REF!,5,)</f>
        <v>#REF!</v>
      </c>
      <c r="I218" s="27">
        <v>0</v>
      </c>
      <c r="J218" s="27">
        <v>48</v>
      </c>
      <c r="K218" s="8">
        <f t="shared" si="20"/>
        <v>0</v>
      </c>
      <c r="L218" s="27">
        <v>0</v>
      </c>
      <c r="M218" s="21"/>
      <c r="N218" s="27">
        <v>4356</v>
      </c>
      <c r="O218" s="27">
        <v>4356</v>
      </c>
      <c r="P218" s="9">
        <f t="shared" si="21"/>
        <v>-4404</v>
      </c>
      <c r="Q218" s="9">
        <f>IFERROR(IF(D218=20250,O218/(#REF!/30),O218/(I218/30)),0)</f>
        <v>0</v>
      </c>
      <c r="R218" s="9">
        <f t="shared" si="22"/>
        <v>0</v>
      </c>
    </row>
    <row r="219" spans="1:18" ht="13.15" x14ac:dyDescent="0.45">
      <c r="A219" s="15" t="str">
        <f t="shared" si="18"/>
        <v>410824768</v>
      </c>
      <c r="B219" s="19" t="s">
        <v>110</v>
      </c>
      <c r="C219" s="6" t="e">
        <f>_xlfn.XLOOKUP(B:B,#REF!,#REF!)</f>
        <v>#REF!</v>
      </c>
      <c r="D219" s="19" t="s">
        <v>111</v>
      </c>
      <c r="E219" s="6" t="str">
        <f t="shared" si="19"/>
        <v>410824768</v>
      </c>
      <c r="F219" s="19" t="s">
        <v>112</v>
      </c>
      <c r="G219" s="7" t="e">
        <f>VLOOKUP(D219,#REF!,4,)</f>
        <v>#REF!</v>
      </c>
      <c r="H219" s="6" t="e">
        <f>VLOOKUP(D219,#REF!,5,)</f>
        <v>#REF!</v>
      </c>
      <c r="I219" s="27">
        <v>2242.8000000000002</v>
      </c>
      <c r="J219" s="27">
        <v>2172</v>
      </c>
      <c r="K219" s="8">
        <f t="shared" si="20"/>
        <v>0.96843231674692343</v>
      </c>
      <c r="L219" s="27">
        <v>0</v>
      </c>
      <c r="M219" s="21"/>
      <c r="N219" s="27">
        <v>2316</v>
      </c>
      <c r="O219" s="27">
        <v>2316</v>
      </c>
      <c r="P219" s="9">
        <f t="shared" si="21"/>
        <v>-2245.1999999999998</v>
      </c>
      <c r="Q219" s="9">
        <f>IFERROR(IF(D219=20250,O219/(#REF!/30),O219/(I219/30)),0)</f>
        <v>30.979133226324237</v>
      </c>
      <c r="R219" s="9">
        <f t="shared" si="22"/>
        <v>30.979133226324237</v>
      </c>
    </row>
    <row r="220" spans="1:18" ht="13.15" x14ac:dyDescent="0.45">
      <c r="A220" s="15" t="str">
        <f t="shared" si="18"/>
        <v>410825570</v>
      </c>
      <c r="B220" s="19" t="s">
        <v>110</v>
      </c>
      <c r="C220" s="6" t="e">
        <f>_xlfn.XLOOKUP(B:B,#REF!,#REF!)</f>
        <v>#REF!</v>
      </c>
      <c r="D220" s="19" t="s">
        <v>116</v>
      </c>
      <c r="E220" s="6" t="str">
        <f t="shared" si="19"/>
        <v>410825570</v>
      </c>
      <c r="F220" s="19" t="s">
        <v>118</v>
      </c>
      <c r="G220" s="7" t="e">
        <f>VLOOKUP(D220,#REF!,4,)</f>
        <v>#REF!</v>
      </c>
      <c r="H220" s="6" t="e">
        <f>VLOOKUP(D220,#REF!,5,)</f>
        <v>#REF!</v>
      </c>
      <c r="I220" s="27">
        <v>0</v>
      </c>
      <c r="J220" s="27">
        <v>0</v>
      </c>
      <c r="K220" s="8">
        <f t="shared" si="20"/>
        <v>0</v>
      </c>
      <c r="L220" s="27">
        <v>0</v>
      </c>
      <c r="M220" s="21"/>
      <c r="N220" s="27">
        <v>180</v>
      </c>
      <c r="O220" s="27">
        <v>180</v>
      </c>
      <c r="P220" s="9">
        <f t="shared" si="21"/>
        <v>-180</v>
      </c>
      <c r="Q220" s="9">
        <f>IFERROR(IF(D220=20250,O220/(#REF!/30),O220/(I220/30)),0)</f>
        <v>0</v>
      </c>
      <c r="R220" s="9">
        <f t="shared" si="22"/>
        <v>0</v>
      </c>
    </row>
    <row r="221" spans="1:18" ht="13.15" x14ac:dyDescent="0.45">
      <c r="A221" s="15" t="str">
        <f t="shared" si="18"/>
        <v>410825598</v>
      </c>
      <c r="B221" s="19" t="s">
        <v>110</v>
      </c>
      <c r="C221" s="6" t="e">
        <f>_xlfn.XLOOKUP(B:B,#REF!,#REF!)</f>
        <v>#REF!</v>
      </c>
      <c r="D221" s="19" t="s">
        <v>117</v>
      </c>
      <c r="E221" s="6" t="str">
        <f t="shared" si="19"/>
        <v>410825598</v>
      </c>
      <c r="F221" s="19" t="s">
        <v>119</v>
      </c>
      <c r="G221" s="7" t="e">
        <f>VLOOKUP(D221,#REF!,4,)</f>
        <v>#REF!</v>
      </c>
      <c r="H221" s="6" t="e">
        <f>VLOOKUP(D221,#REF!,5,)</f>
        <v>#REF!</v>
      </c>
      <c r="I221" s="27">
        <v>90</v>
      </c>
      <c r="J221" s="27">
        <v>36</v>
      </c>
      <c r="K221" s="8">
        <f t="shared" si="20"/>
        <v>0.4</v>
      </c>
      <c r="L221" s="27">
        <v>0</v>
      </c>
      <c r="M221" s="21"/>
      <c r="N221" s="27">
        <v>12</v>
      </c>
      <c r="O221" s="27">
        <v>12</v>
      </c>
      <c r="P221" s="9">
        <f t="shared" si="21"/>
        <v>42</v>
      </c>
      <c r="Q221" s="9">
        <f>IFERROR(IF(D221=20250,O221/(#REF!/30),O221/(I221/30)),0)</f>
        <v>4</v>
      </c>
      <c r="R221" s="9">
        <f t="shared" si="22"/>
        <v>4</v>
      </c>
    </row>
    <row r="222" spans="1:18" ht="13.15" x14ac:dyDescent="0.45">
      <c r="A222" s="15" t="str">
        <f t="shared" si="18"/>
        <v>420006151</v>
      </c>
      <c r="B222" s="19" t="s">
        <v>71</v>
      </c>
      <c r="C222" s="6" t="e">
        <f>_xlfn.XLOOKUP(B:B,#REF!,#REF!)</f>
        <v>#REF!</v>
      </c>
      <c r="D222" s="19" t="s">
        <v>23</v>
      </c>
      <c r="E222" s="6" t="str">
        <f t="shared" si="19"/>
        <v>420006151</v>
      </c>
      <c r="F222" s="19" t="s">
        <v>24</v>
      </c>
      <c r="G222" s="7" t="e">
        <f>VLOOKUP(D222,#REF!,4,)</f>
        <v>#REF!</v>
      </c>
      <c r="H222" s="6" t="e">
        <f>VLOOKUP(D222,#REF!,5,)</f>
        <v>#REF!</v>
      </c>
      <c r="I222" s="27">
        <v>16086.84</v>
      </c>
      <c r="J222" s="27">
        <v>7680</v>
      </c>
      <c r="K222" s="8">
        <f t="shared" si="20"/>
        <v>0.47740886339392946</v>
      </c>
      <c r="L222" s="27">
        <v>0</v>
      </c>
      <c r="M222" s="21"/>
      <c r="N222" s="27">
        <v>14172</v>
      </c>
      <c r="O222" s="27">
        <v>14172</v>
      </c>
      <c r="P222" s="9">
        <f t="shared" si="21"/>
        <v>-5765.16</v>
      </c>
      <c r="Q222" s="9">
        <f>IFERROR(IF(D222=20250,O222/(#REF!/30),O222/(I222/30)),0)</f>
        <v>26.429056296948314</v>
      </c>
      <c r="R222" s="9">
        <f t="shared" si="22"/>
        <v>26.429056296948314</v>
      </c>
    </row>
    <row r="223" spans="1:18" ht="13.15" x14ac:dyDescent="0.45">
      <c r="A223" s="15" t="str">
        <f t="shared" si="18"/>
        <v>420013490</v>
      </c>
      <c r="B223" s="19" t="s">
        <v>71</v>
      </c>
      <c r="C223" s="6" t="e">
        <f>_xlfn.XLOOKUP(B:B,#REF!,#REF!)</f>
        <v>#REF!</v>
      </c>
      <c r="D223" s="19" t="s">
        <v>27</v>
      </c>
      <c r="E223" s="6" t="str">
        <f t="shared" si="19"/>
        <v>420013490</v>
      </c>
      <c r="F223" s="19" t="s">
        <v>28</v>
      </c>
      <c r="G223" s="7" t="e">
        <f>VLOOKUP(D223,#REF!,4,)</f>
        <v>#REF!</v>
      </c>
      <c r="H223" s="6" t="e">
        <f>VLOOKUP(D223,#REF!,5,)</f>
        <v>#REF!</v>
      </c>
      <c r="I223" s="27">
        <v>5147.8</v>
      </c>
      <c r="J223" s="27">
        <v>1890</v>
      </c>
      <c r="K223" s="8">
        <f t="shared" si="20"/>
        <v>0.36714713081316291</v>
      </c>
      <c r="L223" s="27">
        <v>0</v>
      </c>
      <c r="M223" s="21"/>
      <c r="N223" s="27">
        <v>4460</v>
      </c>
      <c r="O223" s="27">
        <v>4460</v>
      </c>
      <c r="P223" s="9">
        <f t="shared" si="21"/>
        <v>-1202.1999999999998</v>
      </c>
      <c r="Q223" s="9">
        <f>IFERROR(IF(D223=20250,O223/(#REF!/30),O223/(I223/30)),0)</f>
        <v>25.991685768677883</v>
      </c>
      <c r="R223" s="9">
        <f t="shared" si="22"/>
        <v>25.991685768677883</v>
      </c>
    </row>
    <row r="224" spans="1:18" ht="13.15" x14ac:dyDescent="0.45">
      <c r="A224" s="15" t="str">
        <f t="shared" si="18"/>
        <v>420015300</v>
      </c>
      <c r="B224" s="19" t="s">
        <v>71</v>
      </c>
      <c r="C224" s="6" t="e">
        <f>_xlfn.XLOOKUP(B:B,#REF!,#REF!)</f>
        <v>#REF!</v>
      </c>
      <c r="D224" s="19" t="s">
        <v>31</v>
      </c>
      <c r="E224" s="6" t="str">
        <f t="shared" si="19"/>
        <v>420015300</v>
      </c>
      <c r="F224" s="19" t="s">
        <v>32</v>
      </c>
      <c r="G224" s="7" t="e">
        <f>VLOOKUP(D224,#REF!,4,)</f>
        <v>#REF!</v>
      </c>
      <c r="H224" s="6" t="e">
        <f>VLOOKUP(D224,#REF!,5,)</f>
        <v>#REF!</v>
      </c>
      <c r="I224" s="27">
        <v>257.31</v>
      </c>
      <c r="J224" s="27">
        <v>9</v>
      </c>
      <c r="K224" s="8">
        <f t="shared" si="20"/>
        <v>3.4977264777894368E-2</v>
      </c>
      <c r="L224" s="27">
        <v>0</v>
      </c>
      <c r="M224" s="21"/>
      <c r="N224" s="27">
        <v>117</v>
      </c>
      <c r="O224" s="27">
        <v>117</v>
      </c>
      <c r="P224" s="9">
        <f t="shared" si="21"/>
        <v>131.31</v>
      </c>
      <c r="Q224" s="9">
        <f>IFERROR(IF(D224=20250,O224/(#REF!/30),O224/(I224/30)),0)</f>
        <v>13.641133263378803</v>
      </c>
      <c r="R224" s="9">
        <f t="shared" si="22"/>
        <v>13.641133263378803</v>
      </c>
    </row>
    <row r="225" spans="1:18" ht="13.15" x14ac:dyDescent="0.45">
      <c r="A225" s="15" t="str">
        <f t="shared" si="18"/>
        <v>420019690</v>
      </c>
      <c r="B225" s="19" t="s">
        <v>71</v>
      </c>
      <c r="C225" s="6" t="e">
        <f>_xlfn.XLOOKUP(B:B,#REF!,#REF!)</f>
        <v>#REF!</v>
      </c>
      <c r="D225" s="19" t="s">
        <v>66</v>
      </c>
      <c r="E225" s="6" t="str">
        <f t="shared" si="19"/>
        <v>420019690</v>
      </c>
      <c r="F225" s="19" t="s">
        <v>67</v>
      </c>
      <c r="G225" s="7" t="e">
        <f>VLOOKUP(D225,#REF!,4,)</f>
        <v>#REF!</v>
      </c>
      <c r="H225" s="6" t="e">
        <f>VLOOKUP(D225,#REF!,5,)</f>
        <v>#REF!</v>
      </c>
      <c r="I225" s="27">
        <v>257.27999999999997</v>
      </c>
      <c r="J225" s="27">
        <v>48</v>
      </c>
      <c r="K225" s="8">
        <f t="shared" si="20"/>
        <v>0.18656716417910449</v>
      </c>
      <c r="L225" s="27">
        <v>0</v>
      </c>
      <c r="M225" s="21"/>
      <c r="N225" s="27">
        <v>336</v>
      </c>
      <c r="O225" s="27">
        <v>336</v>
      </c>
      <c r="P225" s="9">
        <f t="shared" si="21"/>
        <v>-126.72000000000003</v>
      </c>
      <c r="Q225" s="9">
        <f>IFERROR(IF(D225=20250,O225/(#REF!/30),O225/(I225/30)),0)</f>
        <v>39.179104477611943</v>
      </c>
      <c r="R225" s="9">
        <f t="shared" si="22"/>
        <v>39.179104477611943</v>
      </c>
    </row>
    <row r="226" spans="1:18" ht="13.15" x14ac:dyDescent="0.45">
      <c r="A226" s="15" t="str">
        <f t="shared" si="18"/>
        <v>420020160</v>
      </c>
      <c r="B226" s="19" t="s">
        <v>71</v>
      </c>
      <c r="C226" s="6" t="e">
        <f>_xlfn.XLOOKUP(B:B,#REF!,#REF!)</f>
        <v>#REF!</v>
      </c>
      <c r="D226" s="19" t="s">
        <v>82</v>
      </c>
      <c r="E226" s="6" t="str">
        <f t="shared" si="19"/>
        <v>420020160</v>
      </c>
      <c r="F226" s="19" t="s">
        <v>83</v>
      </c>
      <c r="G226" s="7" t="e">
        <f>VLOOKUP(D226,#REF!,4,)</f>
        <v>#REF!</v>
      </c>
      <c r="H226" s="6" t="e">
        <f>VLOOKUP(D226,#REF!,5,)</f>
        <v>#REF!</v>
      </c>
      <c r="I226" s="27">
        <v>128.63999999999999</v>
      </c>
      <c r="J226" s="27">
        <v>0</v>
      </c>
      <c r="K226" s="8">
        <f t="shared" si="20"/>
        <v>0</v>
      </c>
      <c r="L226" s="27">
        <v>0</v>
      </c>
      <c r="M226" s="21"/>
      <c r="N226" s="27">
        <v>0</v>
      </c>
      <c r="O226" s="27">
        <v>0</v>
      </c>
      <c r="P226" s="9">
        <f t="shared" si="21"/>
        <v>128.63999999999999</v>
      </c>
      <c r="Q226" s="9">
        <f>IFERROR(IF(D226=20250,O226/(#REF!/30),O226/(I226/30)),0)</f>
        <v>0</v>
      </c>
      <c r="R226" s="9">
        <f t="shared" si="22"/>
        <v>0</v>
      </c>
    </row>
    <row r="227" spans="1:18" ht="13.15" x14ac:dyDescent="0.45">
      <c r="A227" s="15" t="str">
        <f t="shared" si="18"/>
        <v>420020309</v>
      </c>
      <c r="B227" s="19" t="s">
        <v>71</v>
      </c>
      <c r="C227" s="6" t="e">
        <f>_xlfn.XLOOKUP(B:B,#REF!,#REF!)</f>
        <v>#REF!</v>
      </c>
      <c r="D227" s="19" t="s">
        <v>120</v>
      </c>
      <c r="E227" s="6" t="str">
        <f t="shared" si="19"/>
        <v>420020309</v>
      </c>
      <c r="F227" s="19" t="s">
        <v>121</v>
      </c>
      <c r="G227" s="7" t="e">
        <f>VLOOKUP(D227,#REF!,4,)</f>
        <v>#REF!</v>
      </c>
      <c r="H227" s="6" t="e">
        <f>VLOOKUP(D227,#REF!,5,)</f>
        <v>#REF!</v>
      </c>
      <c r="I227" s="27">
        <v>77.16</v>
      </c>
      <c r="J227" s="27">
        <v>0</v>
      </c>
      <c r="K227" s="8">
        <f t="shared" si="20"/>
        <v>0</v>
      </c>
      <c r="L227" s="27">
        <v>0</v>
      </c>
      <c r="M227" s="21"/>
      <c r="N227" s="27">
        <v>0</v>
      </c>
      <c r="O227" s="27">
        <v>0</v>
      </c>
      <c r="P227" s="9">
        <f t="shared" si="21"/>
        <v>77.16</v>
      </c>
      <c r="Q227" s="9">
        <f>IFERROR(IF(D227=20250,O227/(#REF!/30),O227/(I227/30)),0)</f>
        <v>0</v>
      </c>
      <c r="R227" s="9">
        <f t="shared" si="22"/>
        <v>0</v>
      </c>
    </row>
    <row r="228" spans="1:18" ht="13.15" x14ac:dyDescent="0.45">
      <c r="A228" s="15" t="str">
        <f t="shared" si="18"/>
        <v>420020661</v>
      </c>
      <c r="B228" s="19" t="s">
        <v>71</v>
      </c>
      <c r="C228" s="6" t="e">
        <f>_xlfn.XLOOKUP(B:B,#REF!,#REF!)</f>
        <v>#REF!</v>
      </c>
      <c r="D228" s="19" t="s">
        <v>88</v>
      </c>
      <c r="E228" s="6" t="str">
        <f t="shared" si="19"/>
        <v>420020661</v>
      </c>
      <c r="F228" s="19" t="s">
        <v>89</v>
      </c>
      <c r="G228" s="7" t="e">
        <f>VLOOKUP(D228,#REF!,4,)</f>
        <v>#REF!</v>
      </c>
      <c r="H228" s="6" t="e">
        <f>VLOOKUP(D228,#REF!,5,)</f>
        <v>#REF!</v>
      </c>
      <c r="I228" s="27">
        <v>1876.56</v>
      </c>
      <c r="J228" s="27">
        <v>840</v>
      </c>
      <c r="K228" s="8">
        <f t="shared" si="20"/>
        <v>0.44762757385854968</v>
      </c>
      <c r="L228" s="27">
        <v>0</v>
      </c>
      <c r="M228" s="21"/>
      <c r="N228" s="27">
        <v>1104</v>
      </c>
      <c r="O228" s="27">
        <v>1104</v>
      </c>
      <c r="P228" s="9">
        <f t="shared" si="21"/>
        <v>-67.440000000000055</v>
      </c>
      <c r="Q228" s="9">
        <f>IFERROR(IF(D228=20250,O228/(#REF!/30),O228/(I228/30)),0)</f>
        <v>17.649315769279958</v>
      </c>
      <c r="R228" s="9">
        <f t="shared" si="22"/>
        <v>17.649315769279958</v>
      </c>
    </row>
    <row r="229" spans="1:18" ht="13.15" x14ac:dyDescent="0.45">
      <c r="A229" s="15" t="str">
        <f t="shared" si="18"/>
        <v>420023638</v>
      </c>
      <c r="B229" s="19" t="s">
        <v>71</v>
      </c>
      <c r="C229" s="6" t="e">
        <f>_xlfn.XLOOKUP(B:B,#REF!,#REF!)</f>
        <v>#REF!</v>
      </c>
      <c r="D229" s="19" t="s">
        <v>100</v>
      </c>
      <c r="E229" s="6" t="str">
        <f t="shared" si="19"/>
        <v>420023638</v>
      </c>
      <c r="F229" s="19" t="s">
        <v>101</v>
      </c>
      <c r="G229" s="7" t="e">
        <f>VLOOKUP(D229,#REF!,4,)</f>
        <v>#REF!</v>
      </c>
      <c r="H229" s="6" t="e">
        <f>VLOOKUP(D229,#REF!,5,)</f>
        <v>#REF!</v>
      </c>
      <c r="I229" s="27">
        <v>5791.08</v>
      </c>
      <c r="J229" s="27">
        <v>1716</v>
      </c>
      <c r="K229" s="8">
        <f t="shared" si="20"/>
        <v>0.29631778528357405</v>
      </c>
      <c r="L229" s="27">
        <v>0</v>
      </c>
      <c r="M229" s="21"/>
      <c r="N229" s="27">
        <v>1308</v>
      </c>
      <c r="O229" s="27">
        <v>1308</v>
      </c>
      <c r="P229" s="9">
        <f t="shared" si="21"/>
        <v>2767.08</v>
      </c>
      <c r="Q229" s="9">
        <f>IFERROR(IF(D229=20250,O229/(#REF!/30),O229/(I229/30)),0)</f>
        <v>6.7759381669740355</v>
      </c>
      <c r="R229" s="9">
        <f t="shared" si="22"/>
        <v>6.7759381669740355</v>
      </c>
    </row>
    <row r="230" spans="1:18" ht="13.15" x14ac:dyDescent="0.45">
      <c r="A230" s="15" t="str">
        <f t="shared" si="18"/>
        <v>420025885</v>
      </c>
      <c r="B230" s="19" t="s">
        <v>71</v>
      </c>
      <c r="C230" s="6" t="e">
        <f>_xlfn.XLOOKUP(B:B,#REF!,#REF!)</f>
        <v>#REF!</v>
      </c>
      <c r="D230" s="19" t="s">
        <v>122</v>
      </c>
      <c r="E230" s="6" t="str">
        <f t="shared" si="19"/>
        <v>420025885</v>
      </c>
      <c r="F230" s="19" t="s">
        <v>123</v>
      </c>
      <c r="G230" s="7" t="e">
        <f>VLOOKUP(D230,#REF!,4,)</f>
        <v>#REF!</v>
      </c>
      <c r="H230" s="6" t="e">
        <f>VLOOKUP(D230,#REF!,5,)</f>
        <v>#REF!</v>
      </c>
      <c r="I230" s="27">
        <v>771.96</v>
      </c>
      <c r="J230" s="27">
        <v>276</v>
      </c>
      <c r="K230" s="8">
        <f t="shared" si="20"/>
        <v>0.35753147831493859</v>
      </c>
      <c r="L230" s="27">
        <v>0</v>
      </c>
      <c r="M230" s="21"/>
      <c r="N230" s="27">
        <v>504</v>
      </c>
      <c r="O230" s="27">
        <v>504</v>
      </c>
      <c r="P230" s="9">
        <f t="shared" si="21"/>
        <v>-8.0399999999999636</v>
      </c>
      <c r="Q230" s="9">
        <f>IFERROR(IF(D230=20250,O230/(#REF!/30),O230/(I230/30)),0)</f>
        <v>19.586507072905331</v>
      </c>
      <c r="R230" s="9">
        <f t="shared" si="22"/>
        <v>19.586507072905331</v>
      </c>
    </row>
    <row r="231" spans="1:18" ht="13.15" x14ac:dyDescent="0.45">
      <c r="A231" s="15" t="str">
        <f t="shared" si="18"/>
        <v>420026234</v>
      </c>
      <c r="B231" s="19" t="s">
        <v>71</v>
      </c>
      <c r="C231" s="6" t="e">
        <f>_xlfn.XLOOKUP(B:B,#REF!,#REF!)</f>
        <v>#REF!</v>
      </c>
      <c r="D231" s="19" t="s">
        <v>126</v>
      </c>
      <c r="E231" s="6" t="str">
        <f t="shared" si="19"/>
        <v>420026234</v>
      </c>
      <c r="F231" s="19" t="s">
        <v>127</v>
      </c>
      <c r="G231" s="7" t="e">
        <f>VLOOKUP(D231,#REF!,4,)</f>
        <v>#REF!</v>
      </c>
      <c r="H231" s="6" t="e">
        <f>VLOOKUP(D231,#REF!,5,)</f>
        <v>#REF!</v>
      </c>
      <c r="I231" s="27">
        <v>0</v>
      </c>
      <c r="J231" s="27">
        <v>0</v>
      </c>
      <c r="K231" s="8">
        <f t="shared" si="20"/>
        <v>0</v>
      </c>
      <c r="L231" s="27">
        <v>0</v>
      </c>
      <c r="M231" s="21"/>
      <c r="N231" s="27">
        <v>552</v>
      </c>
      <c r="O231" s="27">
        <v>552</v>
      </c>
      <c r="P231" s="9">
        <f t="shared" si="21"/>
        <v>-552</v>
      </c>
      <c r="Q231" s="9">
        <f>IFERROR(IF(D231=20250,O231/(#REF!/30),O231/(I231/30)),0)</f>
        <v>0</v>
      </c>
      <c r="R231" s="9">
        <f t="shared" si="22"/>
        <v>0</v>
      </c>
    </row>
    <row r="232" spans="1:18" ht="13.15" x14ac:dyDescent="0.45">
      <c r="A232" s="15" t="str">
        <f t="shared" si="18"/>
        <v>420026745</v>
      </c>
      <c r="B232" s="19" t="s">
        <v>71</v>
      </c>
      <c r="C232" s="6" t="e">
        <f>_xlfn.XLOOKUP(B:B,#REF!,#REF!)</f>
        <v>#REF!</v>
      </c>
      <c r="D232" s="19" t="s">
        <v>136</v>
      </c>
      <c r="E232" s="6" t="str">
        <f t="shared" si="19"/>
        <v>420026745</v>
      </c>
      <c r="F232" s="19" t="s">
        <v>138</v>
      </c>
      <c r="G232" s="7" t="e">
        <f>VLOOKUP(D232,#REF!,4,)</f>
        <v>#REF!</v>
      </c>
      <c r="H232" s="6" t="e">
        <f>VLOOKUP(D232,#REF!,5,)</f>
        <v>#REF!</v>
      </c>
      <c r="I232" s="27">
        <v>128.63999999999999</v>
      </c>
      <c r="J232" s="27">
        <v>0</v>
      </c>
      <c r="K232" s="8">
        <f t="shared" si="20"/>
        <v>0</v>
      </c>
      <c r="L232" s="27">
        <v>0</v>
      </c>
      <c r="M232" s="21"/>
      <c r="N232" s="27">
        <v>0</v>
      </c>
      <c r="O232" s="27">
        <v>0</v>
      </c>
      <c r="P232" s="9">
        <f t="shared" si="21"/>
        <v>128.63999999999999</v>
      </c>
      <c r="Q232" s="9">
        <f>IFERROR(IF(D232=20250,O232/(#REF!/30),O232/(I232/30)),0)</f>
        <v>0</v>
      </c>
      <c r="R232" s="9">
        <f t="shared" si="22"/>
        <v>0</v>
      </c>
    </row>
    <row r="233" spans="1:18" ht="13.15" x14ac:dyDescent="0.45">
      <c r="A233" s="15" t="str">
        <f t="shared" si="18"/>
        <v>420004145</v>
      </c>
      <c r="B233" s="19" t="s">
        <v>71</v>
      </c>
      <c r="C233" s="6" t="e">
        <f>_xlfn.XLOOKUP(B:B,#REF!,#REF!)</f>
        <v>#REF!</v>
      </c>
      <c r="D233" s="19" t="s">
        <v>25</v>
      </c>
      <c r="E233" s="6" t="str">
        <f t="shared" si="19"/>
        <v>420004145</v>
      </c>
      <c r="F233" s="19" t="s">
        <v>26</v>
      </c>
      <c r="G233" s="7" t="e">
        <f>VLOOKUP(D233,#REF!,4,)</f>
        <v>#REF!</v>
      </c>
      <c r="H233" s="6" t="e">
        <f>VLOOKUP(D233,#REF!,5,)</f>
        <v>#REF!</v>
      </c>
      <c r="I233" s="27">
        <v>720</v>
      </c>
      <c r="J233" s="27">
        <v>297</v>
      </c>
      <c r="K233" s="8">
        <f t="shared" si="20"/>
        <v>0.41249999999999998</v>
      </c>
      <c r="L233" s="27">
        <v>0</v>
      </c>
      <c r="M233" s="21"/>
      <c r="N233" s="27">
        <v>1197</v>
      </c>
      <c r="O233" s="27">
        <v>1197</v>
      </c>
      <c r="P233" s="9">
        <f t="shared" si="21"/>
        <v>-774</v>
      </c>
      <c r="Q233" s="9">
        <f>IFERROR(IF(D233=20250,O233/(#REF!/30),O233/(I233/30)),0)</f>
        <v>49.875</v>
      </c>
      <c r="R233" s="9">
        <f t="shared" si="22"/>
        <v>49.875</v>
      </c>
    </row>
    <row r="234" spans="1:18" ht="13.15" x14ac:dyDescent="0.45">
      <c r="A234" s="15" t="str">
        <f t="shared" si="18"/>
        <v>420014248</v>
      </c>
      <c r="B234" s="19" t="s">
        <v>71</v>
      </c>
      <c r="C234" s="6" t="e">
        <f>_xlfn.XLOOKUP(B:B,#REF!,#REF!)</f>
        <v>#REF!</v>
      </c>
      <c r="D234" s="19" t="s">
        <v>29</v>
      </c>
      <c r="E234" s="6" t="str">
        <f t="shared" si="19"/>
        <v>420014248</v>
      </c>
      <c r="F234" s="19" t="s">
        <v>30</v>
      </c>
      <c r="G234" s="7" t="e">
        <f>VLOOKUP(D234,#REF!,4,)</f>
        <v>#REF!</v>
      </c>
      <c r="H234" s="6" t="e">
        <f>VLOOKUP(D234,#REF!,5,)</f>
        <v>#REF!</v>
      </c>
      <c r="I234" s="27">
        <v>1029.3</v>
      </c>
      <c r="J234" s="27">
        <v>490</v>
      </c>
      <c r="K234" s="8">
        <f t="shared" si="20"/>
        <v>0.47605168561158073</v>
      </c>
      <c r="L234" s="27">
        <v>0</v>
      </c>
      <c r="M234" s="21"/>
      <c r="N234" s="27">
        <v>1150</v>
      </c>
      <c r="O234" s="27">
        <v>1150</v>
      </c>
      <c r="P234" s="9">
        <f t="shared" si="21"/>
        <v>-610.70000000000005</v>
      </c>
      <c r="Q234" s="9">
        <f>IFERROR(IF(D234=20250,O234/(#REF!/30),O234/(I234/30)),0)</f>
        <v>33.517924803264357</v>
      </c>
      <c r="R234" s="9">
        <f t="shared" si="22"/>
        <v>33.517924803264357</v>
      </c>
    </row>
    <row r="235" spans="1:18" ht="13.15" x14ac:dyDescent="0.45">
      <c r="A235" s="15" t="str">
        <f t="shared" si="18"/>
        <v>420015305</v>
      </c>
      <c r="B235" s="19" t="s">
        <v>71</v>
      </c>
      <c r="C235" s="6" t="e">
        <f>_xlfn.XLOOKUP(B:B,#REF!,#REF!)</f>
        <v>#REF!</v>
      </c>
      <c r="D235" s="19" t="s">
        <v>33</v>
      </c>
      <c r="E235" s="6" t="str">
        <f t="shared" si="19"/>
        <v>420015305</v>
      </c>
      <c r="F235" s="19" t="s">
        <v>34</v>
      </c>
      <c r="G235" s="7" t="e">
        <f>VLOOKUP(D235,#REF!,4,)</f>
        <v>#REF!</v>
      </c>
      <c r="H235" s="6" t="e">
        <f>VLOOKUP(D235,#REF!,5,)</f>
        <v>#REF!</v>
      </c>
      <c r="I235" s="27">
        <v>192.96</v>
      </c>
      <c r="J235" s="27">
        <v>99</v>
      </c>
      <c r="K235" s="8">
        <f t="shared" si="20"/>
        <v>0.51305970149253732</v>
      </c>
      <c r="L235" s="27">
        <v>0</v>
      </c>
      <c r="M235" s="21"/>
      <c r="N235" s="27">
        <v>180</v>
      </c>
      <c r="O235" s="27">
        <v>180</v>
      </c>
      <c r="P235" s="9">
        <f t="shared" si="21"/>
        <v>-86.039999999999992</v>
      </c>
      <c r="Q235" s="9">
        <f>IFERROR(IF(D235=20250,O235/(#REF!/30),O235/(I235/30)),0)</f>
        <v>27.985074626865671</v>
      </c>
      <c r="R235" s="9">
        <f t="shared" si="22"/>
        <v>27.985074626865671</v>
      </c>
    </row>
    <row r="236" spans="1:18" ht="13.15" x14ac:dyDescent="0.45">
      <c r="A236" s="15" t="str">
        <f t="shared" si="18"/>
        <v>420015312</v>
      </c>
      <c r="B236" s="19" t="s">
        <v>71</v>
      </c>
      <c r="C236" s="6" t="e">
        <f>_xlfn.XLOOKUP(B:B,#REF!,#REF!)</f>
        <v>#REF!</v>
      </c>
      <c r="D236" s="19" t="s">
        <v>35</v>
      </c>
      <c r="E236" s="6" t="str">
        <f t="shared" si="19"/>
        <v>420015312</v>
      </c>
      <c r="F236" s="19" t="s">
        <v>36</v>
      </c>
      <c r="G236" s="7" t="e">
        <f>VLOOKUP(D236,#REF!,4,)</f>
        <v>#REF!</v>
      </c>
      <c r="H236" s="6" t="e">
        <f>VLOOKUP(D236,#REF!,5,)</f>
        <v>#REF!</v>
      </c>
      <c r="I236" s="27">
        <v>144.44999999999999</v>
      </c>
      <c r="J236" s="27">
        <v>72</v>
      </c>
      <c r="K236" s="8">
        <f t="shared" si="20"/>
        <v>0.49844236760124616</v>
      </c>
      <c r="L236" s="27">
        <v>0</v>
      </c>
      <c r="M236" s="21"/>
      <c r="N236" s="27">
        <v>189</v>
      </c>
      <c r="O236" s="27">
        <v>189</v>
      </c>
      <c r="P236" s="9">
        <f t="shared" si="21"/>
        <v>-116.55000000000001</v>
      </c>
      <c r="Q236" s="9">
        <f>IFERROR(IF(D236=20250,O236/(#REF!/30),O236/(I236/30)),0)</f>
        <v>39.252336448598136</v>
      </c>
      <c r="R236" s="9">
        <f t="shared" si="22"/>
        <v>39.252336448598136</v>
      </c>
    </row>
    <row r="237" spans="1:18" ht="13.15" x14ac:dyDescent="0.45">
      <c r="A237" s="15" t="str">
        <f t="shared" si="18"/>
        <v>420016407</v>
      </c>
      <c r="B237" s="19" t="s">
        <v>71</v>
      </c>
      <c r="C237" s="6" t="e">
        <f>_xlfn.XLOOKUP(B:B,#REF!,#REF!)</f>
        <v>#REF!</v>
      </c>
      <c r="D237" s="19" t="s">
        <v>37</v>
      </c>
      <c r="E237" s="6" t="str">
        <f t="shared" si="19"/>
        <v>420016407</v>
      </c>
      <c r="F237" s="19" t="s">
        <v>38</v>
      </c>
      <c r="G237" s="7" t="e">
        <f>VLOOKUP(D237,#REF!,4,)</f>
        <v>#REF!</v>
      </c>
      <c r="H237" s="6" t="e">
        <f>VLOOKUP(D237,#REF!,5,)</f>
        <v>#REF!</v>
      </c>
      <c r="I237" s="27">
        <v>578.97</v>
      </c>
      <c r="J237" s="27">
        <v>216</v>
      </c>
      <c r="K237" s="8">
        <f t="shared" si="20"/>
        <v>0.37307632519819678</v>
      </c>
      <c r="L237" s="27">
        <v>0</v>
      </c>
      <c r="M237" s="21"/>
      <c r="N237" s="27">
        <v>459</v>
      </c>
      <c r="O237" s="27">
        <v>459</v>
      </c>
      <c r="P237" s="9">
        <f t="shared" si="21"/>
        <v>-96.029999999999973</v>
      </c>
      <c r="Q237" s="9">
        <f>IFERROR(IF(D237=20250,O237/(#REF!/30),O237/(I237/30)),0)</f>
        <v>23.783615731385048</v>
      </c>
      <c r="R237" s="9">
        <f t="shared" si="22"/>
        <v>23.783615731385048</v>
      </c>
    </row>
    <row r="238" spans="1:18" ht="13.15" x14ac:dyDescent="0.45">
      <c r="A238" s="15" t="str">
        <f t="shared" si="18"/>
        <v>420000189</v>
      </c>
      <c r="B238" s="19" t="s">
        <v>71</v>
      </c>
      <c r="C238" s="6" t="e">
        <f>_xlfn.XLOOKUP(B:B,#REF!,#REF!)</f>
        <v>#REF!</v>
      </c>
      <c r="D238" s="19" t="s">
        <v>39</v>
      </c>
      <c r="E238" s="6" t="str">
        <f t="shared" si="19"/>
        <v>420000189</v>
      </c>
      <c r="F238" s="19" t="s">
        <v>109</v>
      </c>
      <c r="G238" s="7" t="e">
        <f>VLOOKUP(D238,#REF!,4,)</f>
        <v>#REF!</v>
      </c>
      <c r="H238" s="6" t="e">
        <f>VLOOKUP(D238,#REF!,5,)</f>
        <v>#REF!</v>
      </c>
      <c r="I238" s="27">
        <v>120000</v>
      </c>
      <c r="J238" s="27">
        <v>93984</v>
      </c>
      <c r="K238" s="8">
        <f t="shared" si="20"/>
        <v>0.78320000000000001</v>
      </c>
      <c r="L238" s="27">
        <v>0</v>
      </c>
      <c r="M238" s="21"/>
      <c r="N238" s="27">
        <v>26016</v>
      </c>
      <c r="O238" s="27">
        <v>26016</v>
      </c>
      <c r="P238" s="9">
        <f t="shared" si="21"/>
        <v>0</v>
      </c>
      <c r="Q238" s="9">
        <f>IFERROR(IF(D238=20250,O238/(#REF!/30),O238/(I238/30)),0)</f>
        <v>6.5039999999999996</v>
      </c>
      <c r="R238" s="9">
        <f t="shared" si="22"/>
        <v>6.5039999999999996</v>
      </c>
    </row>
    <row r="239" spans="1:18" ht="13.15" x14ac:dyDescent="0.45">
      <c r="A239" s="15" t="str">
        <f t="shared" si="18"/>
        <v>420001167</v>
      </c>
      <c r="B239" s="19" t="s">
        <v>71</v>
      </c>
      <c r="C239" s="6" t="e">
        <f>_xlfn.XLOOKUP(B:B,#REF!,#REF!)</f>
        <v>#REF!</v>
      </c>
      <c r="D239" s="19" t="s">
        <v>40</v>
      </c>
      <c r="E239" s="6" t="str">
        <f t="shared" si="19"/>
        <v>420001167</v>
      </c>
      <c r="F239" s="19" t="s">
        <v>41</v>
      </c>
      <c r="G239" s="7" t="e">
        <f>VLOOKUP(D239,#REF!,4,)</f>
        <v>#REF!</v>
      </c>
      <c r="H239" s="6" t="e">
        <f>VLOOKUP(D239,#REF!,5,)</f>
        <v>#REF!</v>
      </c>
      <c r="I239" s="27">
        <v>4504.4399999999996</v>
      </c>
      <c r="J239" s="27">
        <v>2004</v>
      </c>
      <c r="K239" s="8">
        <f t="shared" si="20"/>
        <v>0.44489437088739114</v>
      </c>
      <c r="L239" s="27">
        <v>0</v>
      </c>
      <c r="M239" s="21"/>
      <c r="N239" s="27">
        <v>3756</v>
      </c>
      <c r="O239" s="27">
        <v>3756</v>
      </c>
      <c r="P239" s="9">
        <f t="shared" si="21"/>
        <v>-1255.5600000000004</v>
      </c>
      <c r="Q239" s="9">
        <f>IFERROR(IF(D239=20250,O239/(#REF!/30),O239/(I239/30)),0)</f>
        <v>25.015318219356903</v>
      </c>
      <c r="R239" s="9">
        <f t="shared" si="22"/>
        <v>25.015318219356903</v>
      </c>
    </row>
    <row r="240" spans="1:18" ht="13.15" x14ac:dyDescent="0.45">
      <c r="A240" s="15" t="str">
        <f t="shared" si="18"/>
        <v>420001296</v>
      </c>
      <c r="B240" s="19" t="s">
        <v>71</v>
      </c>
      <c r="C240" s="6" t="e">
        <f>_xlfn.XLOOKUP(B:B,#REF!,#REF!)</f>
        <v>#REF!</v>
      </c>
      <c r="D240" s="19" t="s">
        <v>14</v>
      </c>
      <c r="E240" s="6" t="str">
        <f t="shared" si="19"/>
        <v>420001296</v>
      </c>
      <c r="F240" s="19" t="s">
        <v>15</v>
      </c>
      <c r="G240" s="7" t="e">
        <f>VLOOKUP(D240,#REF!,4,)</f>
        <v>#REF!</v>
      </c>
      <c r="H240" s="6" t="e">
        <f>VLOOKUP(D240,#REF!,5,)</f>
        <v>#REF!</v>
      </c>
      <c r="I240" s="27">
        <v>7722.24</v>
      </c>
      <c r="J240" s="27">
        <v>3744</v>
      </c>
      <c r="K240" s="8">
        <f t="shared" si="20"/>
        <v>0.48483341621084042</v>
      </c>
      <c r="L240" s="27">
        <v>0</v>
      </c>
      <c r="M240" s="21"/>
      <c r="N240" s="27">
        <v>6984</v>
      </c>
      <c r="O240" s="27">
        <v>6984</v>
      </c>
      <c r="P240" s="9">
        <f t="shared" si="21"/>
        <v>-3005.76</v>
      </c>
      <c r="Q240" s="9">
        <f>IFERROR(IF(D240=20250,O240/(#REF!/30),O240/(I240/30)),0)</f>
        <v>27.132023868722026</v>
      </c>
      <c r="R240" s="9">
        <f t="shared" si="22"/>
        <v>27.132023868722026</v>
      </c>
    </row>
    <row r="241" spans="1:18" ht="13.15" x14ac:dyDescent="0.45">
      <c r="A241" s="15" t="str">
        <f t="shared" si="18"/>
        <v>420002122</v>
      </c>
      <c r="B241" s="19" t="s">
        <v>71</v>
      </c>
      <c r="C241" s="6" t="e">
        <f>_xlfn.XLOOKUP(B:B,#REF!,#REF!)</f>
        <v>#REF!</v>
      </c>
      <c r="D241" s="19" t="s">
        <v>42</v>
      </c>
      <c r="E241" s="6" t="str">
        <f t="shared" si="19"/>
        <v>420002122</v>
      </c>
      <c r="F241" s="19" t="s">
        <v>43</v>
      </c>
      <c r="G241" s="7" t="e">
        <f>VLOOKUP(D241,#REF!,4,)</f>
        <v>#REF!</v>
      </c>
      <c r="H241" s="6" t="e">
        <f>VLOOKUP(D241,#REF!,5,)</f>
        <v>#REF!</v>
      </c>
      <c r="I241" s="27">
        <v>9652.2000000000007</v>
      </c>
      <c r="J241" s="27">
        <v>6768</v>
      </c>
      <c r="K241" s="8">
        <f t="shared" si="20"/>
        <v>0.70118729408839431</v>
      </c>
      <c r="L241" s="27">
        <v>6996</v>
      </c>
      <c r="M241" s="21">
        <v>46167</v>
      </c>
      <c r="N241" s="27">
        <v>3948</v>
      </c>
      <c r="O241" s="27">
        <v>10944</v>
      </c>
      <c r="P241" s="9">
        <f t="shared" si="21"/>
        <v>-8059.7999999999993</v>
      </c>
      <c r="Q241" s="9">
        <f>IFERROR(IF(D241=20250,O241/(#REF!/30),O241/(I241/30)),0)</f>
        <v>34.015043202585936</v>
      </c>
      <c r="R241" s="9">
        <f t="shared" si="22"/>
        <v>12.2707776465469</v>
      </c>
    </row>
    <row r="242" spans="1:18" ht="13.15" x14ac:dyDescent="0.45">
      <c r="A242" s="15" t="str">
        <f t="shared" si="18"/>
        <v>420005159</v>
      </c>
      <c r="B242" s="19" t="s">
        <v>71</v>
      </c>
      <c r="C242" s="6" t="e">
        <f>_xlfn.XLOOKUP(B:B,#REF!,#REF!)</f>
        <v>#REF!</v>
      </c>
      <c r="D242" s="19" t="s">
        <v>44</v>
      </c>
      <c r="E242" s="6" t="str">
        <f t="shared" si="19"/>
        <v>420005159</v>
      </c>
      <c r="F242" s="19" t="s">
        <v>45</v>
      </c>
      <c r="G242" s="7" t="e">
        <f>VLOOKUP(D242,#REF!,4,)</f>
        <v>#REF!</v>
      </c>
      <c r="H242" s="6" t="e">
        <f>VLOOKUP(D242,#REF!,5,)</f>
        <v>#REF!</v>
      </c>
      <c r="I242" s="27">
        <v>0</v>
      </c>
      <c r="J242" s="27">
        <v>0</v>
      </c>
      <c r="K242" s="8">
        <f t="shared" si="20"/>
        <v>0</v>
      </c>
      <c r="L242" s="27">
        <v>0</v>
      </c>
      <c r="M242" s="21"/>
      <c r="N242" s="27">
        <v>480</v>
      </c>
      <c r="O242" s="27">
        <v>480</v>
      </c>
      <c r="P242" s="9">
        <f t="shared" si="21"/>
        <v>-480</v>
      </c>
      <c r="Q242" s="9">
        <f>IFERROR(IF(D242=20250,O242/(#REF!/30),O242/(I242/30)),0)</f>
        <v>0</v>
      </c>
      <c r="R242" s="9">
        <f t="shared" si="22"/>
        <v>0</v>
      </c>
    </row>
    <row r="243" spans="1:18" ht="13.15" x14ac:dyDescent="0.45">
      <c r="A243" s="15" t="str">
        <f t="shared" si="18"/>
        <v>420006982</v>
      </c>
      <c r="B243" s="19" t="s">
        <v>71</v>
      </c>
      <c r="C243" s="6" t="e">
        <f>_xlfn.XLOOKUP(B:B,#REF!,#REF!)</f>
        <v>#REF!</v>
      </c>
      <c r="D243" s="19" t="s">
        <v>46</v>
      </c>
      <c r="E243" s="6" t="str">
        <f t="shared" si="19"/>
        <v>420006982</v>
      </c>
      <c r="F243" s="19" t="s">
        <v>47</v>
      </c>
      <c r="G243" s="7" t="e">
        <f>VLOOKUP(D243,#REF!,4,)</f>
        <v>#REF!</v>
      </c>
      <c r="H243" s="6" t="e">
        <f>VLOOKUP(D243,#REF!,5,)</f>
        <v>#REF!</v>
      </c>
      <c r="I243" s="27">
        <v>5147.76</v>
      </c>
      <c r="J243" s="27">
        <v>4032</v>
      </c>
      <c r="K243" s="8">
        <f t="shared" si="20"/>
        <v>0.78325329852207559</v>
      </c>
      <c r="L243" s="27">
        <v>0</v>
      </c>
      <c r="M243" s="21"/>
      <c r="N243" s="27">
        <v>1212</v>
      </c>
      <c r="O243" s="27">
        <v>1212</v>
      </c>
      <c r="P243" s="9">
        <f t="shared" si="21"/>
        <v>-96.239999999999782</v>
      </c>
      <c r="Q243" s="9">
        <f>IFERROR(IF(D243=20250,O243/(#REF!/30),O243/(I243/30)),0)</f>
        <v>7.0632663527437174</v>
      </c>
      <c r="R243" s="9">
        <f t="shared" si="22"/>
        <v>7.0632663527437174</v>
      </c>
    </row>
    <row r="244" spans="1:18" ht="13.15" x14ac:dyDescent="0.45">
      <c r="A244" s="15" t="str">
        <f t="shared" si="18"/>
        <v>420007310</v>
      </c>
      <c r="B244" s="19" t="s">
        <v>71</v>
      </c>
      <c r="C244" s="6" t="e">
        <f>_xlfn.XLOOKUP(B:B,#REF!,#REF!)</f>
        <v>#REF!</v>
      </c>
      <c r="D244" s="19" t="s">
        <v>16</v>
      </c>
      <c r="E244" s="6" t="str">
        <f t="shared" si="19"/>
        <v>420007310</v>
      </c>
      <c r="F244" s="19" t="s">
        <v>17</v>
      </c>
      <c r="G244" s="7" t="e">
        <f>VLOOKUP(D244,#REF!,4,)</f>
        <v>#REF!</v>
      </c>
      <c r="H244" s="6" t="e">
        <f>VLOOKUP(D244,#REF!,5,)</f>
        <v>#REF!</v>
      </c>
      <c r="I244" s="27">
        <v>25203.599999999999</v>
      </c>
      <c r="J244" s="27">
        <v>16968</v>
      </c>
      <c r="K244" s="8">
        <f t="shared" si="20"/>
        <v>0.67323715659667671</v>
      </c>
      <c r="L244" s="27">
        <v>5004</v>
      </c>
      <c r="M244" s="21">
        <v>46167</v>
      </c>
      <c r="N244" s="27">
        <v>23328</v>
      </c>
      <c r="O244" s="27">
        <v>28332</v>
      </c>
      <c r="P244" s="9">
        <f t="shared" si="21"/>
        <v>-20096.400000000001</v>
      </c>
      <c r="Q244" s="9">
        <f>IFERROR(IF(D244=20250,O244/(#REF!/30),O244/(I244/30)),0)</f>
        <v>33.723753749464365</v>
      </c>
      <c r="R244" s="9">
        <f t="shared" si="22"/>
        <v>27.767461791172689</v>
      </c>
    </row>
    <row r="245" spans="1:18" ht="13.15" x14ac:dyDescent="0.45">
      <c r="A245" s="15" t="str">
        <f t="shared" si="18"/>
        <v>420008529</v>
      </c>
      <c r="B245" s="19" t="s">
        <v>71</v>
      </c>
      <c r="C245" s="6" t="e">
        <f>_xlfn.XLOOKUP(B:B,#REF!,#REF!)</f>
        <v>#REF!</v>
      </c>
      <c r="D245" s="19" t="s">
        <v>48</v>
      </c>
      <c r="E245" s="6" t="str">
        <f t="shared" si="19"/>
        <v>420008529</v>
      </c>
      <c r="F245" s="19" t="s">
        <v>49</v>
      </c>
      <c r="G245" s="7" t="e">
        <f>VLOOKUP(D245,#REF!,4,)</f>
        <v>#REF!</v>
      </c>
      <c r="H245" s="6" t="e">
        <f>VLOOKUP(D245,#REF!,5,)</f>
        <v>#REF!</v>
      </c>
      <c r="I245" s="27">
        <v>7400.52</v>
      </c>
      <c r="J245" s="27">
        <v>4752</v>
      </c>
      <c r="K245" s="8">
        <f t="shared" si="20"/>
        <v>0.64211704042418638</v>
      </c>
      <c r="L245" s="27">
        <v>0</v>
      </c>
      <c r="M245" s="21"/>
      <c r="N245" s="27">
        <v>7956</v>
      </c>
      <c r="O245" s="27">
        <v>7956</v>
      </c>
      <c r="P245" s="9">
        <f t="shared" si="21"/>
        <v>-5307.48</v>
      </c>
      <c r="Q245" s="9">
        <f>IFERROR(IF(D245=20250,O245/(#REF!/30),O245/(I245/30)),0)</f>
        <v>32.251787712214814</v>
      </c>
      <c r="R245" s="9">
        <f t="shared" si="22"/>
        <v>32.251787712214814</v>
      </c>
    </row>
    <row r="246" spans="1:18" ht="13.15" x14ac:dyDescent="0.45">
      <c r="A246" s="15" t="str">
        <f t="shared" si="18"/>
        <v>420013179</v>
      </c>
      <c r="B246" s="19" t="s">
        <v>71</v>
      </c>
      <c r="C246" s="6" t="e">
        <f>_xlfn.XLOOKUP(B:B,#REF!,#REF!)</f>
        <v>#REF!</v>
      </c>
      <c r="D246" s="19" t="s">
        <v>18</v>
      </c>
      <c r="E246" s="6" t="str">
        <f t="shared" si="19"/>
        <v>420013179</v>
      </c>
      <c r="F246" s="19" t="s">
        <v>19</v>
      </c>
      <c r="G246" s="7" t="e">
        <f>VLOOKUP(D246,#REF!,4,)</f>
        <v>#REF!</v>
      </c>
      <c r="H246" s="6" t="e">
        <f>VLOOKUP(D246,#REF!,5,)</f>
        <v>#REF!</v>
      </c>
      <c r="I246" s="27">
        <v>0</v>
      </c>
      <c r="J246" s="27">
        <v>0</v>
      </c>
      <c r="K246" s="8">
        <f t="shared" si="20"/>
        <v>0</v>
      </c>
      <c r="L246" s="27">
        <v>0</v>
      </c>
      <c r="M246" s="21"/>
      <c r="N246" s="27">
        <v>60</v>
      </c>
      <c r="O246" s="27">
        <v>60</v>
      </c>
      <c r="P246" s="9">
        <f t="shared" si="21"/>
        <v>-60</v>
      </c>
      <c r="Q246" s="9">
        <f>IFERROR(IF(D246=20250,O246/(#REF!/30),O246/(I246/30)),0)</f>
        <v>0</v>
      </c>
      <c r="R246" s="9">
        <f t="shared" si="22"/>
        <v>0</v>
      </c>
    </row>
    <row r="247" spans="1:18" ht="13.15" x14ac:dyDescent="0.45">
      <c r="A247" s="15" t="str">
        <f t="shared" si="18"/>
        <v>420013678</v>
      </c>
      <c r="B247" s="19" t="s">
        <v>71</v>
      </c>
      <c r="C247" s="6" t="e">
        <f>_xlfn.XLOOKUP(B:B,#REF!,#REF!)</f>
        <v>#REF!</v>
      </c>
      <c r="D247" s="19" t="s">
        <v>50</v>
      </c>
      <c r="E247" s="6" t="str">
        <f t="shared" si="19"/>
        <v>420013678</v>
      </c>
      <c r="F247" s="19" t="s">
        <v>51</v>
      </c>
      <c r="G247" s="7" t="e">
        <f>VLOOKUP(D247,#REF!,4,)</f>
        <v>#REF!</v>
      </c>
      <c r="H247" s="6" t="e">
        <f>VLOOKUP(D247,#REF!,5,)</f>
        <v>#REF!</v>
      </c>
      <c r="I247" s="27">
        <v>4504.4399999999996</v>
      </c>
      <c r="J247" s="27">
        <v>1992</v>
      </c>
      <c r="K247" s="8">
        <f t="shared" si="20"/>
        <v>0.44223033273836487</v>
      </c>
      <c r="L247" s="27">
        <v>192</v>
      </c>
      <c r="M247" s="21">
        <v>46167</v>
      </c>
      <c r="N247" s="27">
        <v>3720</v>
      </c>
      <c r="O247" s="27">
        <v>3912</v>
      </c>
      <c r="P247" s="9">
        <f t="shared" si="21"/>
        <v>-1399.5600000000004</v>
      </c>
      <c r="Q247" s="9">
        <f>IFERROR(IF(D247=20250,O247/(#REF!/30),O247/(I247/30)),0)</f>
        <v>26.054293097477156</v>
      </c>
      <c r="R247" s="9">
        <f t="shared" si="22"/>
        <v>24.775554785944536</v>
      </c>
    </row>
    <row r="248" spans="1:18" ht="13.15" x14ac:dyDescent="0.45">
      <c r="A248" s="15" t="str">
        <f t="shared" si="18"/>
        <v>420014654</v>
      </c>
      <c r="B248" s="19" t="s">
        <v>71</v>
      </c>
      <c r="C248" s="6" t="e">
        <f>_xlfn.XLOOKUP(B:B,#REF!,#REF!)</f>
        <v>#REF!</v>
      </c>
      <c r="D248" s="19" t="s">
        <v>52</v>
      </c>
      <c r="E248" s="6" t="str">
        <f t="shared" si="19"/>
        <v>420014654</v>
      </c>
      <c r="F248" s="19" t="s">
        <v>53</v>
      </c>
      <c r="G248" s="7" t="e">
        <f>VLOOKUP(D248,#REF!,4,)</f>
        <v>#REF!</v>
      </c>
      <c r="H248" s="6" t="e">
        <f>VLOOKUP(D248,#REF!,5,)</f>
        <v>#REF!</v>
      </c>
      <c r="I248" s="27">
        <v>9008.8799999999992</v>
      </c>
      <c r="J248" s="27">
        <v>2400</v>
      </c>
      <c r="K248" s="8">
        <f t="shared" si="20"/>
        <v>0.26640381490262943</v>
      </c>
      <c r="L248" s="27">
        <v>0</v>
      </c>
      <c r="M248" s="21"/>
      <c r="N248" s="27">
        <v>7620</v>
      </c>
      <c r="O248" s="27">
        <v>7620</v>
      </c>
      <c r="P248" s="9">
        <f t="shared" si="21"/>
        <v>-1011.1200000000008</v>
      </c>
      <c r="Q248" s="9">
        <f>IFERROR(IF(D248=20250,O248/(#REF!/30),O248/(I248/30)),0)</f>
        <v>25.374963369475452</v>
      </c>
      <c r="R248" s="9">
        <f t="shared" si="22"/>
        <v>25.374963369475452</v>
      </c>
    </row>
    <row r="249" spans="1:18" ht="13.15" x14ac:dyDescent="0.45">
      <c r="A249" s="15" t="str">
        <f t="shared" si="18"/>
        <v>420014788</v>
      </c>
      <c r="B249" s="19" t="s">
        <v>71</v>
      </c>
      <c r="C249" s="6" t="e">
        <f>_xlfn.XLOOKUP(B:B,#REF!,#REF!)</f>
        <v>#REF!</v>
      </c>
      <c r="D249" s="19" t="s">
        <v>54</v>
      </c>
      <c r="E249" s="6" t="str">
        <f t="shared" si="19"/>
        <v>420014788</v>
      </c>
      <c r="F249" s="19" t="s">
        <v>55</v>
      </c>
      <c r="G249" s="7" t="e">
        <f>VLOOKUP(D249,#REF!,4,)</f>
        <v>#REF!</v>
      </c>
      <c r="H249" s="6" t="e">
        <f>VLOOKUP(D249,#REF!,5,)</f>
        <v>#REF!</v>
      </c>
      <c r="I249" s="27">
        <v>22522.32</v>
      </c>
      <c r="J249" s="27">
        <v>14232</v>
      </c>
      <c r="K249" s="8">
        <f t="shared" si="20"/>
        <v>0.63190648210308709</v>
      </c>
      <c r="L249" s="27">
        <v>6276</v>
      </c>
      <c r="M249" s="21">
        <v>46167</v>
      </c>
      <c r="N249" s="27">
        <v>9972</v>
      </c>
      <c r="O249" s="27">
        <v>16248</v>
      </c>
      <c r="P249" s="9">
        <f t="shared" si="21"/>
        <v>-7957.68</v>
      </c>
      <c r="Q249" s="9">
        <f>IFERROR(IF(D249=20250,O249/(#REF!/30),O249/(I249/30)),0)</f>
        <v>21.642530609635241</v>
      </c>
      <c r="R249" s="9">
        <f t="shared" si="22"/>
        <v>13.282823439148364</v>
      </c>
    </row>
    <row r="250" spans="1:18" ht="13.15" x14ac:dyDescent="0.45">
      <c r="A250" s="15" t="str">
        <f t="shared" si="18"/>
        <v>420015536</v>
      </c>
      <c r="B250" s="19" t="s">
        <v>71</v>
      </c>
      <c r="C250" s="6" t="e">
        <f>_xlfn.XLOOKUP(B:B,#REF!,#REF!)</f>
        <v>#REF!</v>
      </c>
      <c r="D250" s="19" t="s">
        <v>56</v>
      </c>
      <c r="E250" s="6" t="str">
        <f t="shared" si="19"/>
        <v>420015536</v>
      </c>
      <c r="F250" s="19" t="s">
        <v>57</v>
      </c>
      <c r="G250" s="7" t="e">
        <f>VLOOKUP(D250,#REF!,4,)</f>
        <v>#REF!</v>
      </c>
      <c r="H250" s="6" t="e">
        <f>VLOOKUP(D250,#REF!,5,)</f>
        <v>#REF!</v>
      </c>
      <c r="I250" s="27">
        <v>9652.2000000000007</v>
      </c>
      <c r="J250" s="27">
        <v>3084</v>
      </c>
      <c r="K250" s="8">
        <f t="shared" si="20"/>
        <v>0.31951264996581086</v>
      </c>
      <c r="L250" s="27">
        <v>0</v>
      </c>
      <c r="M250" s="21"/>
      <c r="N250" s="27">
        <v>10008</v>
      </c>
      <c r="O250" s="27">
        <v>10008</v>
      </c>
      <c r="P250" s="9">
        <f t="shared" si="21"/>
        <v>-3439.7999999999993</v>
      </c>
      <c r="Q250" s="9">
        <f>IFERROR(IF(D250=20250,O250/(#REF!/30),O250/(I250/30)),0)</f>
        <v>31.105861876048984</v>
      </c>
      <c r="R250" s="9">
        <f t="shared" si="22"/>
        <v>31.105861876048984</v>
      </c>
    </row>
    <row r="251" spans="1:18" ht="13.15" x14ac:dyDescent="0.45">
      <c r="A251" s="15" t="str">
        <f t="shared" si="18"/>
        <v>420015906</v>
      </c>
      <c r="B251" s="19" t="s">
        <v>71</v>
      </c>
      <c r="C251" s="6" t="e">
        <f>_xlfn.XLOOKUP(B:B,#REF!,#REF!)</f>
        <v>#REF!</v>
      </c>
      <c r="D251" s="19" t="s">
        <v>58</v>
      </c>
      <c r="E251" s="6" t="str">
        <f t="shared" si="19"/>
        <v>420015906</v>
      </c>
      <c r="F251" s="19" t="s">
        <v>59</v>
      </c>
      <c r="G251" s="7" t="e">
        <f>VLOOKUP(D251,#REF!,4,)</f>
        <v>#REF!</v>
      </c>
      <c r="H251" s="6" t="e">
        <f>VLOOKUP(D251,#REF!,5,)</f>
        <v>#REF!</v>
      </c>
      <c r="I251" s="27">
        <v>964.92</v>
      </c>
      <c r="J251" s="27">
        <v>600</v>
      </c>
      <c r="K251" s="8">
        <f t="shared" si="20"/>
        <v>0.62181320731252332</v>
      </c>
      <c r="L251" s="27">
        <v>0</v>
      </c>
      <c r="M251" s="21"/>
      <c r="N251" s="27">
        <v>1164</v>
      </c>
      <c r="O251" s="27">
        <v>1164</v>
      </c>
      <c r="P251" s="9">
        <f t="shared" si="21"/>
        <v>-799.08</v>
      </c>
      <c r="Q251" s="9">
        <f>IFERROR(IF(D251=20250,O251/(#REF!/30),O251/(I251/30)),0)</f>
        <v>36.189528665588853</v>
      </c>
      <c r="R251" s="9">
        <f t="shared" si="22"/>
        <v>36.189528665588853</v>
      </c>
    </row>
    <row r="252" spans="1:18" ht="13.15" x14ac:dyDescent="0.45">
      <c r="A252" s="15" t="str">
        <f t="shared" si="18"/>
        <v>420016336</v>
      </c>
      <c r="B252" s="19" t="s">
        <v>71</v>
      </c>
      <c r="C252" s="6" t="e">
        <f>_xlfn.XLOOKUP(B:B,#REF!,#REF!)</f>
        <v>#REF!</v>
      </c>
      <c r="D252" s="19" t="s">
        <v>20</v>
      </c>
      <c r="E252" s="6" t="str">
        <f t="shared" si="19"/>
        <v>420016336</v>
      </c>
      <c r="F252" s="19" t="s">
        <v>21</v>
      </c>
      <c r="G252" s="7" t="e">
        <f>VLOOKUP(D252,#REF!,4,)</f>
        <v>#REF!</v>
      </c>
      <c r="H252" s="6" t="e">
        <f>VLOOKUP(D252,#REF!,5,)</f>
        <v>#REF!</v>
      </c>
      <c r="I252" s="27">
        <v>64349.279999999999</v>
      </c>
      <c r="J252" s="27">
        <v>37944</v>
      </c>
      <c r="K252" s="8">
        <f t="shared" si="20"/>
        <v>0.58965694721059814</v>
      </c>
      <c r="L252" s="27">
        <v>0</v>
      </c>
      <c r="M252" s="21"/>
      <c r="N252" s="27">
        <v>54216</v>
      </c>
      <c r="O252" s="27">
        <v>54216</v>
      </c>
      <c r="P252" s="9">
        <f t="shared" si="21"/>
        <v>-27810.720000000001</v>
      </c>
      <c r="Q252" s="9">
        <f>IFERROR(IF(D252=20250,O252/(#REF!/30),O252/(I252/30)),0)</f>
        <v>25.275807281759796</v>
      </c>
      <c r="R252" s="9">
        <f t="shared" si="22"/>
        <v>25.275807281759796</v>
      </c>
    </row>
    <row r="253" spans="1:18" ht="13.15" x14ac:dyDescent="0.45">
      <c r="A253" s="15" t="str">
        <f t="shared" si="18"/>
        <v>420016984</v>
      </c>
      <c r="B253" s="19" t="s">
        <v>71</v>
      </c>
      <c r="C253" s="6" t="e">
        <f>_xlfn.XLOOKUP(B:B,#REF!,#REF!)</f>
        <v>#REF!</v>
      </c>
      <c r="D253" s="19" t="s">
        <v>60</v>
      </c>
      <c r="E253" s="6" t="str">
        <f t="shared" si="19"/>
        <v>420016984</v>
      </c>
      <c r="F253" s="19" t="s">
        <v>61</v>
      </c>
      <c r="G253" s="7" t="e">
        <f>VLOOKUP(D253,#REF!,4,)</f>
        <v>#REF!</v>
      </c>
      <c r="H253" s="6" t="e">
        <f>VLOOKUP(D253,#REF!,5,)</f>
        <v>#REF!</v>
      </c>
      <c r="I253" s="27">
        <v>2574.36</v>
      </c>
      <c r="J253" s="27">
        <v>1428</v>
      </c>
      <c r="K253" s="8">
        <f t="shared" si="20"/>
        <v>0.55470097422271936</v>
      </c>
      <c r="L253" s="27">
        <v>300</v>
      </c>
      <c r="M253" s="21">
        <v>46167</v>
      </c>
      <c r="N253" s="27">
        <v>1164</v>
      </c>
      <c r="O253" s="27">
        <v>1464</v>
      </c>
      <c r="P253" s="9">
        <f t="shared" si="21"/>
        <v>-317.63999999999987</v>
      </c>
      <c r="Q253" s="9">
        <f>IFERROR(IF(D253=20250,O253/(#REF!/30),O253/(I253/30)),0)</f>
        <v>17.060550971892045</v>
      </c>
      <c r="R253" s="9">
        <f t="shared" si="22"/>
        <v>13.564536428471543</v>
      </c>
    </row>
    <row r="254" spans="1:18" ht="13.15" x14ac:dyDescent="0.45">
      <c r="A254" s="15" t="str">
        <f t="shared" si="18"/>
        <v>420016998</v>
      </c>
      <c r="B254" s="19" t="s">
        <v>71</v>
      </c>
      <c r="C254" s="6" t="e">
        <f>_xlfn.XLOOKUP(B:B,#REF!,#REF!)</f>
        <v>#REF!</v>
      </c>
      <c r="D254" s="19" t="s">
        <v>62</v>
      </c>
      <c r="E254" s="6" t="str">
        <f t="shared" si="19"/>
        <v>420016998</v>
      </c>
      <c r="F254" s="19" t="s">
        <v>63</v>
      </c>
      <c r="G254" s="7" t="e">
        <f>VLOOKUP(D254,#REF!,4,)</f>
        <v>#REF!</v>
      </c>
      <c r="H254" s="6" t="e">
        <f>VLOOKUP(D254,#REF!,5,)</f>
        <v>#REF!</v>
      </c>
      <c r="I254" s="27">
        <v>5147.76</v>
      </c>
      <c r="J254" s="27">
        <v>1980</v>
      </c>
      <c r="K254" s="8">
        <f t="shared" si="20"/>
        <v>0.38463331623851926</v>
      </c>
      <c r="L254" s="27">
        <v>0</v>
      </c>
      <c r="M254" s="21"/>
      <c r="N254" s="27">
        <v>4464</v>
      </c>
      <c r="O254" s="27">
        <v>4464</v>
      </c>
      <c r="P254" s="9">
        <f t="shared" si="21"/>
        <v>-1296.2399999999998</v>
      </c>
      <c r="Q254" s="9">
        <f>IFERROR(IF(D254=20250,O254/(#REF!/30),O254/(I254/30)),0)</f>
        <v>26.015198843768939</v>
      </c>
      <c r="R254" s="9">
        <f t="shared" si="22"/>
        <v>26.015198843768939</v>
      </c>
    </row>
    <row r="255" spans="1:18" ht="13.15" x14ac:dyDescent="0.45">
      <c r="A255" s="15" t="str">
        <f t="shared" si="18"/>
        <v>420018098</v>
      </c>
      <c r="B255" s="19" t="s">
        <v>71</v>
      </c>
      <c r="C255" s="6" t="e">
        <f>_xlfn.XLOOKUP(B:B,#REF!,#REF!)</f>
        <v>#REF!</v>
      </c>
      <c r="D255" s="19" t="s">
        <v>64</v>
      </c>
      <c r="E255" s="6" t="str">
        <f t="shared" si="19"/>
        <v>420018098</v>
      </c>
      <c r="F255" s="19" t="s">
        <v>131</v>
      </c>
      <c r="G255" s="7" t="e">
        <f>VLOOKUP(D255,#REF!,4,)</f>
        <v>#REF!</v>
      </c>
      <c r="H255" s="6" t="e">
        <f>VLOOKUP(D255,#REF!,5,)</f>
        <v>#REF!</v>
      </c>
      <c r="I255" s="27">
        <v>1929.96</v>
      </c>
      <c r="J255" s="27">
        <v>624</v>
      </c>
      <c r="K255" s="8">
        <f t="shared" si="20"/>
        <v>0.323322763166076</v>
      </c>
      <c r="L255" s="27">
        <v>492</v>
      </c>
      <c r="M255" s="21">
        <v>46167</v>
      </c>
      <c r="N255" s="27">
        <v>1392</v>
      </c>
      <c r="O255" s="27">
        <v>1884</v>
      </c>
      <c r="P255" s="9">
        <f t="shared" si="21"/>
        <v>-578.04</v>
      </c>
      <c r="Q255" s="9">
        <f>IFERROR(IF(D255=20250,O255/(#REF!/30),O255/(I255/30)),0)</f>
        <v>29.285581048311879</v>
      </c>
      <c r="R255" s="9">
        <f t="shared" si="22"/>
        <v>21.637754150345081</v>
      </c>
    </row>
    <row r="256" spans="1:18" ht="13.15" x14ac:dyDescent="0.45">
      <c r="A256" s="15" t="str">
        <f t="shared" si="18"/>
        <v>420020308</v>
      </c>
      <c r="B256" s="19" t="s">
        <v>71</v>
      </c>
      <c r="C256" s="6" t="e">
        <f>_xlfn.XLOOKUP(B:B,#REF!,#REF!)</f>
        <v>#REF!</v>
      </c>
      <c r="D256" s="19" t="s">
        <v>84</v>
      </c>
      <c r="E256" s="6" t="str">
        <f t="shared" si="19"/>
        <v>420020308</v>
      </c>
      <c r="F256" s="19" t="s">
        <v>108</v>
      </c>
      <c r="G256" s="7" t="e">
        <f>VLOOKUP(D256,#REF!,4,)</f>
        <v>#REF!</v>
      </c>
      <c r="H256" s="6" t="e">
        <f>VLOOKUP(D256,#REF!,5,)</f>
        <v>#REF!</v>
      </c>
      <c r="I256" s="27">
        <v>8043.84</v>
      </c>
      <c r="J256" s="27">
        <v>1800</v>
      </c>
      <c r="K256" s="8">
        <f t="shared" si="20"/>
        <v>0.22377372001432153</v>
      </c>
      <c r="L256" s="27">
        <v>3000</v>
      </c>
      <c r="M256" s="21">
        <v>46167</v>
      </c>
      <c r="N256" s="27">
        <v>6348</v>
      </c>
      <c r="O256" s="27">
        <v>9348</v>
      </c>
      <c r="P256" s="9">
        <f t="shared" si="21"/>
        <v>-3104.16</v>
      </c>
      <c r="Q256" s="9">
        <f>IFERROR(IF(D256=20250,O256/(#REF!/30),O256/(I256/30)),0)</f>
        <v>34.863945578231295</v>
      </c>
      <c r="R256" s="9">
        <f t="shared" si="22"/>
        <v>23.675259577515217</v>
      </c>
    </row>
    <row r="257" spans="1:18" ht="13.15" x14ac:dyDescent="0.45">
      <c r="A257" s="15" t="str">
        <f t="shared" si="18"/>
        <v>420020827</v>
      </c>
      <c r="B257" s="19" t="s">
        <v>71</v>
      </c>
      <c r="C257" s="6" t="e">
        <f>_xlfn.XLOOKUP(B:B,#REF!,#REF!)</f>
        <v>#REF!</v>
      </c>
      <c r="D257" s="19" t="s">
        <v>85</v>
      </c>
      <c r="E257" s="6" t="str">
        <f t="shared" si="19"/>
        <v>420020827</v>
      </c>
      <c r="F257" s="19" t="s">
        <v>86</v>
      </c>
      <c r="G257" s="7" t="e">
        <f>VLOOKUP(D257,#REF!,4,)</f>
        <v>#REF!</v>
      </c>
      <c r="H257" s="6" t="e">
        <f>VLOOKUP(D257,#REF!,5,)</f>
        <v>#REF!</v>
      </c>
      <c r="I257" s="27">
        <v>1286.6400000000001</v>
      </c>
      <c r="J257" s="27">
        <v>1584</v>
      </c>
      <c r="K257" s="8">
        <f t="shared" si="20"/>
        <v>1.2311135982092891</v>
      </c>
      <c r="L257" s="27">
        <v>0</v>
      </c>
      <c r="M257" s="21"/>
      <c r="N257" s="27">
        <v>912</v>
      </c>
      <c r="O257" s="27">
        <v>912</v>
      </c>
      <c r="P257" s="9">
        <f t="shared" si="21"/>
        <v>-1209.3599999999999</v>
      </c>
      <c r="Q257" s="9">
        <f>IFERROR(IF(D257=20250,O257/(#REF!/30),O257/(I257/30)),0)</f>
        <v>21.264689423614996</v>
      </c>
      <c r="R257" s="9">
        <f t="shared" si="22"/>
        <v>21.264689423614996</v>
      </c>
    </row>
    <row r="258" spans="1:18" ht="13.15" x14ac:dyDescent="0.45">
      <c r="A258" s="15" t="str">
        <f t="shared" si="18"/>
        <v>420021910</v>
      </c>
      <c r="B258" s="19" t="s">
        <v>71</v>
      </c>
      <c r="C258" s="6" t="e">
        <f>_xlfn.XLOOKUP(B:B,#REF!,#REF!)</f>
        <v>#REF!</v>
      </c>
      <c r="D258" s="19" t="s">
        <v>91</v>
      </c>
      <c r="E258" s="6" t="str">
        <f t="shared" si="19"/>
        <v>420021910</v>
      </c>
      <c r="F258" s="19" t="s">
        <v>92</v>
      </c>
      <c r="G258" s="7" t="e">
        <f>VLOOKUP(D258,#REF!,4,)</f>
        <v>#REF!</v>
      </c>
      <c r="H258" s="6" t="e">
        <f>VLOOKUP(D258,#REF!,5,)</f>
        <v>#REF!</v>
      </c>
      <c r="I258" s="27">
        <v>1286.6400000000001</v>
      </c>
      <c r="J258" s="27">
        <v>3780</v>
      </c>
      <c r="K258" s="8">
        <f t="shared" si="20"/>
        <v>2.9378847229994403</v>
      </c>
      <c r="L258" s="27">
        <v>0</v>
      </c>
      <c r="M258" s="21"/>
      <c r="N258" s="27">
        <v>2904</v>
      </c>
      <c r="O258" s="27">
        <v>2904</v>
      </c>
      <c r="P258" s="9">
        <f t="shared" si="21"/>
        <v>-5397.36</v>
      </c>
      <c r="Q258" s="9">
        <f>IFERROR(IF(D258=20250,O258/(#REF!/30),O258/(I258/30)),0)</f>
        <v>67.711247901510902</v>
      </c>
      <c r="R258" s="9">
        <f t="shared" si="22"/>
        <v>67.711247901510902</v>
      </c>
    </row>
    <row r="259" spans="1:18" ht="13.15" x14ac:dyDescent="0.45">
      <c r="A259" s="15" t="str">
        <f t="shared" si="18"/>
        <v>420023081</v>
      </c>
      <c r="B259" s="19" t="s">
        <v>71</v>
      </c>
      <c r="C259" s="6" t="e">
        <f>_xlfn.XLOOKUP(B:B,#REF!,#REF!)</f>
        <v>#REF!</v>
      </c>
      <c r="D259" s="19" t="s">
        <v>96</v>
      </c>
      <c r="E259" s="6" t="str">
        <f t="shared" si="19"/>
        <v>420023081</v>
      </c>
      <c r="F259" s="19" t="s">
        <v>97</v>
      </c>
      <c r="G259" s="7" t="e">
        <f>VLOOKUP(D259,#REF!,4,)</f>
        <v>#REF!</v>
      </c>
      <c r="H259" s="6" t="e">
        <f>VLOOKUP(D259,#REF!,5,)</f>
        <v>#REF!</v>
      </c>
      <c r="I259" s="27">
        <v>900.6</v>
      </c>
      <c r="J259" s="27">
        <v>48</v>
      </c>
      <c r="K259" s="8">
        <f t="shared" si="20"/>
        <v>5.3297801465689541E-2</v>
      </c>
      <c r="L259" s="27">
        <v>0</v>
      </c>
      <c r="M259" s="21"/>
      <c r="N259" s="27">
        <v>744</v>
      </c>
      <c r="O259" s="27">
        <v>744</v>
      </c>
      <c r="P259" s="9">
        <f t="shared" si="21"/>
        <v>108.60000000000002</v>
      </c>
      <c r="Q259" s="9">
        <f>IFERROR(IF(D259=20250,O259/(#REF!/30),O259/(I259/30)),0)</f>
        <v>24.783477681545637</v>
      </c>
      <c r="R259" s="9">
        <f t="shared" si="22"/>
        <v>24.783477681545637</v>
      </c>
    </row>
    <row r="260" spans="1:18" ht="13.15" x14ac:dyDescent="0.45">
      <c r="A260" s="15" t="str">
        <f t="shared" ref="A260:A323" si="23">B260&amp;D260</f>
        <v>420023401</v>
      </c>
      <c r="B260" s="19" t="s">
        <v>71</v>
      </c>
      <c r="C260" s="6" t="e">
        <f>_xlfn.XLOOKUP(B:B,#REF!,#REF!)</f>
        <v>#REF!</v>
      </c>
      <c r="D260" s="19" t="s">
        <v>98</v>
      </c>
      <c r="E260" s="6" t="str">
        <f t="shared" ref="E260:E323" si="24">B260&amp;D260</f>
        <v>420023401</v>
      </c>
      <c r="F260" s="19" t="s">
        <v>99</v>
      </c>
      <c r="G260" s="7" t="e">
        <f>VLOOKUP(D260,#REF!,4,)</f>
        <v>#REF!</v>
      </c>
      <c r="H260" s="6" t="e">
        <f>VLOOKUP(D260,#REF!,5,)</f>
        <v>#REF!</v>
      </c>
      <c r="I260" s="27">
        <v>5791.08</v>
      </c>
      <c r="J260" s="27">
        <v>2076</v>
      </c>
      <c r="K260" s="8">
        <f t="shared" ref="K260:K323" si="25">IFERROR(J260/I260,0)</f>
        <v>0.35848235562278541</v>
      </c>
      <c r="L260" s="27">
        <v>0</v>
      </c>
      <c r="M260" s="21"/>
      <c r="N260" s="27">
        <v>4080</v>
      </c>
      <c r="O260" s="27">
        <v>4080</v>
      </c>
      <c r="P260" s="9">
        <f t="shared" ref="P260:P323" si="26">I260-J260-O260</f>
        <v>-364.92000000000007</v>
      </c>
      <c r="Q260" s="9">
        <f>IFERROR(IF(D260=20250,O260/(#REF!/30),O260/(I260/30)),0)</f>
        <v>21.135953915331854</v>
      </c>
      <c r="R260" s="9">
        <f t="shared" ref="R260:R323" si="27">IFERROR(N260/(I260/30),0)</f>
        <v>21.135953915331854</v>
      </c>
    </row>
    <row r="261" spans="1:18" ht="13.15" x14ac:dyDescent="0.45">
      <c r="A261" s="15" t="str">
        <f t="shared" si="23"/>
        <v>420024768</v>
      </c>
      <c r="B261" s="19" t="s">
        <v>71</v>
      </c>
      <c r="C261" s="6" t="e">
        <f>_xlfn.XLOOKUP(B:B,#REF!,#REF!)</f>
        <v>#REF!</v>
      </c>
      <c r="D261" s="19" t="s">
        <v>111</v>
      </c>
      <c r="E261" s="6" t="str">
        <f t="shared" si="24"/>
        <v>420024768</v>
      </c>
      <c r="F261" s="19" t="s">
        <v>112</v>
      </c>
      <c r="G261" s="7" t="e">
        <f>VLOOKUP(D261,#REF!,4,)</f>
        <v>#REF!</v>
      </c>
      <c r="H261" s="6" t="e">
        <f>VLOOKUP(D261,#REF!,5,)</f>
        <v>#REF!</v>
      </c>
      <c r="I261" s="27">
        <v>5469.48</v>
      </c>
      <c r="J261" s="27">
        <v>2544</v>
      </c>
      <c r="K261" s="8">
        <f t="shared" si="25"/>
        <v>0.46512648368766324</v>
      </c>
      <c r="L261" s="27">
        <v>0</v>
      </c>
      <c r="M261" s="21"/>
      <c r="N261" s="27">
        <v>4128</v>
      </c>
      <c r="O261" s="27">
        <v>4128</v>
      </c>
      <c r="P261" s="9">
        <f t="shared" si="26"/>
        <v>-1202.5200000000004</v>
      </c>
      <c r="Q261" s="9">
        <f>IFERROR(IF(D261=20250,O261/(#REF!/30),O261/(I261/30)),0)</f>
        <v>22.642006187059835</v>
      </c>
      <c r="R261" s="9">
        <f t="shared" si="27"/>
        <v>22.642006187059835</v>
      </c>
    </row>
    <row r="262" spans="1:18" ht="13.15" x14ac:dyDescent="0.45">
      <c r="A262" s="15" t="str">
        <f t="shared" si="23"/>
        <v>420025570</v>
      </c>
      <c r="B262" s="19" t="s">
        <v>71</v>
      </c>
      <c r="C262" s="6" t="e">
        <f>_xlfn.XLOOKUP(B:B,#REF!,#REF!)</f>
        <v>#REF!</v>
      </c>
      <c r="D262" s="19" t="s">
        <v>116</v>
      </c>
      <c r="E262" s="6" t="str">
        <f t="shared" si="24"/>
        <v>420025570</v>
      </c>
      <c r="F262" s="19" t="s">
        <v>118</v>
      </c>
      <c r="G262" s="7" t="e">
        <f>VLOOKUP(D262,#REF!,4,)</f>
        <v>#REF!</v>
      </c>
      <c r="H262" s="6" t="e">
        <f>VLOOKUP(D262,#REF!,5,)</f>
        <v>#REF!</v>
      </c>
      <c r="I262" s="27">
        <v>8043.84</v>
      </c>
      <c r="J262" s="27">
        <v>8184</v>
      </c>
      <c r="K262" s="8">
        <f t="shared" si="25"/>
        <v>1.0174245136651152</v>
      </c>
      <c r="L262" s="27">
        <v>396</v>
      </c>
      <c r="M262" s="21">
        <v>46167</v>
      </c>
      <c r="N262" s="27">
        <v>4872</v>
      </c>
      <c r="O262" s="27">
        <v>5268</v>
      </c>
      <c r="P262" s="9">
        <f t="shared" si="26"/>
        <v>-5408.16</v>
      </c>
      <c r="Q262" s="9">
        <f>IFERROR(IF(D262=20250,O262/(#REF!/30),O262/(I262/30)),0)</f>
        <v>19.64733261725743</v>
      </c>
      <c r="R262" s="9">
        <f t="shared" si="27"/>
        <v>18.170426065162907</v>
      </c>
    </row>
    <row r="263" spans="1:18" ht="13.15" x14ac:dyDescent="0.45">
      <c r="A263" s="15" t="str">
        <f t="shared" si="23"/>
        <v>420025598</v>
      </c>
      <c r="B263" s="19" t="s">
        <v>71</v>
      </c>
      <c r="C263" s="6" t="e">
        <f>_xlfn.XLOOKUP(B:B,#REF!,#REF!)</f>
        <v>#REF!</v>
      </c>
      <c r="D263" s="19" t="s">
        <v>117</v>
      </c>
      <c r="E263" s="6" t="str">
        <f t="shared" si="24"/>
        <v>420025598</v>
      </c>
      <c r="F263" s="19" t="s">
        <v>119</v>
      </c>
      <c r="G263" s="7" t="e">
        <f>VLOOKUP(D263,#REF!,4,)</f>
        <v>#REF!</v>
      </c>
      <c r="H263" s="6" t="e">
        <f>VLOOKUP(D263,#REF!,5,)</f>
        <v>#REF!</v>
      </c>
      <c r="I263" s="27">
        <v>4504.4399999999996</v>
      </c>
      <c r="J263" s="27">
        <v>1188</v>
      </c>
      <c r="K263" s="8">
        <f t="shared" si="25"/>
        <v>0.26373977675360316</v>
      </c>
      <c r="L263" s="27">
        <v>2016</v>
      </c>
      <c r="M263" s="21">
        <v>46167</v>
      </c>
      <c r="N263" s="27">
        <v>24</v>
      </c>
      <c r="O263" s="27">
        <v>2040</v>
      </c>
      <c r="P263" s="9">
        <f t="shared" si="26"/>
        <v>1276.4399999999996</v>
      </c>
      <c r="Q263" s="9">
        <f>IFERROR(IF(D263=20250,O263/(#REF!/30),O263/(I263/30)),0)</f>
        <v>13.586594560034101</v>
      </c>
      <c r="R263" s="9">
        <f t="shared" si="27"/>
        <v>0.15984228894157765</v>
      </c>
    </row>
    <row r="264" spans="1:18" ht="13.15" x14ac:dyDescent="0.45">
      <c r="A264" s="15" t="str">
        <f t="shared" si="23"/>
        <v>420106151</v>
      </c>
      <c r="B264" s="19" t="s">
        <v>72</v>
      </c>
      <c r="C264" s="6" t="e">
        <f>_xlfn.XLOOKUP(B:B,#REF!,#REF!)</f>
        <v>#REF!</v>
      </c>
      <c r="D264" s="19" t="s">
        <v>23</v>
      </c>
      <c r="E264" s="6" t="str">
        <f t="shared" si="24"/>
        <v>420106151</v>
      </c>
      <c r="F264" s="19" t="s">
        <v>24</v>
      </c>
      <c r="G264" s="7" t="e">
        <f>VLOOKUP(D264,#REF!,4,)</f>
        <v>#REF!</v>
      </c>
      <c r="H264" s="6" t="e">
        <f>VLOOKUP(D264,#REF!,5,)</f>
        <v>#REF!</v>
      </c>
      <c r="I264" s="27">
        <v>4504.4399999999996</v>
      </c>
      <c r="J264" s="27">
        <v>1956</v>
      </c>
      <c r="K264" s="8">
        <f t="shared" si="25"/>
        <v>0.43423821829128595</v>
      </c>
      <c r="L264" s="27">
        <v>0</v>
      </c>
      <c r="M264" s="21"/>
      <c r="N264" s="27">
        <v>2292</v>
      </c>
      <c r="O264" s="27">
        <v>2292</v>
      </c>
      <c r="P264" s="9">
        <f t="shared" si="26"/>
        <v>256.4399999999996</v>
      </c>
      <c r="Q264" s="9">
        <f>IFERROR(IF(D264=20250,O264/(#REF!/30),O264/(I264/30)),0)</f>
        <v>15.264938593920665</v>
      </c>
      <c r="R264" s="9">
        <f t="shared" si="27"/>
        <v>15.264938593920665</v>
      </c>
    </row>
    <row r="265" spans="1:18" ht="13.15" x14ac:dyDescent="0.45">
      <c r="A265" s="15" t="str">
        <f t="shared" si="23"/>
        <v>420113490</v>
      </c>
      <c r="B265" s="19" t="s">
        <v>72</v>
      </c>
      <c r="C265" s="6" t="e">
        <f>_xlfn.XLOOKUP(B:B,#REF!,#REF!)</f>
        <v>#REF!</v>
      </c>
      <c r="D265" s="19" t="s">
        <v>27</v>
      </c>
      <c r="E265" s="6" t="str">
        <f t="shared" si="24"/>
        <v>420113490</v>
      </c>
      <c r="F265" s="19" t="s">
        <v>28</v>
      </c>
      <c r="G265" s="7" t="e">
        <f>VLOOKUP(D265,#REF!,4,)</f>
        <v>#REF!</v>
      </c>
      <c r="H265" s="6" t="e">
        <f>VLOOKUP(D265,#REF!,5,)</f>
        <v>#REF!</v>
      </c>
      <c r="I265" s="27">
        <v>858.1</v>
      </c>
      <c r="J265" s="27">
        <v>90</v>
      </c>
      <c r="K265" s="8">
        <f t="shared" si="25"/>
        <v>0.10488288078312551</v>
      </c>
      <c r="L265" s="27">
        <v>0</v>
      </c>
      <c r="M265" s="21"/>
      <c r="N265" s="27">
        <v>690</v>
      </c>
      <c r="O265" s="27">
        <v>690</v>
      </c>
      <c r="P265" s="9">
        <f t="shared" si="26"/>
        <v>78.100000000000023</v>
      </c>
      <c r="Q265" s="9">
        <f>IFERROR(IF(D265=20250,O265/(#REF!/30),O265/(I265/30)),0)</f>
        <v>24.123062580118866</v>
      </c>
      <c r="R265" s="9">
        <f t="shared" si="27"/>
        <v>24.123062580118866</v>
      </c>
    </row>
    <row r="266" spans="1:18" ht="13.15" x14ac:dyDescent="0.45">
      <c r="A266" s="15" t="str">
        <f t="shared" si="23"/>
        <v>420115300</v>
      </c>
      <c r="B266" s="19" t="s">
        <v>72</v>
      </c>
      <c r="C266" s="6" t="e">
        <f>_xlfn.XLOOKUP(B:B,#REF!,#REF!)</f>
        <v>#REF!</v>
      </c>
      <c r="D266" s="19" t="s">
        <v>31</v>
      </c>
      <c r="E266" s="6" t="str">
        <f t="shared" si="24"/>
        <v>420115300</v>
      </c>
      <c r="F266" s="19" t="s">
        <v>32</v>
      </c>
      <c r="G266" s="7" t="e">
        <f>VLOOKUP(D266,#REF!,4,)</f>
        <v>#REF!</v>
      </c>
      <c r="H266" s="6" t="e">
        <f>VLOOKUP(D266,#REF!,5,)</f>
        <v>#REF!</v>
      </c>
      <c r="I266" s="27">
        <v>90</v>
      </c>
      <c r="J266" s="27">
        <v>90</v>
      </c>
      <c r="K266" s="8">
        <f t="shared" si="25"/>
        <v>1</v>
      </c>
      <c r="L266" s="27">
        <v>0</v>
      </c>
      <c r="M266" s="21"/>
      <c r="N266" s="27">
        <v>0</v>
      </c>
      <c r="O266" s="27">
        <v>0</v>
      </c>
      <c r="P266" s="9">
        <f t="shared" si="26"/>
        <v>0</v>
      </c>
      <c r="Q266" s="9">
        <f>IFERROR(IF(D266=20250,O266/(#REF!/30),O266/(I266/30)),0)</f>
        <v>0</v>
      </c>
      <c r="R266" s="9">
        <f t="shared" si="27"/>
        <v>0</v>
      </c>
    </row>
    <row r="267" spans="1:18" ht="13.15" x14ac:dyDescent="0.45">
      <c r="A267" s="15" t="str">
        <f t="shared" si="23"/>
        <v>420119690</v>
      </c>
      <c r="B267" s="19" t="s">
        <v>72</v>
      </c>
      <c r="C267" s="6" t="e">
        <f>_xlfn.XLOOKUP(B:B,#REF!,#REF!)</f>
        <v>#REF!</v>
      </c>
      <c r="D267" s="19" t="s">
        <v>66</v>
      </c>
      <c r="E267" s="6" t="str">
        <f t="shared" si="24"/>
        <v>420119690</v>
      </c>
      <c r="F267" s="19" t="s">
        <v>67</v>
      </c>
      <c r="G267" s="7" t="e">
        <f>VLOOKUP(D267,#REF!,4,)</f>
        <v>#REF!</v>
      </c>
      <c r="H267" s="6" t="e">
        <f>VLOOKUP(D267,#REF!,5,)</f>
        <v>#REF!</v>
      </c>
      <c r="I267" s="27">
        <v>128.63999999999999</v>
      </c>
      <c r="J267" s="27">
        <v>0</v>
      </c>
      <c r="K267" s="8">
        <f t="shared" si="25"/>
        <v>0</v>
      </c>
      <c r="L267" s="27">
        <v>0</v>
      </c>
      <c r="M267" s="21"/>
      <c r="N267" s="27">
        <v>168</v>
      </c>
      <c r="O267" s="27">
        <v>168</v>
      </c>
      <c r="P267" s="9">
        <f t="shared" si="26"/>
        <v>-39.360000000000014</v>
      </c>
      <c r="Q267" s="9">
        <f>IFERROR(IF(D267=20250,O267/(#REF!/30),O267/(I267/30)),0)</f>
        <v>39.179104477611943</v>
      </c>
      <c r="R267" s="9">
        <f t="shared" si="27"/>
        <v>39.179104477611943</v>
      </c>
    </row>
    <row r="268" spans="1:18" ht="13.15" x14ac:dyDescent="0.45">
      <c r="A268" s="15" t="str">
        <f t="shared" si="23"/>
        <v>420120309</v>
      </c>
      <c r="B268" s="19" t="s">
        <v>72</v>
      </c>
      <c r="C268" s="6" t="e">
        <f>_xlfn.XLOOKUP(B:B,#REF!,#REF!)</f>
        <v>#REF!</v>
      </c>
      <c r="D268" s="19" t="s">
        <v>120</v>
      </c>
      <c r="E268" s="6" t="str">
        <f t="shared" si="24"/>
        <v>420120309</v>
      </c>
      <c r="F268" s="19" t="s">
        <v>121</v>
      </c>
      <c r="G268" s="7" t="e">
        <f>VLOOKUP(D268,#REF!,4,)</f>
        <v>#REF!</v>
      </c>
      <c r="H268" s="6" t="e">
        <f>VLOOKUP(D268,#REF!,5,)</f>
        <v>#REF!</v>
      </c>
      <c r="I268" s="27">
        <v>192.96</v>
      </c>
      <c r="J268" s="27">
        <v>0</v>
      </c>
      <c r="K268" s="8">
        <f t="shared" si="25"/>
        <v>0</v>
      </c>
      <c r="L268" s="27">
        <v>0</v>
      </c>
      <c r="M268" s="21"/>
      <c r="N268" s="27">
        <v>0</v>
      </c>
      <c r="O268" s="27">
        <v>0</v>
      </c>
      <c r="P268" s="9">
        <f t="shared" si="26"/>
        <v>192.96</v>
      </c>
      <c r="Q268" s="9">
        <f>IFERROR(IF(D268=20250,O268/(#REF!/30),O268/(I268/30)),0)</f>
        <v>0</v>
      </c>
      <c r="R268" s="9">
        <f t="shared" si="27"/>
        <v>0</v>
      </c>
    </row>
    <row r="269" spans="1:18" ht="13.15" x14ac:dyDescent="0.45">
      <c r="A269" s="15" t="str">
        <f t="shared" si="23"/>
        <v>420120661</v>
      </c>
      <c r="B269" s="19" t="s">
        <v>72</v>
      </c>
      <c r="C269" s="6" t="e">
        <f>_xlfn.XLOOKUP(B:B,#REF!,#REF!)</f>
        <v>#REF!</v>
      </c>
      <c r="D269" s="19" t="s">
        <v>88</v>
      </c>
      <c r="E269" s="6" t="str">
        <f t="shared" si="24"/>
        <v>420120661</v>
      </c>
      <c r="F269" s="19" t="s">
        <v>89</v>
      </c>
      <c r="G269" s="7" t="e">
        <f>VLOOKUP(D269,#REF!,4,)</f>
        <v>#REF!</v>
      </c>
      <c r="H269" s="6" t="e">
        <f>VLOOKUP(D269,#REF!,5,)</f>
        <v>#REF!</v>
      </c>
      <c r="I269" s="27">
        <v>154.32</v>
      </c>
      <c r="J269" s="27">
        <v>0</v>
      </c>
      <c r="K269" s="8">
        <f t="shared" si="25"/>
        <v>0</v>
      </c>
      <c r="L269" s="27">
        <v>0</v>
      </c>
      <c r="M269" s="21"/>
      <c r="N269" s="27">
        <v>0</v>
      </c>
      <c r="O269" s="27">
        <v>0</v>
      </c>
      <c r="P269" s="9">
        <f t="shared" si="26"/>
        <v>154.32</v>
      </c>
      <c r="Q269" s="9">
        <f>IFERROR(IF(D269=20250,O269/(#REF!/30),O269/(I269/30)),0)</f>
        <v>0</v>
      </c>
      <c r="R269" s="9">
        <f t="shared" si="27"/>
        <v>0</v>
      </c>
    </row>
    <row r="270" spans="1:18" ht="13.15" x14ac:dyDescent="0.45">
      <c r="A270" s="15" t="str">
        <f t="shared" si="23"/>
        <v>420123638</v>
      </c>
      <c r="B270" s="19" t="s">
        <v>72</v>
      </c>
      <c r="C270" s="6" t="e">
        <f>_xlfn.XLOOKUP(B:B,#REF!,#REF!)</f>
        <v>#REF!</v>
      </c>
      <c r="D270" s="19" t="s">
        <v>100</v>
      </c>
      <c r="E270" s="6" t="str">
        <f t="shared" si="24"/>
        <v>420123638</v>
      </c>
      <c r="F270" s="19" t="s">
        <v>101</v>
      </c>
      <c r="G270" s="7" t="e">
        <f>VLOOKUP(D270,#REF!,4,)</f>
        <v>#REF!</v>
      </c>
      <c r="H270" s="6" t="e">
        <f>VLOOKUP(D270,#REF!,5,)</f>
        <v>#REF!</v>
      </c>
      <c r="I270" s="27">
        <v>1608.36</v>
      </c>
      <c r="J270" s="27">
        <v>468</v>
      </c>
      <c r="K270" s="8">
        <f t="shared" si="25"/>
        <v>0.29097963142580019</v>
      </c>
      <c r="L270" s="27">
        <v>0</v>
      </c>
      <c r="M270" s="21"/>
      <c r="N270" s="27">
        <v>2280</v>
      </c>
      <c r="O270" s="27">
        <v>2280</v>
      </c>
      <c r="P270" s="9">
        <f t="shared" si="26"/>
        <v>-1139.6400000000001</v>
      </c>
      <c r="Q270" s="9">
        <f>IFERROR(IF(D270=20250,O270/(#REF!/30),O270/(I270/30)),0)</f>
        <v>42.52779228530926</v>
      </c>
      <c r="R270" s="9">
        <f t="shared" si="27"/>
        <v>42.52779228530926</v>
      </c>
    </row>
    <row r="271" spans="1:18" ht="13.15" x14ac:dyDescent="0.45">
      <c r="A271" s="15" t="str">
        <f t="shared" si="23"/>
        <v>420125885</v>
      </c>
      <c r="B271" s="19" t="s">
        <v>72</v>
      </c>
      <c r="C271" s="6" t="e">
        <f>_xlfn.XLOOKUP(B:B,#REF!,#REF!)</f>
        <v>#REF!</v>
      </c>
      <c r="D271" s="19" t="s">
        <v>122</v>
      </c>
      <c r="E271" s="6" t="str">
        <f t="shared" si="24"/>
        <v>420125885</v>
      </c>
      <c r="F271" s="19" t="s">
        <v>123</v>
      </c>
      <c r="G271" s="7" t="e">
        <f>VLOOKUP(D271,#REF!,4,)</f>
        <v>#REF!</v>
      </c>
      <c r="H271" s="6" t="e">
        <f>VLOOKUP(D271,#REF!,5,)</f>
        <v>#REF!</v>
      </c>
      <c r="I271" s="27">
        <v>2574.36</v>
      </c>
      <c r="J271" s="27">
        <v>816</v>
      </c>
      <c r="K271" s="8">
        <f t="shared" si="25"/>
        <v>0.31697198527012538</v>
      </c>
      <c r="L271" s="27">
        <v>0</v>
      </c>
      <c r="M271" s="21"/>
      <c r="N271" s="27">
        <v>1920</v>
      </c>
      <c r="O271" s="27">
        <v>1920</v>
      </c>
      <c r="P271" s="9">
        <f t="shared" si="26"/>
        <v>-161.63999999999987</v>
      </c>
      <c r="Q271" s="9">
        <f>IFERROR(IF(D271=20250,O271/(#REF!/30),O271/(I271/30)),0)</f>
        <v>22.374493077891206</v>
      </c>
      <c r="R271" s="9">
        <f t="shared" si="27"/>
        <v>22.374493077891206</v>
      </c>
    </row>
    <row r="272" spans="1:18" ht="13.15" x14ac:dyDescent="0.45">
      <c r="A272" s="15" t="str">
        <f t="shared" si="23"/>
        <v>420126234</v>
      </c>
      <c r="B272" s="19" t="s">
        <v>72</v>
      </c>
      <c r="C272" s="6" t="e">
        <f>_xlfn.XLOOKUP(B:B,#REF!,#REF!)</f>
        <v>#REF!</v>
      </c>
      <c r="D272" s="19" t="s">
        <v>126</v>
      </c>
      <c r="E272" s="6" t="str">
        <f t="shared" si="24"/>
        <v>420126234</v>
      </c>
      <c r="F272" s="19" t="s">
        <v>127</v>
      </c>
      <c r="G272" s="7" t="e">
        <f>VLOOKUP(D272,#REF!,4,)</f>
        <v>#REF!</v>
      </c>
      <c r="H272" s="6" t="e">
        <f>VLOOKUP(D272,#REF!,5,)</f>
        <v>#REF!</v>
      </c>
      <c r="I272" s="27">
        <v>0</v>
      </c>
      <c r="J272" s="27">
        <v>0</v>
      </c>
      <c r="K272" s="8">
        <f t="shared" si="25"/>
        <v>0</v>
      </c>
      <c r="L272" s="27">
        <v>0</v>
      </c>
      <c r="M272" s="21"/>
      <c r="N272" s="27">
        <v>228</v>
      </c>
      <c r="O272" s="27">
        <v>228</v>
      </c>
      <c r="P272" s="9">
        <f t="shared" si="26"/>
        <v>-228</v>
      </c>
      <c r="Q272" s="9">
        <f>IFERROR(IF(D272=20250,O272/(#REF!/30),O272/(I272/30)),0)</f>
        <v>0</v>
      </c>
      <c r="R272" s="9">
        <f t="shared" si="27"/>
        <v>0</v>
      </c>
    </row>
    <row r="273" spans="1:18" ht="13.15" x14ac:dyDescent="0.45">
      <c r="A273" s="15" t="str">
        <f t="shared" si="23"/>
        <v>420104145</v>
      </c>
      <c r="B273" s="19" t="s">
        <v>72</v>
      </c>
      <c r="C273" s="6" t="e">
        <f>_xlfn.XLOOKUP(B:B,#REF!,#REF!)</f>
        <v>#REF!</v>
      </c>
      <c r="D273" s="19" t="s">
        <v>25</v>
      </c>
      <c r="E273" s="6" t="str">
        <f t="shared" si="24"/>
        <v>420104145</v>
      </c>
      <c r="F273" s="19" t="s">
        <v>26</v>
      </c>
      <c r="G273" s="7" t="e">
        <f>VLOOKUP(D273,#REF!,4,)</f>
        <v>#REF!</v>
      </c>
      <c r="H273" s="6" t="e">
        <f>VLOOKUP(D273,#REF!,5,)</f>
        <v>#REF!</v>
      </c>
      <c r="I273" s="27">
        <v>192.96</v>
      </c>
      <c r="J273" s="27">
        <v>135</v>
      </c>
      <c r="K273" s="8">
        <f t="shared" si="25"/>
        <v>0.69962686567164178</v>
      </c>
      <c r="L273" s="27">
        <v>0</v>
      </c>
      <c r="M273" s="21"/>
      <c r="N273" s="27">
        <v>144</v>
      </c>
      <c r="O273" s="27">
        <v>144</v>
      </c>
      <c r="P273" s="9">
        <f t="shared" si="26"/>
        <v>-86.039999999999992</v>
      </c>
      <c r="Q273" s="9">
        <f>IFERROR(IF(D273=20250,O273/(#REF!/30),O273/(I273/30)),0)</f>
        <v>22.388059701492537</v>
      </c>
      <c r="R273" s="9">
        <f t="shared" si="27"/>
        <v>22.388059701492537</v>
      </c>
    </row>
    <row r="274" spans="1:18" ht="13.15" x14ac:dyDescent="0.45">
      <c r="A274" s="15" t="str">
        <f t="shared" si="23"/>
        <v>420114248</v>
      </c>
      <c r="B274" s="19" t="s">
        <v>72</v>
      </c>
      <c r="C274" s="6" t="e">
        <f>_xlfn.XLOOKUP(B:B,#REF!,#REF!)</f>
        <v>#REF!</v>
      </c>
      <c r="D274" s="19" t="s">
        <v>29</v>
      </c>
      <c r="E274" s="6" t="str">
        <f t="shared" si="24"/>
        <v>420114248</v>
      </c>
      <c r="F274" s="19" t="s">
        <v>30</v>
      </c>
      <c r="G274" s="7" t="e">
        <f>VLOOKUP(D274,#REF!,4,)</f>
        <v>#REF!</v>
      </c>
      <c r="H274" s="6" t="e">
        <f>VLOOKUP(D274,#REF!,5,)</f>
        <v>#REF!</v>
      </c>
      <c r="I274" s="27">
        <v>268.2</v>
      </c>
      <c r="J274" s="27">
        <v>140</v>
      </c>
      <c r="K274" s="8">
        <f t="shared" si="25"/>
        <v>0.52199850857568986</v>
      </c>
      <c r="L274" s="27">
        <v>0</v>
      </c>
      <c r="M274" s="21"/>
      <c r="N274" s="27">
        <v>440</v>
      </c>
      <c r="O274" s="27">
        <v>440</v>
      </c>
      <c r="P274" s="9">
        <f t="shared" si="26"/>
        <v>-311.8</v>
      </c>
      <c r="Q274" s="9">
        <f>IFERROR(IF(D274=20250,O274/(#REF!/30),O274/(I274/30)),0)</f>
        <v>49.217002237136469</v>
      </c>
      <c r="R274" s="9">
        <f t="shared" si="27"/>
        <v>49.217002237136469</v>
      </c>
    </row>
    <row r="275" spans="1:18" ht="13.15" x14ac:dyDescent="0.45">
      <c r="A275" s="15" t="str">
        <f t="shared" si="23"/>
        <v>420115305</v>
      </c>
      <c r="B275" s="19" t="s">
        <v>72</v>
      </c>
      <c r="C275" s="6" t="e">
        <f>_xlfn.XLOOKUP(B:B,#REF!,#REF!)</f>
        <v>#REF!</v>
      </c>
      <c r="D275" s="19" t="s">
        <v>33</v>
      </c>
      <c r="E275" s="6" t="str">
        <f t="shared" si="24"/>
        <v>420115305</v>
      </c>
      <c r="F275" s="19" t="s">
        <v>34</v>
      </c>
      <c r="G275" s="7" t="e">
        <f>VLOOKUP(D275,#REF!,4,)</f>
        <v>#REF!</v>
      </c>
      <c r="H275" s="6" t="e">
        <f>VLOOKUP(D275,#REF!,5,)</f>
        <v>#REF!</v>
      </c>
      <c r="I275" s="27">
        <v>48.42</v>
      </c>
      <c r="J275" s="27">
        <v>108</v>
      </c>
      <c r="K275" s="8">
        <f t="shared" si="25"/>
        <v>2.2304832713754648</v>
      </c>
      <c r="L275" s="27">
        <v>0</v>
      </c>
      <c r="M275" s="21"/>
      <c r="N275" s="27">
        <v>0</v>
      </c>
      <c r="O275" s="27">
        <v>0</v>
      </c>
      <c r="P275" s="9">
        <f t="shared" si="26"/>
        <v>-59.58</v>
      </c>
      <c r="Q275" s="9">
        <f>IFERROR(IF(D275=20250,O275/(#REF!/30),O275/(I275/30)),0)</f>
        <v>0</v>
      </c>
      <c r="R275" s="9">
        <f t="shared" si="27"/>
        <v>0</v>
      </c>
    </row>
    <row r="276" spans="1:18" ht="13.15" x14ac:dyDescent="0.45">
      <c r="A276" s="15" t="str">
        <f t="shared" si="23"/>
        <v>420115312</v>
      </c>
      <c r="B276" s="19" t="s">
        <v>72</v>
      </c>
      <c r="C276" s="6" t="e">
        <f>_xlfn.XLOOKUP(B:B,#REF!,#REF!)</f>
        <v>#REF!</v>
      </c>
      <c r="D276" s="19" t="s">
        <v>35</v>
      </c>
      <c r="E276" s="6" t="str">
        <f t="shared" si="24"/>
        <v>420115312</v>
      </c>
      <c r="F276" s="19" t="s">
        <v>36</v>
      </c>
      <c r="G276" s="7" t="e">
        <f>VLOOKUP(D276,#REF!,4,)</f>
        <v>#REF!</v>
      </c>
      <c r="H276" s="6" t="e">
        <f>VLOOKUP(D276,#REF!,5,)</f>
        <v>#REF!</v>
      </c>
      <c r="I276" s="27">
        <v>67.23</v>
      </c>
      <c r="J276" s="27">
        <v>0</v>
      </c>
      <c r="K276" s="8">
        <f t="shared" si="25"/>
        <v>0</v>
      </c>
      <c r="L276" s="27">
        <v>0</v>
      </c>
      <c r="M276" s="21"/>
      <c r="N276" s="27">
        <v>144</v>
      </c>
      <c r="O276" s="27">
        <v>144</v>
      </c>
      <c r="P276" s="9">
        <f t="shared" si="26"/>
        <v>-76.77</v>
      </c>
      <c r="Q276" s="9">
        <f>IFERROR(IF(D276=20250,O276/(#REF!/30),O276/(I276/30)),0)</f>
        <v>64.257028112449802</v>
      </c>
      <c r="R276" s="9">
        <f t="shared" si="27"/>
        <v>64.257028112449802</v>
      </c>
    </row>
    <row r="277" spans="1:18" ht="13.15" x14ac:dyDescent="0.45">
      <c r="A277" s="15" t="str">
        <f t="shared" si="23"/>
        <v>420116407</v>
      </c>
      <c r="B277" s="19" t="s">
        <v>72</v>
      </c>
      <c r="C277" s="6" t="e">
        <f>_xlfn.XLOOKUP(B:B,#REF!,#REF!)</f>
        <v>#REF!</v>
      </c>
      <c r="D277" s="19" t="s">
        <v>37</v>
      </c>
      <c r="E277" s="6" t="str">
        <f t="shared" si="24"/>
        <v>420116407</v>
      </c>
      <c r="F277" s="19" t="s">
        <v>38</v>
      </c>
      <c r="G277" s="7" t="e">
        <f>VLOOKUP(D277,#REF!,4,)</f>
        <v>#REF!</v>
      </c>
      <c r="H277" s="6" t="e">
        <f>VLOOKUP(D277,#REF!,5,)</f>
        <v>#REF!</v>
      </c>
      <c r="I277" s="27">
        <v>48.42</v>
      </c>
      <c r="J277" s="27">
        <v>36</v>
      </c>
      <c r="K277" s="8">
        <f t="shared" si="25"/>
        <v>0.74349442379182151</v>
      </c>
      <c r="L277" s="27">
        <v>0</v>
      </c>
      <c r="M277" s="21"/>
      <c r="N277" s="27">
        <v>153</v>
      </c>
      <c r="O277" s="27">
        <v>153</v>
      </c>
      <c r="P277" s="9">
        <f t="shared" si="26"/>
        <v>-140.57999999999998</v>
      </c>
      <c r="Q277" s="9">
        <f>IFERROR(IF(D277=20250,O277/(#REF!/30),O277/(I277/30)),0)</f>
        <v>94.795539033457246</v>
      </c>
      <c r="R277" s="9">
        <f t="shared" si="27"/>
        <v>94.795539033457246</v>
      </c>
    </row>
    <row r="278" spans="1:18" ht="13.15" x14ac:dyDescent="0.45">
      <c r="A278" s="15" t="str">
        <f t="shared" si="23"/>
        <v>420100189</v>
      </c>
      <c r="B278" s="19" t="s">
        <v>72</v>
      </c>
      <c r="C278" s="6" t="e">
        <f>_xlfn.XLOOKUP(B:B,#REF!,#REF!)</f>
        <v>#REF!</v>
      </c>
      <c r="D278" s="19" t="s">
        <v>39</v>
      </c>
      <c r="E278" s="6" t="str">
        <f t="shared" si="24"/>
        <v>420100189</v>
      </c>
      <c r="F278" s="19" t="s">
        <v>109</v>
      </c>
      <c r="G278" s="7" t="e">
        <f>VLOOKUP(D278,#REF!,4,)</f>
        <v>#REF!</v>
      </c>
      <c r="H278" s="6" t="e">
        <f>VLOOKUP(D278,#REF!,5,)</f>
        <v>#REF!</v>
      </c>
      <c r="I278" s="27">
        <v>31357.08</v>
      </c>
      <c r="J278" s="27">
        <v>20784</v>
      </c>
      <c r="K278" s="8">
        <f t="shared" si="25"/>
        <v>0.66281681840273388</v>
      </c>
      <c r="L278" s="27">
        <v>7008</v>
      </c>
      <c r="M278" s="21">
        <v>46169</v>
      </c>
      <c r="N278" s="27">
        <v>24864</v>
      </c>
      <c r="O278" s="27">
        <v>31872</v>
      </c>
      <c r="P278" s="9">
        <f t="shared" si="26"/>
        <v>-21298.92</v>
      </c>
      <c r="Q278" s="9">
        <f>IFERROR(IF(D278=20250,O278/(#REF!/30),O278/(I278/30)),0)</f>
        <v>30.492635156079579</v>
      </c>
      <c r="R278" s="9">
        <f t="shared" si="27"/>
        <v>23.787929233206661</v>
      </c>
    </row>
    <row r="279" spans="1:18" ht="13.15" x14ac:dyDescent="0.45">
      <c r="A279" s="15" t="str">
        <f t="shared" si="23"/>
        <v>420101167</v>
      </c>
      <c r="B279" s="19" t="s">
        <v>72</v>
      </c>
      <c r="C279" s="6" t="e">
        <f>_xlfn.XLOOKUP(B:B,#REF!,#REF!)</f>
        <v>#REF!</v>
      </c>
      <c r="D279" s="19" t="s">
        <v>40</v>
      </c>
      <c r="E279" s="6" t="str">
        <f t="shared" si="24"/>
        <v>420101167</v>
      </c>
      <c r="F279" s="19" t="s">
        <v>41</v>
      </c>
      <c r="G279" s="7" t="e">
        <f>VLOOKUP(D279,#REF!,4,)</f>
        <v>#REF!</v>
      </c>
      <c r="H279" s="6" t="e">
        <f>VLOOKUP(D279,#REF!,5,)</f>
        <v>#REF!</v>
      </c>
      <c r="I279" s="27">
        <v>1929.96</v>
      </c>
      <c r="J279" s="27">
        <v>216</v>
      </c>
      <c r="K279" s="8">
        <f t="shared" si="25"/>
        <v>0.1119194180190263</v>
      </c>
      <c r="L279" s="27">
        <v>0</v>
      </c>
      <c r="M279" s="21"/>
      <c r="N279" s="27">
        <v>3192</v>
      </c>
      <c r="O279" s="27">
        <v>3192</v>
      </c>
      <c r="P279" s="9">
        <f t="shared" si="26"/>
        <v>-1478.04</v>
      </c>
      <c r="Q279" s="9">
        <f>IFERROR(IF(D279=20250,O279/(#REF!/30),O279/(I279/30)),0)</f>
        <v>49.617608655101655</v>
      </c>
      <c r="R279" s="9">
        <f t="shared" si="27"/>
        <v>49.617608655101655</v>
      </c>
    </row>
    <row r="280" spans="1:18" ht="13.15" x14ac:dyDescent="0.45">
      <c r="A280" s="15" t="str">
        <f t="shared" si="23"/>
        <v>420101296</v>
      </c>
      <c r="B280" s="19" t="s">
        <v>72</v>
      </c>
      <c r="C280" s="6" t="e">
        <f>_xlfn.XLOOKUP(B:B,#REF!,#REF!)</f>
        <v>#REF!</v>
      </c>
      <c r="D280" s="19" t="s">
        <v>14</v>
      </c>
      <c r="E280" s="6" t="str">
        <f t="shared" si="24"/>
        <v>420101296</v>
      </c>
      <c r="F280" s="19" t="s">
        <v>15</v>
      </c>
      <c r="G280" s="7" t="e">
        <f>VLOOKUP(D280,#REF!,4,)</f>
        <v>#REF!</v>
      </c>
      <c r="H280" s="6" t="e">
        <f>VLOOKUP(D280,#REF!,5,)</f>
        <v>#REF!</v>
      </c>
      <c r="I280" s="27">
        <v>514.67999999999995</v>
      </c>
      <c r="J280" s="27">
        <v>192</v>
      </c>
      <c r="K280" s="8">
        <f t="shared" si="25"/>
        <v>0.37304733038004201</v>
      </c>
      <c r="L280" s="27">
        <v>0</v>
      </c>
      <c r="M280" s="21"/>
      <c r="N280" s="27">
        <v>576</v>
      </c>
      <c r="O280" s="27">
        <v>576</v>
      </c>
      <c r="P280" s="9">
        <f t="shared" si="26"/>
        <v>-253.32000000000005</v>
      </c>
      <c r="Q280" s="9">
        <f>IFERROR(IF(D280=20250,O280/(#REF!/30),O280/(I280/30)),0)</f>
        <v>33.574259734203778</v>
      </c>
      <c r="R280" s="9">
        <f t="shared" si="27"/>
        <v>33.574259734203778</v>
      </c>
    </row>
    <row r="281" spans="1:18" ht="13.15" x14ac:dyDescent="0.45">
      <c r="A281" s="15" t="str">
        <f t="shared" si="23"/>
        <v>420102122</v>
      </c>
      <c r="B281" s="19" t="s">
        <v>72</v>
      </c>
      <c r="C281" s="6" t="e">
        <f>_xlfn.XLOOKUP(B:B,#REF!,#REF!)</f>
        <v>#REF!</v>
      </c>
      <c r="D281" s="19" t="s">
        <v>42</v>
      </c>
      <c r="E281" s="6" t="str">
        <f t="shared" si="24"/>
        <v>420102122</v>
      </c>
      <c r="F281" s="19" t="s">
        <v>43</v>
      </c>
      <c r="G281" s="7" t="e">
        <f>VLOOKUP(D281,#REF!,4,)</f>
        <v>#REF!</v>
      </c>
      <c r="H281" s="6" t="e">
        <f>VLOOKUP(D281,#REF!,5,)</f>
        <v>#REF!</v>
      </c>
      <c r="I281" s="27">
        <v>1448.04</v>
      </c>
      <c r="J281" s="27">
        <v>1248</v>
      </c>
      <c r="K281" s="8">
        <f t="shared" si="25"/>
        <v>0.86185464489931218</v>
      </c>
      <c r="L281" s="27">
        <v>192</v>
      </c>
      <c r="M281" s="21">
        <v>46169</v>
      </c>
      <c r="N281" s="27">
        <v>1464</v>
      </c>
      <c r="O281" s="27">
        <v>1656</v>
      </c>
      <c r="P281" s="9">
        <f t="shared" si="26"/>
        <v>-1455.96</v>
      </c>
      <c r="Q281" s="9">
        <f>IFERROR(IF(D281=20250,O281/(#REF!/30),O281/(I281/30)),0)</f>
        <v>34.308444518107237</v>
      </c>
      <c r="R281" s="9">
        <f t="shared" si="27"/>
        <v>30.330653849341179</v>
      </c>
    </row>
    <row r="282" spans="1:18" ht="13.15" x14ac:dyDescent="0.45">
      <c r="A282" s="15" t="str">
        <f t="shared" si="23"/>
        <v>420105159</v>
      </c>
      <c r="B282" s="19" t="s">
        <v>72</v>
      </c>
      <c r="C282" s="6" t="e">
        <f>_xlfn.XLOOKUP(B:B,#REF!,#REF!)</f>
        <v>#REF!</v>
      </c>
      <c r="D282" s="19" t="s">
        <v>44</v>
      </c>
      <c r="E282" s="6" t="str">
        <f t="shared" si="24"/>
        <v>420105159</v>
      </c>
      <c r="F282" s="19" t="s">
        <v>45</v>
      </c>
      <c r="G282" s="7" t="e">
        <f>VLOOKUP(D282,#REF!,4,)</f>
        <v>#REF!</v>
      </c>
      <c r="H282" s="6" t="e">
        <f>VLOOKUP(D282,#REF!,5,)</f>
        <v>#REF!</v>
      </c>
      <c r="I282" s="27">
        <v>3861.12</v>
      </c>
      <c r="J282" s="27">
        <v>1512</v>
      </c>
      <c r="K282" s="8">
        <f t="shared" si="25"/>
        <v>0.39159622078567879</v>
      </c>
      <c r="L282" s="27">
        <v>2484</v>
      </c>
      <c r="M282" s="21">
        <v>46169</v>
      </c>
      <c r="N282" s="27">
        <v>1224</v>
      </c>
      <c r="O282" s="27">
        <v>3708</v>
      </c>
      <c r="P282" s="9">
        <f t="shared" si="26"/>
        <v>-1358.88</v>
      </c>
      <c r="Q282" s="9">
        <f>IFERROR(IF(D282=20250,O282/(#REF!/30),O282/(I282/30)),0)</f>
        <v>28.810293386374937</v>
      </c>
      <c r="R282" s="9">
        <f t="shared" si="27"/>
        <v>9.5101939333664838</v>
      </c>
    </row>
    <row r="283" spans="1:18" ht="13.15" x14ac:dyDescent="0.45">
      <c r="A283" s="15" t="str">
        <f t="shared" si="23"/>
        <v>420106982</v>
      </c>
      <c r="B283" s="19" t="s">
        <v>72</v>
      </c>
      <c r="C283" s="6" t="e">
        <f>_xlfn.XLOOKUP(B:B,#REF!,#REF!)</f>
        <v>#REF!</v>
      </c>
      <c r="D283" s="19" t="s">
        <v>46</v>
      </c>
      <c r="E283" s="6" t="str">
        <f t="shared" si="24"/>
        <v>420106982</v>
      </c>
      <c r="F283" s="19" t="s">
        <v>47</v>
      </c>
      <c r="G283" s="7" t="e">
        <f>VLOOKUP(D283,#REF!,4,)</f>
        <v>#REF!</v>
      </c>
      <c r="H283" s="6" t="e">
        <f>VLOOKUP(D283,#REF!,5,)</f>
        <v>#REF!</v>
      </c>
      <c r="I283" s="27">
        <v>1126.32</v>
      </c>
      <c r="J283" s="27">
        <v>36</v>
      </c>
      <c r="K283" s="8">
        <f t="shared" si="25"/>
        <v>3.1962497336458555E-2</v>
      </c>
      <c r="L283" s="27">
        <v>0</v>
      </c>
      <c r="M283" s="21"/>
      <c r="N283" s="27">
        <v>1524</v>
      </c>
      <c r="O283" s="27">
        <v>1524</v>
      </c>
      <c r="P283" s="9">
        <f t="shared" si="26"/>
        <v>-433.68000000000006</v>
      </c>
      <c r="Q283" s="9">
        <f>IFERROR(IF(D283=20250,O283/(#REF!/30),O283/(I283/30)),0)</f>
        <v>40.592371617302369</v>
      </c>
      <c r="R283" s="9">
        <f t="shared" si="27"/>
        <v>40.592371617302369</v>
      </c>
    </row>
    <row r="284" spans="1:18" ht="13.15" x14ac:dyDescent="0.45">
      <c r="A284" s="15" t="str">
        <f t="shared" si="23"/>
        <v>420107310</v>
      </c>
      <c r="B284" s="19" t="s">
        <v>72</v>
      </c>
      <c r="C284" s="6" t="e">
        <f>_xlfn.XLOOKUP(B:B,#REF!,#REF!)</f>
        <v>#REF!</v>
      </c>
      <c r="D284" s="19" t="s">
        <v>16</v>
      </c>
      <c r="E284" s="6" t="str">
        <f t="shared" si="24"/>
        <v>420107310</v>
      </c>
      <c r="F284" s="19" t="s">
        <v>17</v>
      </c>
      <c r="G284" s="7" t="e">
        <f>VLOOKUP(D284,#REF!,4,)</f>
        <v>#REF!</v>
      </c>
      <c r="H284" s="6" t="e">
        <f>VLOOKUP(D284,#REF!,5,)</f>
        <v>#REF!</v>
      </c>
      <c r="I284" s="27">
        <v>2574.36</v>
      </c>
      <c r="J284" s="27">
        <v>1956</v>
      </c>
      <c r="K284" s="8">
        <f t="shared" si="25"/>
        <v>0.75980049410338879</v>
      </c>
      <c r="L284" s="27">
        <v>1596</v>
      </c>
      <c r="M284" s="21">
        <v>46169</v>
      </c>
      <c r="N284" s="27">
        <v>3108</v>
      </c>
      <c r="O284" s="27">
        <v>4704</v>
      </c>
      <c r="P284" s="9">
        <f t="shared" si="26"/>
        <v>-4085.64</v>
      </c>
      <c r="Q284" s="9">
        <f>IFERROR(IF(D284=20250,O284/(#REF!/30),O284/(I284/30)),0)</f>
        <v>54.817508040833452</v>
      </c>
      <c r="R284" s="9">
        <f t="shared" si="27"/>
        <v>36.218710669836391</v>
      </c>
    </row>
    <row r="285" spans="1:18" ht="13.15" x14ac:dyDescent="0.45">
      <c r="A285" s="15" t="str">
        <f t="shared" si="23"/>
        <v>420108529</v>
      </c>
      <c r="B285" s="19" t="s">
        <v>72</v>
      </c>
      <c r="C285" s="6" t="e">
        <f>_xlfn.XLOOKUP(B:B,#REF!,#REF!)</f>
        <v>#REF!</v>
      </c>
      <c r="D285" s="19" t="s">
        <v>48</v>
      </c>
      <c r="E285" s="6" t="str">
        <f t="shared" si="24"/>
        <v>420108529</v>
      </c>
      <c r="F285" s="19" t="s">
        <v>49</v>
      </c>
      <c r="G285" s="7" t="e">
        <f>VLOOKUP(D285,#REF!,4,)</f>
        <v>#REF!</v>
      </c>
      <c r="H285" s="6" t="e">
        <f>VLOOKUP(D285,#REF!,5,)</f>
        <v>#REF!</v>
      </c>
      <c r="I285" s="27">
        <v>3217.68</v>
      </c>
      <c r="J285" s="27">
        <v>1284</v>
      </c>
      <c r="K285" s="8">
        <f t="shared" si="25"/>
        <v>0.39904527485641833</v>
      </c>
      <c r="L285" s="27">
        <v>0</v>
      </c>
      <c r="M285" s="21"/>
      <c r="N285" s="27">
        <v>4272</v>
      </c>
      <c r="O285" s="27">
        <v>4272</v>
      </c>
      <c r="P285" s="9">
        <f t="shared" si="26"/>
        <v>-2338.3200000000002</v>
      </c>
      <c r="Q285" s="9">
        <f>IFERROR(IF(D285=20250,O285/(#REF!/30),O285/(I285/30)),0)</f>
        <v>39.829939583799508</v>
      </c>
      <c r="R285" s="9">
        <f t="shared" si="27"/>
        <v>39.829939583799508</v>
      </c>
    </row>
    <row r="286" spans="1:18" ht="13.15" x14ac:dyDescent="0.45">
      <c r="A286" s="15" t="str">
        <f t="shared" si="23"/>
        <v>420113678</v>
      </c>
      <c r="B286" s="19" t="s">
        <v>72</v>
      </c>
      <c r="C286" s="6" t="e">
        <f>_xlfn.XLOOKUP(B:B,#REF!,#REF!)</f>
        <v>#REF!</v>
      </c>
      <c r="D286" s="19" t="s">
        <v>50</v>
      </c>
      <c r="E286" s="6" t="str">
        <f t="shared" si="24"/>
        <v>420113678</v>
      </c>
      <c r="F286" s="19" t="s">
        <v>51</v>
      </c>
      <c r="G286" s="7" t="e">
        <f>VLOOKUP(D286,#REF!,4,)</f>
        <v>#REF!</v>
      </c>
      <c r="H286" s="6" t="e">
        <f>VLOOKUP(D286,#REF!,5,)</f>
        <v>#REF!</v>
      </c>
      <c r="I286" s="27">
        <v>771.96</v>
      </c>
      <c r="J286" s="27">
        <v>432</v>
      </c>
      <c r="K286" s="8">
        <f t="shared" si="25"/>
        <v>0.55961448779729517</v>
      </c>
      <c r="L286" s="27">
        <v>600</v>
      </c>
      <c r="M286" s="21">
        <v>46169</v>
      </c>
      <c r="N286" s="27">
        <v>372</v>
      </c>
      <c r="O286" s="27">
        <v>972</v>
      </c>
      <c r="P286" s="9">
        <f t="shared" si="26"/>
        <v>-632.04</v>
      </c>
      <c r="Q286" s="9">
        <f>IFERROR(IF(D286=20250,O286/(#REF!/30),O286/(I286/30)),0)</f>
        <v>37.773977926317421</v>
      </c>
      <c r="R286" s="9">
        <f t="shared" si="27"/>
        <v>14.456707601430125</v>
      </c>
    </row>
    <row r="287" spans="1:18" ht="13.15" x14ac:dyDescent="0.45">
      <c r="A287" s="15" t="str">
        <f t="shared" si="23"/>
        <v>420114654</v>
      </c>
      <c r="B287" s="19" t="s">
        <v>72</v>
      </c>
      <c r="C287" s="6" t="e">
        <f>_xlfn.XLOOKUP(B:B,#REF!,#REF!)</f>
        <v>#REF!</v>
      </c>
      <c r="D287" s="19" t="s">
        <v>52</v>
      </c>
      <c r="E287" s="6" t="str">
        <f t="shared" si="24"/>
        <v>420114654</v>
      </c>
      <c r="F287" s="19" t="s">
        <v>53</v>
      </c>
      <c r="G287" s="7" t="e">
        <f>VLOOKUP(D287,#REF!,4,)</f>
        <v>#REF!</v>
      </c>
      <c r="H287" s="6" t="e">
        <f>VLOOKUP(D287,#REF!,5,)</f>
        <v>#REF!</v>
      </c>
      <c r="I287" s="27">
        <v>2896.08</v>
      </c>
      <c r="J287" s="27">
        <v>2220</v>
      </c>
      <c r="K287" s="8">
        <f t="shared" si="25"/>
        <v>0.76655341012679212</v>
      </c>
      <c r="L287" s="27">
        <v>1992</v>
      </c>
      <c r="M287" s="21">
        <v>46169</v>
      </c>
      <c r="N287" s="27">
        <v>1584</v>
      </c>
      <c r="O287" s="27">
        <v>3576</v>
      </c>
      <c r="P287" s="9">
        <f t="shared" si="26"/>
        <v>-2899.92</v>
      </c>
      <c r="Q287" s="9">
        <f>IFERROR(IF(D287=20250,O287/(#REF!/30),O287/(I287/30)),0)</f>
        <v>37.043175602883899</v>
      </c>
      <c r="R287" s="9">
        <f t="shared" si="27"/>
        <v>16.40838650865998</v>
      </c>
    </row>
    <row r="288" spans="1:18" ht="13.15" x14ac:dyDescent="0.45">
      <c r="A288" s="15" t="str">
        <f t="shared" si="23"/>
        <v>420114788</v>
      </c>
      <c r="B288" s="19" t="s">
        <v>72</v>
      </c>
      <c r="C288" s="6" t="e">
        <f>_xlfn.XLOOKUP(B:B,#REF!,#REF!)</f>
        <v>#REF!</v>
      </c>
      <c r="D288" s="19" t="s">
        <v>54</v>
      </c>
      <c r="E288" s="6" t="str">
        <f t="shared" si="24"/>
        <v>420114788</v>
      </c>
      <c r="F288" s="19" t="s">
        <v>55</v>
      </c>
      <c r="G288" s="7" t="e">
        <f>VLOOKUP(D288,#REF!,4,)</f>
        <v>#REF!</v>
      </c>
      <c r="H288" s="6" t="e">
        <f>VLOOKUP(D288,#REF!,5,)</f>
        <v>#REF!</v>
      </c>
      <c r="I288" s="27">
        <v>13500</v>
      </c>
      <c r="J288" s="27">
        <v>10152</v>
      </c>
      <c r="K288" s="8">
        <f t="shared" si="25"/>
        <v>0.752</v>
      </c>
      <c r="L288" s="27">
        <v>4020</v>
      </c>
      <c r="M288" s="21">
        <v>46169</v>
      </c>
      <c r="N288" s="27">
        <v>12516</v>
      </c>
      <c r="O288" s="27">
        <v>16536</v>
      </c>
      <c r="P288" s="9">
        <f t="shared" si="26"/>
        <v>-13188</v>
      </c>
      <c r="Q288" s="9">
        <f>IFERROR(IF(D288=20250,O288/(#REF!/30),O288/(I288/30)),0)</f>
        <v>36.74666666666667</v>
      </c>
      <c r="R288" s="9">
        <f t="shared" si="27"/>
        <v>27.813333333333333</v>
      </c>
    </row>
    <row r="289" spans="1:18" ht="13.15" x14ac:dyDescent="0.45">
      <c r="A289" s="15" t="str">
        <f t="shared" si="23"/>
        <v>420115536</v>
      </c>
      <c r="B289" s="19" t="s">
        <v>72</v>
      </c>
      <c r="C289" s="6" t="e">
        <f>_xlfn.XLOOKUP(B:B,#REF!,#REF!)</f>
        <v>#REF!</v>
      </c>
      <c r="D289" s="19" t="s">
        <v>56</v>
      </c>
      <c r="E289" s="6" t="str">
        <f t="shared" si="24"/>
        <v>420115536</v>
      </c>
      <c r="F289" s="19" t="s">
        <v>57</v>
      </c>
      <c r="G289" s="7" t="e">
        <f>VLOOKUP(D289,#REF!,4,)</f>
        <v>#REF!</v>
      </c>
      <c r="H289" s="6" t="e">
        <f>VLOOKUP(D289,#REF!,5,)</f>
        <v>#REF!</v>
      </c>
      <c r="I289" s="27">
        <v>2574.36</v>
      </c>
      <c r="J289" s="27">
        <v>1752</v>
      </c>
      <c r="K289" s="8">
        <f t="shared" si="25"/>
        <v>0.68055749778585739</v>
      </c>
      <c r="L289" s="27">
        <v>1992</v>
      </c>
      <c r="M289" s="21">
        <v>46169</v>
      </c>
      <c r="N289" s="27">
        <v>1344</v>
      </c>
      <c r="O289" s="27">
        <v>3336</v>
      </c>
      <c r="P289" s="9">
        <f t="shared" si="26"/>
        <v>-2513.64</v>
      </c>
      <c r="Q289" s="9">
        <f>IFERROR(IF(D289=20250,O289/(#REF!/30),O289/(I289/30)),0)</f>
        <v>38.875681722835971</v>
      </c>
      <c r="R289" s="9">
        <f t="shared" si="27"/>
        <v>15.662145154523843</v>
      </c>
    </row>
    <row r="290" spans="1:18" ht="13.15" x14ac:dyDescent="0.45">
      <c r="A290" s="15" t="str">
        <f t="shared" si="23"/>
        <v>420116336</v>
      </c>
      <c r="B290" s="19" t="s">
        <v>72</v>
      </c>
      <c r="C290" s="6" t="e">
        <f>_xlfn.XLOOKUP(B:B,#REF!,#REF!)</f>
        <v>#REF!</v>
      </c>
      <c r="D290" s="19" t="s">
        <v>20</v>
      </c>
      <c r="E290" s="6" t="str">
        <f t="shared" si="24"/>
        <v>420116336</v>
      </c>
      <c r="F290" s="19" t="s">
        <v>21</v>
      </c>
      <c r="G290" s="7" t="e">
        <f>VLOOKUP(D290,#REF!,4,)</f>
        <v>#REF!</v>
      </c>
      <c r="H290" s="6" t="e">
        <f>VLOOKUP(D290,#REF!,5,)</f>
        <v>#REF!</v>
      </c>
      <c r="I290" s="27">
        <v>9008.8799999999992</v>
      </c>
      <c r="J290" s="27">
        <v>5472</v>
      </c>
      <c r="K290" s="8">
        <f t="shared" si="25"/>
        <v>0.60740069797799512</v>
      </c>
      <c r="L290" s="27">
        <v>0</v>
      </c>
      <c r="M290" s="21"/>
      <c r="N290" s="27">
        <v>9792</v>
      </c>
      <c r="O290" s="27">
        <v>9792</v>
      </c>
      <c r="P290" s="9">
        <f t="shared" si="26"/>
        <v>-6255.1200000000008</v>
      </c>
      <c r="Q290" s="9">
        <f>IFERROR(IF(D290=20250,O290/(#REF!/30),O290/(I290/30)),0)</f>
        <v>32.607826944081843</v>
      </c>
      <c r="R290" s="9">
        <f t="shared" si="27"/>
        <v>32.607826944081843</v>
      </c>
    </row>
    <row r="291" spans="1:18" ht="13.15" x14ac:dyDescent="0.45">
      <c r="A291" s="15" t="str">
        <f t="shared" si="23"/>
        <v>420116984</v>
      </c>
      <c r="B291" s="19" t="s">
        <v>72</v>
      </c>
      <c r="C291" s="6" t="e">
        <f>_xlfn.XLOOKUP(B:B,#REF!,#REF!)</f>
        <v>#REF!</v>
      </c>
      <c r="D291" s="19" t="s">
        <v>60</v>
      </c>
      <c r="E291" s="6" t="str">
        <f t="shared" si="24"/>
        <v>420116984</v>
      </c>
      <c r="F291" s="19" t="s">
        <v>61</v>
      </c>
      <c r="G291" s="7" t="e">
        <f>VLOOKUP(D291,#REF!,4,)</f>
        <v>#REF!</v>
      </c>
      <c r="H291" s="6" t="e">
        <f>VLOOKUP(D291,#REF!,5,)</f>
        <v>#REF!</v>
      </c>
      <c r="I291" s="27">
        <v>257.27999999999997</v>
      </c>
      <c r="J291" s="27">
        <v>300</v>
      </c>
      <c r="K291" s="8">
        <f t="shared" si="25"/>
        <v>1.166044776119403</v>
      </c>
      <c r="L291" s="27">
        <v>0</v>
      </c>
      <c r="M291" s="21"/>
      <c r="N291" s="27">
        <v>660</v>
      </c>
      <c r="O291" s="27">
        <v>660</v>
      </c>
      <c r="P291" s="9">
        <f t="shared" si="26"/>
        <v>-702.72</v>
      </c>
      <c r="Q291" s="9">
        <f>IFERROR(IF(D291=20250,O291/(#REF!/30),O291/(I291/30)),0)</f>
        <v>76.958955223880608</v>
      </c>
      <c r="R291" s="9">
        <f t="shared" si="27"/>
        <v>76.958955223880608</v>
      </c>
    </row>
    <row r="292" spans="1:18" ht="13.15" x14ac:dyDescent="0.45">
      <c r="A292" s="15" t="str">
        <f t="shared" si="23"/>
        <v>420116998</v>
      </c>
      <c r="B292" s="19" t="s">
        <v>72</v>
      </c>
      <c r="C292" s="6" t="e">
        <f>_xlfn.XLOOKUP(B:B,#REF!,#REF!)</f>
        <v>#REF!</v>
      </c>
      <c r="D292" s="19" t="s">
        <v>62</v>
      </c>
      <c r="E292" s="6" t="str">
        <f t="shared" si="24"/>
        <v>420116998</v>
      </c>
      <c r="F292" s="19" t="s">
        <v>63</v>
      </c>
      <c r="G292" s="7" t="e">
        <f>VLOOKUP(D292,#REF!,4,)</f>
        <v>#REF!</v>
      </c>
      <c r="H292" s="6" t="e">
        <f>VLOOKUP(D292,#REF!,5,)</f>
        <v>#REF!</v>
      </c>
      <c r="I292" s="27">
        <v>2574.36</v>
      </c>
      <c r="J292" s="27">
        <v>360</v>
      </c>
      <c r="K292" s="8">
        <f t="shared" si="25"/>
        <v>0.13984058173682001</v>
      </c>
      <c r="L292" s="27">
        <v>0</v>
      </c>
      <c r="M292" s="21"/>
      <c r="N292" s="27">
        <v>3336</v>
      </c>
      <c r="O292" s="27">
        <v>3336</v>
      </c>
      <c r="P292" s="9">
        <f t="shared" si="26"/>
        <v>-1121.6399999999999</v>
      </c>
      <c r="Q292" s="9">
        <f>IFERROR(IF(D292=20250,O292/(#REF!/30),O292/(I292/30)),0)</f>
        <v>38.875681722835971</v>
      </c>
      <c r="R292" s="9">
        <f t="shared" si="27"/>
        <v>38.875681722835971</v>
      </c>
    </row>
    <row r="293" spans="1:18" ht="13.15" x14ac:dyDescent="0.45">
      <c r="A293" s="15" t="str">
        <f t="shared" si="23"/>
        <v>420118098</v>
      </c>
      <c r="B293" s="19" t="s">
        <v>72</v>
      </c>
      <c r="C293" s="6" t="e">
        <f>_xlfn.XLOOKUP(B:B,#REF!,#REF!)</f>
        <v>#REF!</v>
      </c>
      <c r="D293" s="19" t="s">
        <v>64</v>
      </c>
      <c r="E293" s="6" t="str">
        <f t="shared" si="24"/>
        <v>420118098</v>
      </c>
      <c r="F293" s="19" t="s">
        <v>131</v>
      </c>
      <c r="G293" s="7" t="e">
        <f>VLOOKUP(D293,#REF!,4,)</f>
        <v>#REF!</v>
      </c>
      <c r="H293" s="6" t="e">
        <f>VLOOKUP(D293,#REF!,5,)</f>
        <v>#REF!</v>
      </c>
      <c r="I293" s="27">
        <v>128.63999999999999</v>
      </c>
      <c r="J293" s="27">
        <v>0</v>
      </c>
      <c r="K293" s="8">
        <f t="shared" si="25"/>
        <v>0</v>
      </c>
      <c r="L293" s="27">
        <v>0</v>
      </c>
      <c r="M293" s="21"/>
      <c r="N293" s="27">
        <v>348</v>
      </c>
      <c r="O293" s="27">
        <v>348</v>
      </c>
      <c r="P293" s="9">
        <f t="shared" si="26"/>
        <v>-219.36</v>
      </c>
      <c r="Q293" s="9">
        <f>IFERROR(IF(D293=20250,O293/(#REF!/30),O293/(I293/30)),0)</f>
        <v>81.156716417910459</v>
      </c>
      <c r="R293" s="9">
        <f t="shared" si="27"/>
        <v>81.156716417910459</v>
      </c>
    </row>
    <row r="294" spans="1:18" ht="13.15" x14ac:dyDescent="0.45">
      <c r="A294" s="15" t="str">
        <f t="shared" si="23"/>
        <v>420120308</v>
      </c>
      <c r="B294" s="19" t="s">
        <v>72</v>
      </c>
      <c r="C294" s="6" t="e">
        <f>_xlfn.XLOOKUP(B:B,#REF!,#REF!)</f>
        <v>#REF!</v>
      </c>
      <c r="D294" s="19" t="s">
        <v>84</v>
      </c>
      <c r="E294" s="6" t="str">
        <f t="shared" si="24"/>
        <v>420120308</v>
      </c>
      <c r="F294" s="19" t="s">
        <v>108</v>
      </c>
      <c r="G294" s="7" t="e">
        <f>VLOOKUP(D294,#REF!,4,)</f>
        <v>#REF!</v>
      </c>
      <c r="H294" s="6" t="e">
        <f>VLOOKUP(D294,#REF!,5,)</f>
        <v>#REF!</v>
      </c>
      <c r="I294" s="27">
        <v>0</v>
      </c>
      <c r="J294" s="27">
        <v>0</v>
      </c>
      <c r="K294" s="8">
        <f t="shared" si="25"/>
        <v>0</v>
      </c>
      <c r="L294" s="27">
        <v>0</v>
      </c>
      <c r="M294" s="21"/>
      <c r="N294" s="27">
        <v>2880</v>
      </c>
      <c r="O294" s="27">
        <v>2880</v>
      </c>
      <c r="P294" s="9">
        <f t="shared" si="26"/>
        <v>-2880</v>
      </c>
      <c r="Q294" s="9">
        <f>IFERROR(IF(D294=20250,O294/(#REF!/30),O294/(I294/30)),0)</f>
        <v>0</v>
      </c>
      <c r="R294" s="9">
        <f t="shared" si="27"/>
        <v>0</v>
      </c>
    </row>
    <row r="295" spans="1:18" ht="13.15" x14ac:dyDescent="0.45">
      <c r="A295" s="15" t="str">
        <f t="shared" si="23"/>
        <v>420120827</v>
      </c>
      <c r="B295" s="19" t="s">
        <v>72</v>
      </c>
      <c r="C295" s="6" t="e">
        <f>_xlfn.XLOOKUP(B:B,#REF!,#REF!)</f>
        <v>#REF!</v>
      </c>
      <c r="D295" s="19" t="s">
        <v>85</v>
      </c>
      <c r="E295" s="6" t="str">
        <f t="shared" si="24"/>
        <v>420120827</v>
      </c>
      <c r="F295" s="19" t="s">
        <v>86</v>
      </c>
      <c r="G295" s="7" t="e">
        <f>VLOOKUP(D295,#REF!,4,)</f>
        <v>#REF!</v>
      </c>
      <c r="H295" s="6" t="e">
        <f>VLOOKUP(D295,#REF!,5,)</f>
        <v>#REF!</v>
      </c>
      <c r="I295" s="27">
        <v>1126.32</v>
      </c>
      <c r="J295" s="27">
        <v>576</v>
      </c>
      <c r="K295" s="8">
        <f t="shared" si="25"/>
        <v>0.51139995738333688</v>
      </c>
      <c r="L295" s="27">
        <v>0</v>
      </c>
      <c r="M295" s="21"/>
      <c r="N295" s="27">
        <v>828</v>
      </c>
      <c r="O295" s="27">
        <v>828</v>
      </c>
      <c r="P295" s="9">
        <f t="shared" si="26"/>
        <v>-277.68000000000006</v>
      </c>
      <c r="Q295" s="9">
        <f>IFERROR(IF(D295=20250,O295/(#REF!/30),O295/(I295/30)),0)</f>
        <v>22.054123162156404</v>
      </c>
      <c r="R295" s="9">
        <f t="shared" si="27"/>
        <v>22.054123162156404</v>
      </c>
    </row>
    <row r="296" spans="1:18" ht="13.15" x14ac:dyDescent="0.45">
      <c r="A296" s="15" t="str">
        <f t="shared" si="23"/>
        <v>420123081</v>
      </c>
      <c r="B296" s="19" t="s">
        <v>72</v>
      </c>
      <c r="C296" s="6" t="e">
        <f>_xlfn.XLOOKUP(B:B,#REF!,#REF!)</f>
        <v>#REF!</v>
      </c>
      <c r="D296" s="19" t="s">
        <v>96</v>
      </c>
      <c r="E296" s="6" t="str">
        <f t="shared" si="24"/>
        <v>420123081</v>
      </c>
      <c r="F296" s="19" t="s">
        <v>97</v>
      </c>
      <c r="G296" s="7" t="e">
        <f>VLOOKUP(D296,#REF!,4,)</f>
        <v>#REF!</v>
      </c>
      <c r="H296" s="6" t="e">
        <f>VLOOKUP(D296,#REF!,5,)</f>
        <v>#REF!</v>
      </c>
      <c r="I296" s="27">
        <v>128.63999999999999</v>
      </c>
      <c r="J296" s="27">
        <v>0</v>
      </c>
      <c r="K296" s="8">
        <f t="shared" si="25"/>
        <v>0</v>
      </c>
      <c r="L296" s="27">
        <v>0</v>
      </c>
      <c r="M296" s="21"/>
      <c r="N296" s="27">
        <v>132</v>
      </c>
      <c r="O296" s="27">
        <v>132</v>
      </c>
      <c r="P296" s="9">
        <f t="shared" si="26"/>
        <v>-3.3600000000000136</v>
      </c>
      <c r="Q296" s="9">
        <f>IFERROR(IF(D296=20250,O296/(#REF!/30),O296/(I296/30)),0)</f>
        <v>30.783582089552244</v>
      </c>
      <c r="R296" s="9">
        <f t="shared" si="27"/>
        <v>30.783582089552244</v>
      </c>
    </row>
    <row r="297" spans="1:18" ht="13.15" x14ac:dyDescent="0.45">
      <c r="A297" s="15" t="str">
        <f t="shared" si="23"/>
        <v>420123401</v>
      </c>
      <c r="B297" s="19" t="s">
        <v>72</v>
      </c>
      <c r="C297" s="6" t="e">
        <f>_xlfn.XLOOKUP(B:B,#REF!,#REF!)</f>
        <v>#REF!</v>
      </c>
      <c r="D297" s="19" t="s">
        <v>98</v>
      </c>
      <c r="E297" s="6" t="str">
        <f t="shared" si="24"/>
        <v>420123401</v>
      </c>
      <c r="F297" s="19" t="s">
        <v>99</v>
      </c>
      <c r="G297" s="7" t="e">
        <f>VLOOKUP(D297,#REF!,4,)</f>
        <v>#REF!</v>
      </c>
      <c r="H297" s="6" t="e">
        <f>VLOOKUP(D297,#REF!,5,)</f>
        <v>#REF!</v>
      </c>
      <c r="I297" s="27">
        <v>4826.04</v>
      </c>
      <c r="J297" s="27">
        <v>2436</v>
      </c>
      <c r="K297" s="8">
        <f t="shared" si="25"/>
        <v>0.5047616679513639</v>
      </c>
      <c r="L297" s="27">
        <v>12</v>
      </c>
      <c r="M297" s="21">
        <v>46169</v>
      </c>
      <c r="N297" s="27">
        <v>5544</v>
      </c>
      <c r="O297" s="27">
        <v>5556</v>
      </c>
      <c r="P297" s="9">
        <f t="shared" si="26"/>
        <v>-3165.96</v>
      </c>
      <c r="Q297" s="9">
        <f>IFERROR(IF(D297=20250,O297/(#REF!/30),O297/(I297/30)),0)</f>
        <v>34.537633339135191</v>
      </c>
      <c r="R297" s="9">
        <f t="shared" si="27"/>
        <v>34.463038018748293</v>
      </c>
    </row>
    <row r="298" spans="1:18" ht="13.15" x14ac:dyDescent="0.45">
      <c r="A298" s="15" t="str">
        <f t="shared" si="23"/>
        <v>420124768</v>
      </c>
      <c r="B298" s="19" t="s">
        <v>72</v>
      </c>
      <c r="C298" s="6" t="e">
        <f>_xlfn.XLOOKUP(B:B,#REF!,#REF!)</f>
        <v>#REF!</v>
      </c>
      <c r="D298" s="19" t="s">
        <v>111</v>
      </c>
      <c r="E298" s="6" t="str">
        <f t="shared" si="24"/>
        <v>420124768</v>
      </c>
      <c r="F298" s="19" t="s">
        <v>112</v>
      </c>
      <c r="G298" s="7" t="e">
        <f>VLOOKUP(D298,#REF!,4,)</f>
        <v>#REF!</v>
      </c>
      <c r="H298" s="6" t="e">
        <f>VLOOKUP(D298,#REF!,5,)</f>
        <v>#REF!</v>
      </c>
      <c r="I298" s="27">
        <v>4504.4399999999996</v>
      </c>
      <c r="J298" s="27">
        <v>2280</v>
      </c>
      <c r="K298" s="8">
        <f t="shared" si="25"/>
        <v>0.50616724831499593</v>
      </c>
      <c r="L298" s="27">
        <v>0</v>
      </c>
      <c r="M298" s="21"/>
      <c r="N298" s="27">
        <v>2244</v>
      </c>
      <c r="O298" s="27">
        <v>2244</v>
      </c>
      <c r="P298" s="9">
        <f t="shared" si="26"/>
        <v>-19.5600000000004</v>
      </c>
      <c r="Q298" s="9">
        <f>IFERROR(IF(D298=20250,O298/(#REF!/30),O298/(I298/30)),0)</f>
        <v>14.945254016037509</v>
      </c>
      <c r="R298" s="9">
        <f t="shared" si="27"/>
        <v>14.945254016037509</v>
      </c>
    </row>
    <row r="299" spans="1:18" ht="13.15" x14ac:dyDescent="0.45">
      <c r="A299" s="15" t="str">
        <f t="shared" si="23"/>
        <v>420125570</v>
      </c>
      <c r="B299" s="19" t="s">
        <v>72</v>
      </c>
      <c r="C299" s="6" t="e">
        <f>_xlfn.XLOOKUP(B:B,#REF!,#REF!)</f>
        <v>#REF!</v>
      </c>
      <c r="D299" s="19" t="s">
        <v>116</v>
      </c>
      <c r="E299" s="6" t="str">
        <f t="shared" si="24"/>
        <v>420125570</v>
      </c>
      <c r="F299" s="19" t="s">
        <v>118</v>
      </c>
      <c r="G299" s="7" t="e">
        <f>VLOOKUP(D299,#REF!,4,)</f>
        <v>#REF!</v>
      </c>
      <c r="H299" s="6" t="e">
        <f>VLOOKUP(D299,#REF!,5,)</f>
        <v>#REF!</v>
      </c>
      <c r="I299" s="27">
        <v>3217.68</v>
      </c>
      <c r="J299" s="27">
        <v>156</v>
      </c>
      <c r="K299" s="8">
        <f t="shared" si="25"/>
        <v>4.8482136197508768E-2</v>
      </c>
      <c r="L299" s="27">
        <v>0</v>
      </c>
      <c r="M299" s="21"/>
      <c r="N299" s="27">
        <v>4608</v>
      </c>
      <c r="O299" s="27">
        <v>4608</v>
      </c>
      <c r="P299" s="9">
        <f t="shared" si="26"/>
        <v>-1546.3200000000002</v>
      </c>
      <c r="Q299" s="9">
        <f>IFERROR(IF(D299=20250,O299/(#REF!/30),O299/(I299/30)),0)</f>
        <v>42.962631461176997</v>
      </c>
      <c r="R299" s="9">
        <f t="shared" si="27"/>
        <v>42.962631461176997</v>
      </c>
    </row>
    <row r="300" spans="1:18" ht="13.15" x14ac:dyDescent="0.45">
      <c r="A300" s="15" t="str">
        <f t="shared" si="23"/>
        <v>420125598</v>
      </c>
      <c r="B300" s="19" t="s">
        <v>72</v>
      </c>
      <c r="C300" s="6" t="e">
        <f>_xlfn.XLOOKUP(B:B,#REF!,#REF!)</f>
        <v>#REF!</v>
      </c>
      <c r="D300" s="19" t="s">
        <v>117</v>
      </c>
      <c r="E300" s="6" t="str">
        <f t="shared" si="24"/>
        <v>420125598</v>
      </c>
      <c r="F300" s="19" t="s">
        <v>119</v>
      </c>
      <c r="G300" s="7" t="e">
        <f>VLOOKUP(D300,#REF!,4,)</f>
        <v>#REF!</v>
      </c>
      <c r="H300" s="6" t="e">
        <f>VLOOKUP(D300,#REF!,5,)</f>
        <v>#REF!</v>
      </c>
      <c r="I300" s="27">
        <v>2574.36</v>
      </c>
      <c r="J300" s="27">
        <v>1368</v>
      </c>
      <c r="K300" s="8">
        <f t="shared" si="25"/>
        <v>0.53139421059991609</v>
      </c>
      <c r="L300" s="27">
        <v>504</v>
      </c>
      <c r="M300" s="21">
        <v>46169</v>
      </c>
      <c r="N300" s="27">
        <v>1320</v>
      </c>
      <c r="O300" s="27">
        <v>1824</v>
      </c>
      <c r="P300" s="9">
        <f t="shared" si="26"/>
        <v>-617.63999999999987</v>
      </c>
      <c r="Q300" s="9">
        <f>IFERROR(IF(D300=20250,O300/(#REF!/30),O300/(I300/30)),0)</f>
        <v>21.255768423996646</v>
      </c>
      <c r="R300" s="9">
        <f t="shared" si="27"/>
        <v>15.382463991050203</v>
      </c>
    </row>
    <row r="301" spans="1:18" ht="13.15" x14ac:dyDescent="0.45">
      <c r="A301" s="15" t="str">
        <f t="shared" si="23"/>
        <v>420306151</v>
      </c>
      <c r="B301" s="19" t="s">
        <v>90</v>
      </c>
      <c r="C301" s="6" t="e">
        <f>_xlfn.XLOOKUP(B:B,#REF!,#REF!)</f>
        <v>#REF!</v>
      </c>
      <c r="D301" s="19" t="s">
        <v>23</v>
      </c>
      <c r="E301" s="6" t="str">
        <f t="shared" si="24"/>
        <v>420306151</v>
      </c>
      <c r="F301" s="19" t="s">
        <v>24</v>
      </c>
      <c r="G301" s="7" t="e">
        <f>VLOOKUP(D301,#REF!,4,)</f>
        <v>#REF!</v>
      </c>
      <c r="H301" s="6" t="e">
        <f>VLOOKUP(D301,#REF!,5,)</f>
        <v>#REF!</v>
      </c>
      <c r="I301" s="27">
        <v>6756</v>
      </c>
      <c r="J301" s="27">
        <v>5244</v>
      </c>
      <c r="K301" s="8">
        <f t="shared" si="25"/>
        <v>0.77619893428063946</v>
      </c>
      <c r="L301" s="27">
        <v>0</v>
      </c>
      <c r="M301" s="21"/>
      <c r="N301" s="27">
        <v>10644</v>
      </c>
      <c r="O301" s="27">
        <v>10644</v>
      </c>
      <c r="P301" s="9">
        <f t="shared" si="26"/>
        <v>-9132</v>
      </c>
      <c r="Q301" s="9">
        <f>IFERROR(IF(D301=20250,O301/(#REF!/30),O301/(I301/30)),0)</f>
        <v>47.264653641207815</v>
      </c>
      <c r="R301" s="9">
        <f t="shared" si="27"/>
        <v>47.264653641207815</v>
      </c>
    </row>
    <row r="302" spans="1:18" ht="13.15" x14ac:dyDescent="0.45">
      <c r="A302" s="15" t="str">
        <f t="shared" si="23"/>
        <v>420313490</v>
      </c>
      <c r="B302" s="19" t="s">
        <v>90</v>
      </c>
      <c r="C302" s="6" t="e">
        <f>_xlfn.XLOOKUP(B:B,#REF!,#REF!)</f>
        <v>#REF!</v>
      </c>
      <c r="D302" s="19" t="s">
        <v>27</v>
      </c>
      <c r="E302" s="6" t="str">
        <f t="shared" si="24"/>
        <v>420313490</v>
      </c>
      <c r="F302" s="19" t="s">
        <v>28</v>
      </c>
      <c r="G302" s="7" t="e">
        <f>VLOOKUP(D302,#REF!,4,)</f>
        <v>#REF!</v>
      </c>
      <c r="H302" s="6" t="e">
        <f>VLOOKUP(D302,#REF!,5,)</f>
        <v>#REF!</v>
      </c>
      <c r="I302" s="27">
        <v>1930</v>
      </c>
      <c r="J302" s="27">
        <v>780</v>
      </c>
      <c r="K302" s="8">
        <f t="shared" si="25"/>
        <v>0.40414507772020725</v>
      </c>
      <c r="L302" s="27">
        <v>0</v>
      </c>
      <c r="M302" s="21"/>
      <c r="N302" s="27">
        <v>3140</v>
      </c>
      <c r="O302" s="27">
        <v>3140</v>
      </c>
      <c r="P302" s="9">
        <f t="shared" si="26"/>
        <v>-1990</v>
      </c>
      <c r="Q302" s="9">
        <f>IFERROR(IF(D302=20250,O302/(#REF!/30),O302/(I302/30)),0)</f>
        <v>48.808290155440417</v>
      </c>
      <c r="R302" s="9">
        <f t="shared" si="27"/>
        <v>48.808290155440417</v>
      </c>
    </row>
    <row r="303" spans="1:18" ht="13.15" x14ac:dyDescent="0.45">
      <c r="A303" s="15" t="str">
        <f t="shared" si="23"/>
        <v>420315300</v>
      </c>
      <c r="B303" s="19" t="s">
        <v>90</v>
      </c>
      <c r="C303" s="6" t="e">
        <f>_xlfn.XLOOKUP(B:B,#REF!,#REF!)</f>
        <v>#REF!</v>
      </c>
      <c r="D303" s="19" t="s">
        <v>31</v>
      </c>
      <c r="E303" s="6" t="str">
        <f t="shared" si="24"/>
        <v>420315300</v>
      </c>
      <c r="F303" s="19" t="s">
        <v>32</v>
      </c>
      <c r="G303" s="7" t="e">
        <f>VLOOKUP(D303,#REF!,4,)</f>
        <v>#REF!</v>
      </c>
      <c r="H303" s="6" t="e">
        <f>VLOOKUP(D303,#REF!,5,)</f>
        <v>#REF!</v>
      </c>
      <c r="I303" s="27">
        <v>177.03</v>
      </c>
      <c r="J303" s="27">
        <v>72</v>
      </c>
      <c r="K303" s="8">
        <f t="shared" si="25"/>
        <v>0.40671072699542449</v>
      </c>
      <c r="L303" s="27">
        <v>0</v>
      </c>
      <c r="M303" s="21"/>
      <c r="N303" s="27">
        <v>342</v>
      </c>
      <c r="O303" s="27">
        <v>342</v>
      </c>
      <c r="P303" s="9">
        <f t="shared" si="26"/>
        <v>-236.97</v>
      </c>
      <c r="Q303" s="9">
        <f>IFERROR(IF(D303=20250,O303/(#REF!/30),O303/(I303/30)),0)</f>
        <v>57.956278596847994</v>
      </c>
      <c r="R303" s="9">
        <f t="shared" si="27"/>
        <v>57.956278596847994</v>
      </c>
    </row>
    <row r="304" spans="1:18" ht="13.15" x14ac:dyDescent="0.45">
      <c r="A304" s="15" t="str">
        <f t="shared" si="23"/>
        <v>420319690</v>
      </c>
      <c r="B304" s="19" t="s">
        <v>90</v>
      </c>
      <c r="C304" s="6" t="e">
        <f>_xlfn.XLOOKUP(B:B,#REF!,#REF!)</f>
        <v>#REF!</v>
      </c>
      <c r="D304" s="19" t="s">
        <v>66</v>
      </c>
      <c r="E304" s="6" t="str">
        <f t="shared" si="24"/>
        <v>420319690</v>
      </c>
      <c r="F304" s="19" t="s">
        <v>67</v>
      </c>
      <c r="G304" s="7" t="e">
        <f>VLOOKUP(D304,#REF!,4,)</f>
        <v>#REF!</v>
      </c>
      <c r="H304" s="6" t="e">
        <f>VLOOKUP(D304,#REF!,5,)</f>
        <v>#REF!</v>
      </c>
      <c r="I304" s="27">
        <v>192.96</v>
      </c>
      <c r="J304" s="27">
        <v>108</v>
      </c>
      <c r="K304" s="8">
        <f t="shared" si="25"/>
        <v>0.55970149253731338</v>
      </c>
      <c r="L304" s="27">
        <v>0</v>
      </c>
      <c r="M304" s="21"/>
      <c r="N304" s="27">
        <v>84</v>
      </c>
      <c r="O304" s="27">
        <v>84</v>
      </c>
      <c r="P304" s="9">
        <f t="shared" si="26"/>
        <v>0.96000000000000796</v>
      </c>
      <c r="Q304" s="9">
        <f>IFERROR(IF(D304=20250,O304/(#REF!/30),O304/(I304/30)),0)</f>
        <v>13.059701492537313</v>
      </c>
      <c r="R304" s="9">
        <f t="shared" si="27"/>
        <v>13.059701492537313</v>
      </c>
    </row>
    <row r="305" spans="1:18" ht="13.15" x14ac:dyDescent="0.45">
      <c r="A305" s="15" t="str">
        <f t="shared" si="23"/>
        <v>420320160</v>
      </c>
      <c r="B305" s="19" t="s">
        <v>90</v>
      </c>
      <c r="C305" s="6" t="e">
        <f>_xlfn.XLOOKUP(B:B,#REF!,#REF!)</f>
        <v>#REF!</v>
      </c>
      <c r="D305" s="19" t="s">
        <v>82</v>
      </c>
      <c r="E305" s="6" t="str">
        <f t="shared" si="24"/>
        <v>420320160</v>
      </c>
      <c r="F305" s="19" t="s">
        <v>83</v>
      </c>
      <c r="G305" s="7" t="e">
        <f>VLOOKUP(D305,#REF!,4,)</f>
        <v>#REF!</v>
      </c>
      <c r="H305" s="6" t="e">
        <f>VLOOKUP(D305,#REF!,5,)</f>
        <v>#REF!</v>
      </c>
      <c r="I305" s="27">
        <v>128.63999999999999</v>
      </c>
      <c r="J305" s="27">
        <v>0</v>
      </c>
      <c r="K305" s="8">
        <f t="shared" si="25"/>
        <v>0</v>
      </c>
      <c r="L305" s="27">
        <v>0</v>
      </c>
      <c r="M305" s="21"/>
      <c r="N305" s="27">
        <v>0</v>
      </c>
      <c r="O305" s="27">
        <v>0</v>
      </c>
      <c r="P305" s="9">
        <f t="shared" si="26"/>
        <v>128.63999999999999</v>
      </c>
      <c r="Q305" s="9">
        <f>IFERROR(IF(D305=20250,O305/(#REF!/30),O305/(I305/30)),0)</f>
        <v>0</v>
      </c>
      <c r="R305" s="9">
        <f t="shared" si="27"/>
        <v>0</v>
      </c>
    </row>
    <row r="306" spans="1:18" ht="13.15" x14ac:dyDescent="0.45">
      <c r="A306" s="15" t="str">
        <f t="shared" si="23"/>
        <v>420320309</v>
      </c>
      <c r="B306" s="19" t="s">
        <v>90</v>
      </c>
      <c r="C306" s="6" t="e">
        <f>_xlfn.XLOOKUP(B:B,#REF!,#REF!)</f>
        <v>#REF!</v>
      </c>
      <c r="D306" s="19" t="s">
        <v>120</v>
      </c>
      <c r="E306" s="6" t="str">
        <f t="shared" si="24"/>
        <v>420320309</v>
      </c>
      <c r="F306" s="19" t="s">
        <v>121</v>
      </c>
      <c r="G306" s="7" t="e">
        <f>VLOOKUP(D306,#REF!,4,)</f>
        <v>#REF!</v>
      </c>
      <c r="H306" s="6" t="e">
        <f>VLOOKUP(D306,#REF!,5,)</f>
        <v>#REF!</v>
      </c>
      <c r="I306" s="27">
        <v>128.63999999999999</v>
      </c>
      <c r="J306" s="27">
        <v>0</v>
      </c>
      <c r="K306" s="8">
        <f t="shared" si="25"/>
        <v>0</v>
      </c>
      <c r="L306" s="27">
        <v>0</v>
      </c>
      <c r="M306" s="21"/>
      <c r="N306" s="27">
        <v>0</v>
      </c>
      <c r="O306" s="27">
        <v>0</v>
      </c>
      <c r="P306" s="9">
        <f t="shared" si="26"/>
        <v>128.63999999999999</v>
      </c>
      <c r="Q306" s="9">
        <f>IFERROR(IF(D306=20250,O306/(#REF!/30),O306/(I306/30)),0)</f>
        <v>0</v>
      </c>
      <c r="R306" s="9">
        <f t="shared" si="27"/>
        <v>0</v>
      </c>
    </row>
    <row r="307" spans="1:18" ht="13.15" x14ac:dyDescent="0.45">
      <c r="A307" s="15" t="str">
        <f t="shared" si="23"/>
        <v>420320661</v>
      </c>
      <c r="B307" s="19" t="s">
        <v>90</v>
      </c>
      <c r="C307" s="6" t="e">
        <f>_xlfn.XLOOKUP(B:B,#REF!,#REF!)</f>
        <v>#REF!</v>
      </c>
      <c r="D307" s="19" t="s">
        <v>88</v>
      </c>
      <c r="E307" s="6" t="str">
        <f t="shared" si="24"/>
        <v>420320661</v>
      </c>
      <c r="F307" s="19" t="s">
        <v>89</v>
      </c>
      <c r="G307" s="7" t="e">
        <f>VLOOKUP(D307,#REF!,4,)</f>
        <v>#REF!</v>
      </c>
      <c r="H307" s="6" t="e">
        <f>VLOOKUP(D307,#REF!,5,)</f>
        <v>#REF!</v>
      </c>
      <c r="I307" s="27">
        <v>463.08</v>
      </c>
      <c r="J307" s="27">
        <v>300</v>
      </c>
      <c r="K307" s="8">
        <f t="shared" si="25"/>
        <v>0.64783622700181398</v>
      </c>
      <c r="L307" s="27">
        <v>0</v>
      </c>
      <c r="M307" s="21"/>
      <c r="N307" s="27">
        <v>1164</v>
      </c>
      <c r="O307" s="27">
        <v>1164</v>
      </c>
      <c r="P307" s="9">
        <f t="shared" si="26"/>
        <v>-1000.9200000000001</v>
      </c>
      <c r="Q307" s="9">
        <f>IFERROR(IF(D307=20250,O307/(#REF!/30),O307/(I307/30)),0)</f>
        <v>75.408136823011148</v>
      </c>
      <c r="R307" s="9">
        <f t="shared" si="27"/>
        <v>75.408136823011148</v>
      </c>
    </row>
    <row r="308" spans="1:18" ht="13.15" x14ac:dyDescent="0.45">
      <c r="A308" s="15" t="str">
        <f t="shared" si="23"/>
        <v>420323638</v>
      </c>
      <c r="B308" s="19" t="s">
        <v>90</v>
      </c>
      <c r="C308" s="6" t="e">
        <f>_xlfn.XLOOKUP(B:B,#REF!,#REF!)</f>
        <v>#REF!</v>
      </c>
      <c r="D308" s="19" t="s">
        <v>100</v>
      </c>
      <c r="E308" s="6" t="str">
        <f t="shared" si="24"/>
        <v>420323638</v>
      </c>
      <c r="F308" s="19" t="s">
        <v>101</v>
      </c>
      <c r="G308" s="7" t="e">
        <f>VLOOKUP(D308,#REF!,4,)</f>
        <v>#REF!</v>
      </c>
      <c r="H308" s="6" t="e">
        <f>VLOOKUP(D308,#REF!,5,)</f>
        <v>#REF!</v>
      </c>
      <c r="I308" s="27">
        <v>2251.6799999999998</v>
      </c>
      <c r="J308" s="27">
        <v>1740</v>
      </c>
      <c r="K308" s="8">
        <f t="shared" si="25"/>
        <v>0.772756341931358</v>
      </c>
      <c r="L308" s="27">
        <v>840</v>
      </c>
      <c r="M308" s="21">
        <v>46168</v>
      </c>
      <c r="N308" s="27">
        <v>2052</v>
      </c>
      <c r="O308" s="27">
        <v>2892</v>
      </c>
      <c r="P308" s="9">
        <f t="shared" si="26"/>
        <v>-2380.3200000000002</v>
      </c>
      <c r="Q308" s="9">
        <f>IFERROR(IF(D308=20250,O308/(#REF!/30),O308/(I308/30)),0)</f>
        <v>38.531230014922194</v>
      </c>
      <c r="R308" s="9">
        <f t="shared" si="27"/>
        <v>27.339586442123217</v>
      </c>
    </row>
    <row r="309" spans="1:18" ht="13.15" x14ac:dyDescent="0.45">
      <c r="A309" s="15" t="str">
        <f t="shared" si="23"/>
        <v>420325885</v>
      </c>
      <c r="B309" s="19" t="s">
        <v>90</v>
      </c>
      <c r="C309" s="6" t="e">
        <f>_xlfn.XLOOKUP(B:B,#REF!,#REF!)</f>
        <v>#REF!</v>
      </c>
      <c r="D309" s="19" t="s">
        <v>122</v>
      </c>
      <c r="E309" s="6" t="str">
        <f t="shared" si="24"/>
        <v>420325885</v>
      </c>
      <c r="F309" s="19" t="s">
        <v>123</v>
      </c>
      <c r="G309" s="7" t="e">
        <f>VLOOKUP(D309,#REF!,4,)</f>
        <v>#REF!</v>
      </c>
      <c r="H309" s="6" t="e">
        <f>VLOOKUP(D309,#REF!,5,)</f>
        <v>#REF!</v>
      </c>
      <c r="I309" s="27">
        <v>1286.6400000000001</v>
      </c>
      <c r="J309" s="27">
        <v>180</v>
      </c>
      <c r="K309" s="8">
        <f t="shared" si="25"/>
        <v>0.13989927252378287</v>
      </c>
      <c r="L309" s="27">
        <v>1200</v>
      </c>
      <c r="M309" s="21">
        <v>46168</v>
      </c>
      <c r="N309" s="27">
        <v>1128</v>
      </c>
      <c r="O309" s="27">
        <v>2328</v>
      </c>
      <c r="P309" s="9">
        <f t="shared" si="26"/>
        <v>-1221.3599999999999</v>
      </c>
      <c r="Q309" s="9">
        <f>IFERROR(IF(D309=20250,O309/(#REF!/30),O309/(I309/30)),0)</f>
        <v>54.280917739227746</v>
      </c>
      <c r="R309" s="9">
        <f t="shared" si="27"/>
        <v>26.301063234471176</v>
      </c>
    </row>
    <row r="310" spans="1:18" ht="13.15" x14ac:dyDescent="0.45">
      <c r="A310" s="15" t="str">
        <f t="shared" si="23"/>
        <v>420326745</v>
      </c>
      <c r="B310" s="19" t="s">
        <v>90</v>
      </c>
      <c r="C310" s="6" t="e">
        <f>_xlfn.XLOOKUP(B:B,#REF!,#REF!)</f>
        <v>#REF!</v>
      </c>
      <c r="D310" s="19" t="s">
        <v>136</v>
      </c>
      <c r="E310" s="6" t="str">
        <f t="shared" si="24"/>
        <v>420326745</v>
      </c>
      <c r="F310" s="19" t="s">
        <v>138</v>
      </c>
      <c r="G310" s="7" t="e">
        <f>VLOOKUP(D310,#REF!,4,)</f>
        <v>#REF!</v>
      </c>
      <c r="H310" s="6" t="e">
        <f>VLOOKUP(D310,#REF!,5,)</f>
        <v>#REF!</v>
      </c>
      <c r="I310" s="27">
        <v>128.63999999999999</v>
      </c>
      <c r="J310" s="27">
        <v>0</v>
      </c>
      <c r="K310" s="8">
        <f t="shared" si="25"/>
        <v>0</v>
      </c>
      <c r="L310" s="27">
        <v>0</v>
      </c>
      <c r="M310" s="21"/>
      <c r="N310" s="27">
        <v>0</v>
      </c>
      <c r="O310" s="27">
        <v>0</v>
      </c>
      <c r="P310" s="9">
        <f t="shared" si="26"/>
        <v>128.63999999999999</v>
      </c>
      <c r="Q310" s="9">
        <f>IFERROR(IF(D310=20250,O310/(#REF!/30),O310/(I310/30)),0)</f>
        <v>0</v>
      </c>
      <c r="R310" s="9">
        <f t="shared" si="27"/>
        <v>0</v>
      </c>
    </row>
    <row r="311" spans="1:18" ht="13.15" x14ac:dyDescent="0.45">
      <c r="A311" s="15" t="str">
        <f t="shared" si="23"/>
        <v>420304145</v>
      </c>
      <c r="B311" s="19" t="s">
        <v>90</v>
      </c>
      <c r="C311" s="6" t="e">
        <f>_xlfn.XLOOKUP(B:B,#REF!,#REF!)</f>
        <v>#REF!</v>
      </c>
      <c r="D311" s="19" t="s">
        <v>25</v>
      </c>
      <c r="E311" s="6" t="str">
        <f t="shared" si="24"/>
        <v>420304145</v>
      </c>
      <c r="F311" s="19" t="s">
        <v>26</v>
      </c>
      <c r="G311" s="7" t="e">
        <f>VLOOKUP(D311,#REF!,4,)</f>
        <v>#REF!</v>
      </c>
      <c r="H311" s="6" t="e">
        <f>VLOOKUP(D311,#REF!,5,)</f>
        <v>#REF!</v>
      </c>
      <c r="I311" s="27">
        <v>48.42</v>
      </c>
      <c r="J311" s="27">
        <v>144</v>
      </c>
      <c r="K311" s="8">
        <f t="shared" si="25"/>
        <v>2.9739776951672861</v>
      </c>
      <c r="L311" s="27">
        <v>0</v>
      </c>
      <c r="M311" s="21"/>
      <c r="N311" s="27">
        <v>234</v>
      </c>
      <c r="O311" s="27">
        <v>234</v>
      </c>
      <c r="P311" s="9">
        <f t="shared" si="26"/>
        <v>-329.58</v>
      </c>
      <c r="Q311" s="9">
        <f>IFERROR(IF(D311=20250,O311/(#REF!/30),O311/(I311/30)),0)</f>
        <v>144.98141263940519</v>
      </c>
      <c r="R311" s="9">
        <f t="shared" si="27"/>
        <v>144.98141263940519</v>
      </c>
    </row>
    <row r="312" spans="1:18" ht="13.15" x14ac:dyDescent="0.45">
      <c r="A312" s="15" t="str">
        <f t="shared" si="23"/>
        <v>420314248</v>
      </c>
      <c r="B312" s="19" t="s">
        <v>90</v>
      </c>
      <c r="C312" s="6" t="e">
        <f>_xlfn.XLOOKUP(B:B,#REF!,#REF!)</f>
        <v>#REF!</v>
      </c>
      <c r="D312" s="19" t="s">
        <v>29</v>
      </c>
      <c r="E312" s="6" t="str">
        <f t="shared" si="24"/>
        <v>420314248</v>
      </c>
      <c r="F312" s="19" t="s">
        <v>30</v>
      </c>
      <c r="G312" s="7" t="e">
        <f>VLOOKUP(D312,#REF!,4,)</f>
        <v>#REF!</v>
      </c>
      <c r="H312" s="6" t="e">
        <f>VLOOKUP(D312,#REF!,5,)</f>
        <v>#REF!</v>
      </c>
      <c r="I312" s="27">
        <v>1501.4</v>
      </c>
      <c r="J312" s="27">
        <v>860</v>
      </c>
      <c r="K312" s="8">
        <f t="shared" si="25"/>
        <v>0.57279872119355268</v>
      </c>
      <c r="L312" s="27">
        <v>1500</v>
      </c>
      <c r="M312" s="21">
        <v>46168</v>
      </c>
      <c r="N312" s="27">
        <v>930</v>
      </c>
      <c r="O312" s="27">
        <v>2430</v>
      </c>
      <c r="P312" s="9">
        <f t="shared" si="26"/>
        <v>-1788.6</v>
      </c>
      <c r="Q312" s="9">
        <f>IFERROR(IF(D312=20250,O312/(#REF!/30),O312/(I312/30)),0)</f>
        <v>48.554682296523247</v>
      </c>
      <c r="R312" s="9">
        <f t="shared" si="27"/>
        <v>18.582656187558278</v>
      </c>
    </row>
    <row r="313" spans="1:18" ht="13.15" x14ac:dyDescent="0.45">
      <c r="A313" s="15" t="str">
        <f t="shared" si="23"/>
        <v>420315305</v>
      </c>
      <c r="B313" s="19" t="s">
        <v>90</v>
      </c>
      <c r="C313" s="6" t="e">
        <f>_xlfn.XLOOKUP(B:B,#REF!,#REF!)</f>
        <v>#REF!</v>
      </c>
      <c r="D313" s="19" t="s">
        <v>33</v>
      </c>
      <c r="E313" s="6" t="str">
        <f t="shared" si="24"/>
        <v>420315305</v>
      </c>
      <c r="F313" s="19" t="s">
        <v>34</v>
      </c>
      <c r="G313" s="7" t="e">
        <f>VLOOKUP(D313,#REF!,4,)</f>
        <v>#REF!</v>
      </c>
      <c r="H313" s="6" t="e">
        <f>VLOOKUP(D313,#REF!,5,)</f>
        <v>#REF!</v>
      </c>
      <c r="I313" s="27">
        <v>177.03</v>
      </c>
      <c r="J313" s="27">
        <v>63</v>
      </c>
      <c r="K313" s="8">
        <f t="shared" si="25"/>
        <v>0.35587188612099646</v>
      </c>
      <c r="L313" s="27">
        <v>0</v>
      </c>
      <c r="M313" s="21"/>
      <c r="N313" s="27">
        <v>297</v>
      </c>
      <c r="O313" s="27">
        <v>297</v>
      </c>
      <c r="P313" s="9">
        <f t="shared" si="26"/>
        <v>-182.97</v>
      </c>
      <c r="Q313" s="9">
        <f>IFERROR(IF(D313=20250,O313/(#REF!/30),O313/(I313/30)),0)</f>
        <v>50.330452465683784</v>
      </c>
      <c r="R313" s="9">
        <f t="shared" si="27"/>
        <v>50.330452465683784</v>
      </c>
    </row>
    <row r="314" spans="1:18" ht="13.15" x14ac:dyDescent="0.45">
      <c r="A314" s="15" t="str">
        <f t="shared" si="23"/>
        <v>420315312</v>
      </c>
      <c r="B314" s="19" t="s">
        <v>90</v>
      </c>
      <c r="C314" s="6" t="e">
        <f>_xlfn.XLOOKUP(B:B,#REF!,#REF!)</f>
        <v>#REF!</v>
      </c>
      <c r="D314" s="19" t="s">
        <v>35</v>
      </c>
      <c r="E314" s="6" t="str">
        <f t="shared" si="24"/>
        <v>420315312</v>
      </c>
      <c r="F314" s="19" t="s">
        <v>36</v>
      </c>
      <c r="G314" s="7" t="e">
        <f>VLOOKUP(D314,#REF!,4,)</f>
        <v>#REF!</v>
      </c>
      <c r="H314" s="6" t="e">
        <f>VLOOKUP(D314,#REF!,5,)</f>
        <v>#REF!</v>
      </c>
      <c r="I314" s="27">
        <v>177.03</v>
      </c>
      <c r="J314" s="27">
        <v>45</v>
      </c>
      <c r="K314" s="8">
        <f t="shared" si="25"/>
        <v>0.2541942043721403</v>
      </c>
      <c r="L314" s="27">
        <v>180</v>
      </c>
      <c r="M314" s="21">
        <v>46168</v>
      </c>
      <c r="N314" s="27">
        <v>135</v>
      </c>
      <c r="O314" s="27">
        <v>315</v>
      </c>
      <c r="P314" s="9">
        <f t="shared" si="26"/>
        <v>-182.97</v>
      </c>
      <c r="Q314" s="9">
        <f>IFERROR(IF(D314=20250,O314/(#REF!/30),O314/(I314/30)),0)</f>
        <v>53.380782918149471</v>
      </c>
      <c r="R314" s="9">
        <f t="shared" si="27"/>
        <v>22.87747839349263</v>
      </c>
    </row>
    <row r="315" spans="1:18" ht="13.15" x14ac:dyDescent="0.45">
      <c r="A315" s="15" t="str">
        <f t="shared" si="23"/>
        <v>420316407</v>
      </c>
      <c r="B315" s="19" t="s">
        <v>90</v>
      </c>
      <c r="C315" s="6" t="e">
        <f>_xlfn.XLOOKUP(B:B,#REF!,#REF!)</f>
        <v>#REF!</v>
      </c>
      <c r="D315" s="19" t="s">
        <v>37</v>
      </c>
      <c r="E315" s="6" t="str">
        <f t="shared" si="24"/>
        <v>420316407</v>
      </c>
      <c r="F315" s="19" t="s">
        <v>38</v>
      </c>
      <c r="G315" s="7" t="e">
        <f>VLOOKUP(D315,#REF!,4,)</f>
        <v>#REF!</v>
      </c>
      <c r="H315" s="6" t="e">
        <f>VLOOKUP(D315,#REF!,5,)</f>
        <v>#REF!</v>
      </c>
      <c r="I315" s="27">
        <v>386.91</v>
      </c>
      <c r="J315" s="27">
        <v>153</v>
      </c>
      <c r="K315" s="8">
        <f t="shared" si="25"/>
        <v>0.39544080018608974</v>
      </c>
      <c r="L315" s="27">
        <v>297</v>
      </c>
      <c r="M315" s="21">
        <v>46168</v>
      </c>
      <c r="N315" s="27">
        <v>234</v>
      </c>
      <c r="O315" s="27">
        <v>531</v>
      </c>
      <c r="P315" s="9">
        <f t="shared" si="26"/>
        <v>-297.08999999999997</v>
      </c>
      <c r="Q315" s="9">
        <f>IFERROR(IF(D315=20250,O315/(#REF!/30),O315/(I315/30)),0)</f>
        <v>41.172365666434054</v>
      </c>
      <c r="R315" s="9">
        <f t="shared" si="27"/>
        <v>18.143754361479413</v>
      </c>
    </row>
    <row r="316" spans="1:18" ht="13.15" x14ac:dyDescent="0.45">
      <c r="A316" s="15" t="str">
        <f t="shared" si="23"/>
        <v>420300189</v>
      </c>
      <c r="B316" s="19" t="s">
        <v>90</v>
      </c>
      <c r="C316" s="6" t="e">
        <f>_xlfn.XLOOKUP(B:B,#REF!,#REF!)</f>
        <v>#REF!</v>
      </c>
      <c r="D316" s="19" t="s">
        <v>39</v>
      </c>
      <c r="E316" s="6" t="str">
        <f t="shared" si="24"/>
        <v>420300189</v>
      </c>
      <c r="F316" s="19" t="s">
        <v>109</v>
      </c>
      <c r="G316" s="7" t="e">
        <f>VLOOKUP(D316,#REF!,4,)</f>
        <v>#REF!</v>
      </c>
      <c r="H316" s="6" t="e">
        <f>VLOOKUP(D316,#REF!,5,)</f>
        <v>#REF!</v>
      </c>
      <c r="I316" s="27">
        <v>82045.440000000002</v>
      </c>
      <c r="J316" s="27">
        <v>46584</v>
      </c>
      <c r="K316" s="8">
        <f t="shared" si="25"/>
        <v>0.56778292614434145</v>
      </c>
      <c r="L316" s="27">
        <v>15288</v>
      </c>
      <c r="M316" s="21">
        <v>46169</v>
      </c>
      <c r="N316" s="27">
        <v>30240</v>
      </c>
      <c r="O316" s="27">
        <v>45528</v>
      </c>
      <c r="P316" s="9">
        <f t="shared" si="26"/>
        <v>-10066.559999999998</v>
      </c>
      <c r="Q316" s="9">
        <f>IFERROR(IF(D316=20250,O316/(#REF!/30),O316/(I316/30)),0)</f>
        <v>16.647360292052795</v>
      </c>
      <c r="R316" s="9">
        <f t="shared" si="27"/>
        <v>11.057287278854254</v>
      </c>
    </row>
    <row r="317" spans="1:18" ht="13.15" x14ac:dyDescent="0.45">
      <c r="A317" s="15" t="str">
        <f t="shared" si="23"/>
        <v>420301167</v>
      </c>
      <c r="B317" s="19" t="s">
        <v>90</v>
      </c>
      <c r="C317" s="6" t="e">
        <f>_xlfn.XLOOKUP(B:B,#REF!,#REF!)</f>
        <v>#REF!</v>
      </c>
      <c r="D317" s="19" t="s">
        <v>40</v>
      </c>
      <c r="E317" s="6" t="str">
        <f t="shared" si="24"/>
        <v>420301167</v>
      </c>
      <c r="F317" s="19" t="s">
        <v>41</v>
      </c>
      <c r="G317" s="7" t="e">
        <f>VLOOKUP(D317,#REF!,4,)</f>
        <v>#REF!</v>
      </c>
      <c r="H317" s="6" t="e">
        <f>VLOOKUP(D317,#REF!,5,)</f>
        <v>#REF!</v>
      </c>
      <c r="I317" s="27">
        <v>1286.6400000000001</v>
      </c>
      <c r="J317" s="27">
        <v>732</v>
      </c>
      <c r="K317" s="8">
        <f t="shared" si="25"/>
        <v>0.56892370826338368</v>
      </c>
      <c r="L317" s="27">
        <v>0</v>
      </c>
      <c r="M317" s="21"/>
      <c r="N317" s="27">
        <v>1344</v>
      </c>
      <c r="O317" s="27">
        <v>1344</v>
      </c>
      <c r="P317" s="9">
        <f t="shared" si="26"/>
        <v>-789.3599999999999</v>
      </c>
      <c r="Q317" s="9">
        <f>IFERROR(IF(D317=20250,O317/(#REF!/30),O317/(I317/30)),0)</f>
        <v>31.337437045327359</v>
      </c>
      <c r="R317" s="9">
        <f t="shared" si="27"/>
        <v>31.337437045327359</v>
      </c>
    </row>
    <row r="318" spans="1:18" ht="13.15" x14ac:dyDescent="0.45">
      <c r="A318" s="15" t="str">
        <f t="shared" si="23"/>
        <v>420301296</v>
      </c>
      <c r="B318" s="19" t="s">
        <v>90</v>
      </c>
      <c r="C318" s="6" t="e">
        <f>_xlfn.XLOOKUP(B:B,#REF!,#REF!)</f>
        <v>#REF!</v>
      </c>
      <c r="D318" s="19" t="s">
        <v>14</v>
      </c>
      <c r="E318" s="6" t="str">
        <f t="shared" si="24"/>
        <v>420301296</v>
      </c>
      <c r="F318" s="19" t="s">
        <v>15</v>
      </c>
      <c r="G318" s="7" t="e">
        <f>VLOOKUP(D318,#REF!,4,)</f>
        <v>#REF!</v>
      </c>
      <c r="H318" s="6" t="e">
        <f>VLOOKUP(D318,#REF!,5,)</f>
        <v>#REF!</v>
      </c>
      <c r="I318" s="27">
        <v>1350.96</v>
      </c>
      <c r="J318" s="27">
        <v>240</v>
      </c>
      <c r="K318" s="8">
        <f t="shared" si="25"/>
        <v>0.17765144785930004</v>
      </c>
      <c r="L318" s="27">
        <v>0</v>
      </c>
      <c r="M318" s="21"/>
      <c r="N318" s="27">
        <v>1116</v>
      </c>
      <c r="O318" s="27">
        <v>1116</v>
      </c>
      <c r="P318" s="9">
        <f t="shared" si="26"/>
        <v>-5.0399999999999636</v>
      </c>
      <c r="Q318" s="9">
        <f>IFERROR(IF(D318=20250,O318/(#REF!/30),O318/(I318/30)),0)</f>
        <v>24.782376976372355</v>
      </c>
      <c r="R318" s="9">
        <f t="shared" si="27"/>
        <v>24.782376976372355</v>
      </c>
    </row>
    <row r="319" spans="1:18" ht="13.15" x14ac:dyDescent="0.45">
      <c r="A319" s="15" t="str">
        <f t="shared" si="23"/>
        <v>420302122</v>
      </c>
      <c r="B319" s="19" t="s">
        <v>90</v>
      </c>
      <c r="C319" s="6" t="e">
        <f>_xlfn.XLOOKUP(B:B,#REF!,#REF!)</f>
        <v>#REF!</v>
      </c>
      <c r="D319" s="19" t="s">
        <v>42</v>
      </c>
      <c r="E319" s="6" t="str">
        <f t="shared" si="24"/>
        <v>420302122</v>
      </c>
      <c r="F319" s="19" t="s">
        <v>43</v>
      </c>
      <c r="G319" s="7" t="e">
        <f>VLOOKUP(D319,#REF!,4,)</f>
        <v>#REF!</v>
      </c>
      <c r="H319" s="6" t="e">
        <f>VLOOKUP(D319,#REF!,5,)</f>
        <v>#REF!</v>
      </c>
      <c r="I319" s="27">
        <v>257.27999999999997</v>
      </c>
      <c r="J319" s="27">
        <v>108</v>
      </c>
      <c r="K319" s="8">
        <f t="shared" si="25"/>
        <v>0.41977611940298509</v>
      </c>
      <c r="L319" s="27">
        <v>0</v>
      </c>
      <c r="M319" s="21"/>
      <c r="N319" s="27">
        <v>360</v>
      </c>
      <c r="O319" s="27">
        <v>360</v>
      </c>
      <c r="P319" s="9">
        <f t="shared" si="26"/>
        <v>-210.72000000000003</v>
      </c>
      <c r="Q319" s="9">
        <f>IFERROR(IF(D319=20250,O319/(#REF!/30),O319/(I319/30)),0)</f>
        <v>41.977611940298516</v>
      </c>
      <c r="R319" s="9">
        <f t="shared" si="27"/>
        <v>41.977611940298516</v>
      </c>
    </row>
    <row r="320" spans="1:18" ht="13.15" x14ac:dyDescent="0.45">
      <c r="A320" s="15" t="str">
        <f t="shared" si="23"/>
        <v>420306982</v>
      </c>
      <c r="B320" s="19" t="s">
        <v>90</v>
      </c>
      <c r="C320" s="6" t="e">
        <f>_xlfn.XLOOKUP(B:B,#REF!,#REF!)</f>
        <v>#REF!</v>
      </c>
      <c r="D320" s="19" t="s">
        <v>46</v>
      </c>
      <c r="E320" s="6" t="str">
        <f t="shared" si="24"/>
        <v>420306982</v>
      </c>
      <c r="F320" s="19" t="s">
        <v>47</v>
      </c>
      <c r="G320" s="7" t="e">
        <f>VLOOKUP(D320,#REF!,4,)</f>
        <v>#REF!</v>
      </c>
      <c r="H320" s="6" t="e">
        <f>VLOOKUP(D320,#REF!,5,)</f>
        <v>#REF!</v>
      </c>
      <c r="I320" s="27">
        <v>0</v>
      </c>
      <c r="J320" s="27">
        <v>0</v>
      </c>
      <c r="K320" s="8">
        <f t="shared" si="25"/>
        <v>0</v>
      </c>
      <c r="L320" s="27">
        <v>0</v>
      </c>
      <c r="M320" s="21"/>
      <c r="N320" s="27">
        <v>504</v>
      </c>
      <c r="O320" s="27">
        <v>504</v>
      </c>
      <c r="P320" s="9">
        <f t="shared" si="26"/>
        <v>-504</v>
      </c>
      <c r="Q320" s="9">
        <f>IFERROR(IF(D320=20250,O320/(#REF!/30),O320/(I320/30)),0)</f>
        <v>0</v>
      </c>
      <c r="R320" s="9">
        <f t="shared" si="27"/>
        <v>0</v>
      </c>
    </row>
    <row r="321" spans="1:18" ht="13.15" x14ac:dyDescent="0.45">
      <c r="A321" s="15" t="str">
        <f t="shared" si="23"/>
        <v>420307310</v>
      </c>
      <c r="B321" s="19" t="s">
        <v>90</v>
      </c>
      <c r="C321" s="6" t="e">
        <f>_xlfn.XLOOKUP(B:B,#REF!,#REF!)</f>
        <v>#REF!</v>
      </c>
      <c r="D321" s="19" t="s">
        <v>16</v>
      </c>
      <c r="E321" s="6" t="str">
        <f t="shared" si="24"/>
        <v>420307310</v>
      </c>
      <c r="F321" s="19" t="s">
        <v>17</v>
      </c>
      <c r="G321" s="7" t="e">
        <f>VLOOKUP(D321,#REF!,4,)</f>
        <v>#REF!</v>
      </c>
      <c r="H321" s="6" t="e">
        <f>VLOOKUP(D321,#REF!,5,)</f>
        <v>#REF!</v>
      </c>
      <c r="I321" s="27">
        <v>5147.76</v>
      </c>
      <c r="J321" s="27">
        <v>4104</v>
      </c>
      <c r="K321" s="8">
        <f t="shared" si="25"/>
        <v>0.79723996456711266</v>
      </c>
      <c r="L321" s="27">
        <v>9576</v>
      </c>
      <c r="M321" s="21">
        <v>46168</v>
      </c>
      <c r="N321" s="27">
        <v>1668</v>
      </c>
      <c r="O321" s="27">
        <v>11244</v>
      </c>
      <c r="P321" s="9">
        <f t="shared" si="26"/>
        <v>-10200.24</v>
      </c>
      <c r="Q321" s="9">
        <f>IFERROR(IF(D321=20250,O321/(#REF!/30),O321/(I321/30)),0)</f>
        <v>65.527530420998644</v>
      </c>
      <c r="R321" s="9">
        <f t="shared" si="27"/>
        <v>9.7207329013007584</v>
      </c>
    </row>
    <row r="322" spans="1:18" ht="13.15" x14ac:dyDescent="0.45">
      <c r="A322" s="15" t="str">
        <f t="shared" si="23"/>
        <v>420308529</v>
      </c>
      <c r="B322" s="19" t="s">
        <v>90</v>
      </c>
      <c r="C322" s="6" t="e">
        <f>_xlfn.XLOOKUP(B:B,#REF!,#REF!)</f>
        <v>#REF!</v>
      </c>
      <c r="D322" s="19" t="s">
        <v>48</v>
      </c>
      <c r="E322" s="6" t="str">
        <f t="shared" si="24"/>
        <v>420308529</v>
      </c>
      <c r="F322" s="19" t="s">
        <v>49</v>
      </c>
      <c r="G322" s="7" t="e">
        <f>VLOOKUP(D322,#REF!,4,)</f>
        <v>#REF!</v>
      </c>
      <c r="H322" s="6" t="e">
        <f>VLOOKUP(D322,#REF!,5,)</f>
        <v>#REF!</v>
      </c>
      <c r="I322" s="27">
        <v>11904</v>
      </c>
      <c r="J322" s="27">
        <v>5952</v>
      </c>
      <c r="K322" s="8">
        <f t="shared" si="25"/>
        <v>0.5</v>
      </c>
      <c r="L322" s="27">
        <v>6984</v>
      </c>
      <c r="M322" s="21">
        <v>46169</v>
      </c>
      <c r="N322" s="27">
        <v>6048</v>
      </c>
      <c r="O322" s="27">
        <v>13032</v>
      </c>
      <c r="P322" s="9">
        <f t="shared" si="26"/>
        <v>-7080</v>
      </c>
      <c r="Q322" s="9">
        <f>IFERROR(IF(D322=20250,O322/(#REF!/30),O322/(I322/30)),0)</f>
        <v>32.842741935483872</v>
      </c>
      <c r="R322" s="9">
        <f t="shared" si="27"/>
        <v>15.241935483870968</v>
      </c>
    </row>
    <row r="323" spans="1:18" ht="13.15" x14ac:dyDescent="0.45">
      <c r="A323" s="15" t="str">
        <f t="shared" si="23"/>
        <v>420313678</v>
      </c>
      <c r="B323" s="19" t="s">
        <v>90</v>
      </c>
      <c r="C323" s="6" t="e">
        <f>_xlfn.XLOOKUP(B:B,#REF!,#REF!)</f>
        <v>#REF!</v>
      </c>
      <c r="D323" s="19" t="s">
        <v>50</v>
      </c>
      <c r="E323" s="6" t="str">
        <f t="shared" si="24"/>
        <v>420313678</v>
      </c>
      <c r="F323" s="19" t="s">
        <v>51</v>
      </c>
      <c r="G323" s="7" t="e">
        <f>VLOOKUP(D323,#REF!,4,)</f>
        <v>#REF!</v>
      </c>
      <c r="H323" s="6" t="e">
        <f>VLOOKUP(D323,#REF!,5,)</f>
        <v>#REF!</v>
      </c>
      <c r="I323" s="27">
        <v>1929.96</v>
      </c>
      <c r="J323" s="27">
        <v>996</v>
      </c>
      <c r="K323" s="8">
        <f t="shared" si="25"/>
        <v>0.51607287197662122</v>
      </c>
      <c r="L323" s="27">
        <v>1200</v>
      </c>
      <c r="M323" s="21">
        <v>46169</v>
      </c>
      <c r="N323" s="27">
        <v>1056</v>
      </c>
      <c r="O323" s="27">
        <v>2256</v>
      </c>
      <c r="P323" s="9">
        <f t="shared" si="26"/>
        <v>-1322.04</v>
      </c>
      <c r="Q323" s="9">
        <f>IFERROR(IF(D323=20250,O323/(#REF!/30),O323/(I323/30)),0)</f>
        <v>35.068084312628237</v>
      </c>
      <c r="R323" s="9">
        <f t="shared" si="27"/>
        <v>16.414847976123855</v>
      </c>
    </row>
    <row r="324" spans="1:18" ht="13.15" x14ac:dyDescent="0.45">
      <c r="A324" s="15" t="str">
        <f t="shared" ref="A324:A387" si="28">B324&amp;D324</f>
        <v>420314654</v>
      </c>
      <c r="B324" s="19" t="s">
        <v>90</v>
      </c>
      <c r="C324" s="6" t="e">
        <f>_xlfn.XLOOKUP(B:B,#REF!,#REF!)</f>
        <v>#REF!</v>
      </c>
      <c r="D324" s="19" t="s">
        <v>52</v>
      </c>
      <c r="E324" s="6" t="str">
        <f t="shared" ref="E324:E387" si="29">B324&amp;D324</f>
        <v>420314654</v>
      </c>
      <c r="F324" s="19" t="s">
        <v>53</v>
      </c>
      <c r="G324" s="7" t="e">
        <f>VLOOKUP(D324,#REF!,4,)</f>
        <v>#REF!</v>
      </c>
      <c r="H324" s="6" t="e">
        <f>VLOOKUP(D324,#REF!,5,)</f>
        <v>#REF!</v>
      </c>
      <c r="I324" s="27">
        <v>2573.2800000000002</v>
      </c>
      <c r="J324" s="27">
        <v>288</v>
      </c>
      <c r="K324" s="8">
        <f t="shared" ref="K324:K387" si="30">IFERROR(J324/I324,0)</f>
        <v>0.11191941801902629</v>
      </c>
      <c r="L324" s="27">
        <v>504</v>
      </c>
      <c r="M324" s="21">
        <v>46169</v>
      </c>
      <c r="N324" s="27">
        <v>2304</v>
      </c>
      <c r="O324" s="27">
        <v>2808</v>
      </c>
      <c r="P324" s="9">
        <f t="shared" ref="P324:P387" si="31">I324-J324-O324</f>
        <v>-522.7199999999998</v>
      </c>
      <c r="Q324" s="9">
        <f>IFERROR(IF(D324=20250,O324/(#REF!/30),O324/(I324/30)),0)</f>
        <v>32.736429770565188</v>
      </c>
      <c r="R324" s="9">
        <f t="shared" ref="R324:R387" si="32">IFERROR(N324/(I324/30),0)</f>
        <v>26.860660324566307</v>
      </c>
    </row>
    <row r="325" spans="1:18" ht="13.15" x14ac:dyDescent="0.45">
      <c r="A325" s="15" t="str">
        <f t="shared" si="28"/>
        <v>420314788</v>
      </c>
      <c r="B325" s="19" t="s">
        <v>90</v>
      </c>
      <c r="C325" s="6" t="e">
        <f>_xlfn.XLOOKUP(B:B,#REF!,#REF!)</f>
        <v>#REF!</v>
      </c>
      <c r="D325" s="19" t="s">
        <v>54</v>
      </c>
      <c r="E325" s="6" t="str">
        <f t="shared" si="29"/>
        <v>420314788</v>
      </c>
      <c r="F325" s="19" t="s">
        <v>55</v>
      </c>
      <c r="G325" s="7" t="e">
        <f>VLOOKUP(D325,#REF!,4,)</f>
        <v>#REF!</v>
      </c>
      <c r="H325" s="6" t="e">
        <f>VLOOKUP(D325,#REF!,5,)</f>
        <v>#REF!</v>
      </c>
      <c r="I325" s="27">
        <v>14401.2</v>
      </c>
      <c r="J325" s="27">
        <v>11388</v>
      </c>
      <c r="K325" s="8">
        <f t="shared" si="30"/>
        <v>0.79076743604699606</v>
      </c>
      <c r="L325" s="27">
        <v>13212</v>
      </c>
      <c r="M325" s="21">
        <v>46169</v>
      </c>
      <c r="N325" s="27">
        <v>4488</v>
      </c>
      <c r="O325" s="27">
        <v>17700</v>
      </c>
      <c r="P325" s="9">
        <f t="shared" si="31"/>
        <v>-14686.8</v>
      </c>
      <c r="Q325" s="9">
        <f>IFERROR(IF(D325=20250,O325/(#REF!/30),O325/(I325/30)),0)</f>
        <v>36.871927339388385</v>
      </c>
      <c r="R325" s="9">
        <f t="shared" si="32"/>
        <v>9.3492208982584781</v>
      </c>
    </row>
    <row r="326" spans="1:18" ht="13.15" x14ac:dyDescent="0.45">
      <c r="A326" s="15" t="str">
        <f t="shared" si="28"/>
        <v>420315536</v>
      </c>
      <c r="B326" s="19" t="s">
        <v>90</v>
      </c>
      <c r="C326" s="6" t="e">
        <f>_xlfn.XLOOKUP(B:B,#REF!,#REF!)</f>
        <v>#REF!</v>
      </c>
      <c r="D326" s="19" t="s">
        <v>56</v>
      </c>
      <c r="E326" s="6" t="str">
        <f t="shared" si="29"/>
        <v>420315536</v>
      </c>
      <c r="F326" s="19" t="s">
        <v>57</v>
      </c>
      <c r="G326" s="7" t="e">
        <f>VLOOKUP(D326,#REF!,4,)</f>
        <v>#REF!</v>
      </c>
      <c r="H326" s="6" t="e">
        <f>VLOOKUP(D326,#REF!,5,)</f>
        <v>#REF!</v>
      </c>
      <c r="I326" s="27">
        <v>16409.400000000001</v>
      </c>
      <c r="J326" s="27">
        <v>5664</v>
      </c>
      <c r="K326" s="8">
        <f t="shared" si="30"/>
        <v>0.34516801345570219</v>
      </c>
      <c r="L326" s="27">
        <v>7200</v>
      </c>
      <c r="M326" s="21">
        <v>46168</v>
      </c>
      <c r="N326" s="27">
        <v>16260</v>
      </c>
      <c r="O326" s="27">
        <v>23460</v>
      </c>
      <c r="P326" s="9">
        <f t="shared" si="31"/>
        <v>-12714.599999999999</v>
      </c>
      <c r="Q326" s="9">
        <f>IFERROR(IF(D326=20250,O326/(#REF!/30),O326/(I326/30)),0)</f>
        <v>42.890050824527407</v>
      </c>
      <c r="R326" s="9">
        <f t="shared" si="32"/>
        <v>29.72686387070825</v>
      </c>
    </row>
    <row r="327" spans="1:18" ht="13.15" x14ac:dyDescent="0.45">
      <c r="A327" s="15" t="str">
        <f t="shared" si="28"/>
        <v>420316336</v>
      </c>
      <c r="B327" s="19" t="s">
        <v>90</v>
      </c>
      <c r="C327" s="6" t="e">
        <f>_xlfn.XLOOKUP(B:B,#REF!,#REF!)</f>
        <v>#REF!</v>
      </c>
      <c r="D327" s="19" t="s">
        <v>20</v>
      </c>
      <c r="E327" s="6" t="str">
        <f t="shared" si="29"/>
        <v>420316336</v>
      </c>
      <c r="F327" s="19" t="s">
        <v>21</v>
      </c>
      <c r="G327" s="7" t="e">
        <f>VLOOKUP(D327,#REF!,4,)</f>
        <v>#REF!</v>
      </c>
      <c r="H327" s="6" t="e">
        <f>VLOOKUP(D327,#REF!,5,)</f>
        <v>#REF!</v>
      </c>
      <c r="I327" s="27">
        <v>90877.2</v>
      </c>
      <c r="J327" s="27">
        <v>64020</v>
      </c>
      <c r="K327" s="8">
        <f t="shared" si="30"/>
        <v>0.70446712706817549</v>
      </c>
      <c r="L327" s="27">
        <v>11592</v>
      </c>
      <c r="M327" s="21">
        <v>46169</v>
      </c>
      <c r="N327" s="27">
        <v>29928</v>
      </c>
      <c r="O327" s="27">
        <v>41520</v>
      </c>
      <c r="P327" s="9">
        <f t="shared" si="31"/>
        <v>-14662.800000000003</v>
      </c>
      <c r="Q327" s="9">
        <f>IFERROR(IF(D327=20250,O327/(#REF!/30),O327/(I327/30)),0)</f>
        <v>13.706408207999367</v>
      </c>
      <c r="R327" s="9">
        <f t="shared" si="32"/>
        <v>9.8797058007949197</v>
      </c>
    </row>
    <row r="328" spans="1:18" ht="13.15" x14ac:dyDescent="0.45">
      <c r="A328" s="15" t="str">
        <f t="shared" si="28"/>
        <v>420316984</v>
      </c>
      <c r="B328" s="19" t="s">
        <v>90</v>
      </c>
      <c r="C328" s="6" t="e">
        <f>_xlfn.XLOOKUP(B:B,#REF!,#REF!)</f>
        <v>#REF!</v>
      </c>
      <c r="D328" s="19" t="s">
        <v>60</v>
      </c>
      <c r="E328" s="6" t="str">
        <f t="shared" si="29"/>
        <v>420316984</v>
      </c>
      <c r="F328" s="19" t="s">
        <v>61</v>
      </c>
      <c r="G328" s="7" t="e">
        <f>VLOOKUP(D328,#REF!,4,)</f>
        <v>#REF!</v>
      </c>
      <c r="H328" s="6" t="e">
        <f>VLOOKUP(D328,#REF!,5,)</f>
        <v>#REF!</v>
      </c>
      <c r="I328" s="27">
        <v>128.63999999999999</v>
      </c>
      <c r="J328" s="27">
        <v>60</v>
      </c>
      <c r="K328" s="8">
        <f t="shared" si="30"/>
        <v>0.46641791044776126</v>
      </c>
      <c r="L328" s="27">
        <v>48</v>
      </c>
      <c r="M328" s="21">
        <v>46166</v>
      </c>
      <c r="N328" s="27">
        <v>24</v>
      </c>
      <c r="O328" s="27">
        <v>72</v>
      </c>
      <c r="P328" s="9">
        <f t="shared" si="31"/>
        <v>-3.3600000000000136</v>
      </c>
      <c r="Q328" s="9">
        <f>IFERROR(IF(D328=20250,O328/(#REF!/30),O328/(I328/30)),0)</f>
        <v>16.791044776119406</v>
      </c>
      <c r="R328" s="9">
        <f t="shared" si="32"/>
        <v>5.5970149253731352</v>
      </c>
    </row>
    <row r="329" spans="1:18" ht="13.15" x14ac:dyDescent="0.45">
      <c r="A329" s="15" t="str">
        <f t="shared" si="28"/>
        <v>420316998</v>
      </c>
      <c r="B329" s="19" t="s">
        <v>90</v>
      </c>
      <c r="C329" s="6" t="e">
        <f>_xlfn.XLOOKUP(B:B,#REF!,#REF!)</f>
        <v>#REF!</v>
      </c>
      <c r="D329" s="19" t="s">
        <v>62</v>
      </c>
      <c r="E329" s="6" t="str">
        <f t="shared" si="29"/>
        <v>420316998</v>
      </c>
      <c r="F329" s="19" t="s">
        <v>63</v>
      </c>
      <c r="G329" s="7" t="e">
        <f>VLOOKUP(D329,#REF!,4,)</f>
        <v>#REF!</v>
      </c>
      <c r="H329" s="6" t="e">
        <f>VLOOKUP(D329,#REF!,5,)</f>
        <v>#REF!</v>
      </c>
      <c r="I329" s="27">
        <v>1093.56</v>
      </c>
      <c r="J329" s="27">
        <v>660</v>
      </c>
      <c r="K329" s="8">
        <f t="shared" si="30"/>
        <v>0.60353341380445524</v>
      </c>
      <c r="L329" s="27">
        <v>0</v>
      </c>
      <c r="M329" s="21"/>
      <c r="N329" s="27">
        <v>1392</v>
      </c>
      <c r="O329" s="27">
        <v>1392</v>
      </c>
      <c r="P329" s="9">
        <f t="shared" si="31"/>
        <v>-958.44</v>
      </c>
      <c r="Q329" s="9">
        <f>IFERROR(IF(D329=20250,O329/(#REF!/30),O329/(I329/30)),0)</f>
        <v>38.187205091627348</v>
      </c>
      <c r="R329" s="9">
        <f t="shared" si="32"/>
        <v>38.187205091627348</v>
      </c>
    </row>
    <row r="330" spans="1:18" ht="13.15" x14ac:dyDescent="0.45">
      <c r="A330" s="15" t="str">
        <f t="shared" si="28"/>
        <v>420318098</v>
      </c>
      <c r="B330" s="19" t="s">
        <v>90</v>
      </c>
      <c r="C330" s="6" t="e">
        <f>_xlfn.XLOOKUP(B:B,#REF!,#REF!)</f>
        <v>#REF!</v>
      </c>
      <c r="D330" s="19" t="s">
        <v>64</v>
      </c>
      <c r="E330" s="6" t="str">
        <f t="shared" si="29"/>
        <v>420318098</v>
      </c>
      <c r="F330" s="19" t="s">
        <v>131</v>
      </c>
      <c r="G330" s="7" t="e">
        <f>VLOOKUP(D330,#REF!,4,)</f>
        <v>#REF!</v>
      </c>
      <c r="H330" s="6" t="e">
        <f>VLOOKUP(D330,#REF!,5,)</f>
        <v>#REF!</v>
      </c>
      <c r="I330" s="27">
        <v>964.92</v>
      </c>
      <c r="J330" s="27">
        <v>240</v>
      </c>
      <c r="K330" s="8">
        <f t="shared" si="30"/>
        <v>0.24872528292500934</v>
      </c>
      <c r="L330" s="27">
        <v>0</v>
      </c>
      <c r="M330" s="21"/>
      <c r="N330" s="27">
        <v>1560</v>
      </c>
      <c r="O330" s="27">
        <v>1560</v>
      </c>
      <c r="P330" s="9">
        <f t="shared" si="31"/>
        <v>-835.08</v>
      </c>
      <c r="Q330" s="9">
        <f>IFERROR(IF(D330=20250,O330/(#REF!/30),O330/(I330/30)),0)</f>
        <v>48.501430170376814</v>
      </c>
      <c r="R330" s="9">
        <f t="shared" si="32"/>
        <v>48.501430170376814</v>
      </c>
    </row>
    <row r="331" spans="1:18" ht="13.15" x14ac:dyDescent="0.45">
      <c r="A331" s="15" t="str">
        <f t="shared" si="28"/>
        <v>420320308</v>
      </c>
      <c r="B331" s="19" t="s">
        <v>90</v>
      </c>
      <c r="C331" s="6" t="e">
        <f>_xlfn.XLOOKUP(B:B,#REF!,#REF!)</f>
        <v>#REF!</v>
      </c>
      <c r="D331" s="19" t="s">
        <v>84</v>
      </c>
      <c r="E331" s="6" t="str">
        <f t="shared" si="29"/>
        <v>420320308</v>
      </c>
      <c r="F331" s="19" t="s">
        <v>108</v>
      </c>
      <c r="G331" s="7" t="e">
        <f>VLOOKUP(D331,#REF!,4,)</f>
        <v>#REF!</v>
      </c>
      <c r="H331" s="6" t="e">
        <f>VLOOKUP(D331,#REF!,5,)</f>
        <v>#REF!</v>
      </c>
      <c r="I331" s="27">
        <v>4504.4399999999996</v>
      </c>
      <c r="J331" s="27">
        <v>0</v>
      </c>
      <c r="K331" s="8">
        <f t="shared" si="30"/>
        <v>0</v>
      </c>
      <c r="L331" s="27">
        <v>0</v>
      </c>
      <c r="M331" s="21"/>
      <c r="N331" s="27">
        <v>5820</v>
      </c>
      <c r="O331" s="27">
        <v>5820</v>
      </c>
      <c r="P331" s="9">
        <f t="shared" si="31"/>
        <v>-1315.5600000000004</v>
      </c>
      <c r="Q331" s="9">
        <f>IFERROR(IF(D331=20250,O331/(#REF!/30),O331/(I331/30)),0)</f>
        <v>38.761755068332576</v>
      </c>
      <c r="R331" s="9">
        <f t="shared" si="32"/>
        <v>38.761755068332576</v>
      </c>
    </row>
    <row r="332" spans="1:18" ht="13.15" x14ac:dyDescent="0.45">
      <c r="A332" s="15" t="str">
        <f t="shared" si="28"/>
        <v>420320827</v>
      </c>
      <c r="B332" s="19" t="s">
        <v>90</v>
      </c>
      <c r="C332" s="6" t="e">
        <f>_xlfn.XLOOKUP(B:B,#REF!,#REF!)</f>
        <v>#REF!</v>
      </c>
      <c r="D332" s="19" t="s">
        <v>85</v>
      </c>
      <c r="E332" s="6" t="str">
        <f t="shared" si="29"/>
        <v>420320827</v>
      </c>
      <c r="F332" s="19" t="s">
        <v>86</v>
      </c>
      <c r="G332" s="7" t="e">
        <f>VLOOKUP(D332,#REF!,4,)</f>
        <v>#REF!</v>
      </c>
      <c r="H332" s="6" t="e">
        <f>VLOOKUP(D332,#REF!,5,)</f>
        <v>#REF!</v>
      </c>
      <c r="I332" s="27">
        <v>1286.6400000000001</v>
      </c>
      <c r="J332" s="27">
        <v>900</v>
      </c>
      <c r="K332" s="8">
        <f t="shared" si="30"/>
        <v>0.69949636261891435</v>
      </c>
      <c r="L332" s="27">
        <v>0</v>
      </c>
      <c r="M332" s="21"/>
      <c r="N332" s="27">
        <v>1248</v>
      </c>
      <c r="O332" s="27">
        <v>1248</v>
      </c>
      <c r="P332" s="9">
        <f t="shared" si="31"/>
        <v>-861.3599999999999</v>
      </c>
      <c r="Q332" s="9">
        <f>IFERROR(IF(D332=20250,O332/(#REF!/30),O332/(I332/30)),0)</f>
        <v>29.099048684946833</v>
      </c>
      <c r="R332" s="9">
        <f t="shared" si="32"/>
        <v>29.099048684946833</v>
      </c>
    </row>
    <row r="333" spans="1:18" ht="13.15" x14ac:dyDescent="0.45">
      <c r="A333" s="15" t="str">
        <f t="shared" si="28"/>
        <v>420321910</v>
      </c>
      <c r="B333" s="19" t="s">
        <v>90</v>
      </c>
      <c r="C333" s="6" t="e">
        <f>_xlfn.XLOOKUP(B:B,#REF!,#REF!)</f>
        <v>#REF!</v>
      </c>
      <c r="D333" s="19" t="s">
        <v>91</v>
      </c>
      <c r="E333" s="6" t="str">
        <f t="shared" si="29"/>
        <v>420321910</v>
      </c>
      <c r="F333" s="19" t="s">
        <v>92</v>
      </c>
      <c r="G333" s="7" t="e">
        <f>VLOOKUP(D333,#REF!,4,)</f>
        <v>#REF!</v>
      </c>
      <c r="H333" s="6" t="e">
        <f>VLOOKUP(D333,#REF!,5,)</f>
        <v>#REF!</v>
      </c>
      <c r="I333" s="27">
        <v>6434.52</v>
      </c>
      <c r="J333" s="27">
        <v>1680</v>
      </c>
      <c r="K333" s="8">
        <f t="shared" si="30"/>
        <v>0.26109173644654143</v>
      </c>
      <c r="L333" s="27">
        <v>2508</v>
      </c>
      <c r="M333" s="21">
        <v>46169</v>
      </c>
      <c r="N333" s="27">
        <v>5304</v>
      </c>
      <c r="O333" s="27">
        <v>7812</v>
      </c>
      <c r="P333" s="9">
        <f t="shared" si="31"/>
        <v>-3057.4799999999996</v>
      </c>
      <c r="Q333" s="9">
        <f>IFERROR(IF(D333=20250,O333/(#REF!/30),O333/(I333/30)),0)</f>
        <v>36.422297234292536</v>
      </c>
      <c r="R333" s="9">
        <f t="shared" si="32"/>
        <v>24.729117323436711</v>
      </c>
    </row>
    <row r="334" spans="1:18" ht="13.15" x14ac:dyDescent="0.45">
      <c r="A334" s="15" t="str">
        <f t="shared" si="28"/>
        <v>420322059</v>
      </c>
      <c r="B334" s="19" t="s">
        <v>90</v>
      </c>
      <c r="C334" s="6" t="e">
        <f>_xlfn.XLOOKUP(B:B,#REF!,#REF!)</f>
        <v>#REF!</v>
      </c>
      <c r="D334" s="19" t="s">
        <v>93</v>
      </c>
      <c r="E334" s="6" t="str">
        <f t="shared" si="29"/>
        <v>420322059</v>
      </c>
      <c r="F334" s="19" t="s">
        <v>94</v>
      </c>
      <c r="G334" s="7" t="e">
        <f>VLOOKUP(D334,#REF!,4,)</f>
        <v>#REF!</v>
      </c>
      <c r="H334" s="6" t="e">
        <f>VLOOKUP(D334,#REF!,5,)</f>
        <v>#REF!</v>
      </c>
      <c r="I334" s="27">
        <v>128.63999999999999</v>
      </c>
      <c r="J334" s="27">
        <v>0</v>
      </c>
      <c r="K334" s="8">
        <f t="shared" si="30"/>
        <v>0</v>
      </c>
      <c r="L334" s="27">
        <v>0</v>
      </c>
      <c r="M334" s="21"/>
      <c r="N334" s="27">
        <v>0</v>
      </c>
      <c r="O334" s="27">
        <v>0</v>
      </c>
      <c r="P334" s="9">
        <f t="shared" si="31"/>
        <v>128.63999999999999</v>
      </c>
      <c r="Q334" s="9">
        <f>IFERROR(IF(D334=20250,O334/(#REF!/30),O334/(I334/30)),0)</f>
        <v>0</v>
      </c>
      <c r="R334" s="9">
        <f t="shared" si="32"/>
        <v>0</v>
      </c>
    </row>
    <row r="335" spans="1:18" ht="13.15" x14ac:dyDescent="0.45">
      <c r="A335" s="15" t="str">
        <f t="shared" si="28"/>
        <v>420323081</v>
      </c>
      <c r="B335" s="19" t="s">
        <v>90</v>
      </c>
      <c r="C335" s="6" t="e">
        <f>_xlfn.XLOOKUP(B:B,#REF!,#REF!)</f>
        <v>#REF!</v>
      </c>
      <c r="D335" s="19" t="s">
        <v>96</v>
      </c>
      <c r="E335" s="6" t="str">
        <f t="shared" si="29"/>
        <v>420323081</v>
      </c>
      <c r="F335" s="19" t="s">
        <v>97</v>
      </c>
      <c r="G335" s="7" t="e">
        <f>VLOOKUP(D335,#REF!,4,)</f>
        <v>#REF!</v>
      </c>
      <c r="H335" s="6" t="e">
        <f>VLOOKUP(D335,#REF!,5,)</f>
        <v>#REF!</v>
      </c>
      <c r="I335" s="27">
        <v>643.32000000000005</v>
      </c>
      <c r="J335" s="27">
        <v>24</v>
      </c>
      <c r="K335" s="8">
        <f t="shared" si="30"/>
        <v>3.7306472673008767E-2</v>
      </c>
      <c r="L335" s="27">
        <v>0</v>
      </c>
      <c r="M335" s="21"/>
      <c r="N335" s="27">
        <v>1188</v>
      </c>
      <c r="O335" s="27">
        <v>1188</v>
      </c>
      <c r="P335" s="9">
        <f t="shared" si="31"/>
        <v>-568.67999999999995</v>
      </c>
      <c r="Q335" s="9">
        <f>IFERROR(IF(D335=20250,O335/(#REF!/30),O335/(I335/30)),0)</f>
        <v>55.400111919418009</v>
      </c>
      <c r="R335" s="9">
        <f t="shared" si="32"/>
        <v>55.400111919418009</v>
      </c>
    </row>
    <row r="336" spans="1:18" ht="13.15" x14ac:dyDescent="0.45">
      <c r="A336" s="15" t="str">
        <f t="shared" si="28"/>
        <v>420323401</v>
      </c>
      <c r="B336" s="19" t="s">
        <v>90</v>
      </c>
      <c r="C336" s="6" t="e">
        <f>_xlfn.XLOOKUP(B:B,#REF!,#REF!)</f>
        <v>#REF!</v>
      </c>
      <c r="D336" s="19" t="s">
        <v>98</v>
      </c>
      <c r="E336" s="6" t="str">
        <f t="shared" si="29"/>
        <v>420323401</v>
      </c>
      <c r="F336" s="19" t="s">
        <v>99</v>
      </c>
      <c r="G336" s="7" t="e">
        <f>VLOOKUP(D336,#REF!,4,)</f>
        <v>#REF!</v>
      </c>
      <c r="H336" s="6" t="e">
        <f>VLOOKUP(D336,#REF!,5,)</f>
        <v>#REF!</v>
      </c>
      <c r="I336" s="27">
        <v>1093.56</v>
      </c>
      <c r="J336" s="27">
        <v>360</v>
      </c>
      <c r="K336" s="8">
        <f t="shared" si="30"/>
        <v>0.32920004389333918</v>
      </c>
      <c r="L336" s="27">
        <v>600</v>
      </c>
      <c r="M336" s="21">
        <v>46168</v>
      </c>
      <c r="N336" s="27">
        <v>912</v>
      </c>
      <c r="O336" s="27">
        <v>1512</v>
      </c>
      <c r="P336" s="9">
        <f t="shared" si="31"/>
        <v>-778.44</v>
      </c>
      <c r="Q336" s="9">
        <f>IFERROR(IF(D336=20250,O336/(#REF!/30),O336/(I336/30)),0)</f>
        <v>41.479205530560741</v>
      </c>
      <c r="R336" s="9">
        <f t="shared" si="32"/>
        <v>25.019203335893778</v>
      </c>
    </row>
    <row r="337" spans="1:18" ht="13.15" x14ac:dyDescent="0.45">
      <c r="A337" s="15" t="str">
        <f t="shared" si="28"/>
        <v>420324768</v>
      </c>
      <c r="B337" s="19" t="s">
        <v>90</v>
      </c>
      <c r="C337" s="6" t="e">
        <f>_xlfn.XLOOKUP(B:B,#REF!,#REF!)</f>
        <v>#REF!</v>
      </c>
      <c r="D337" s="19" t="s">
        <v>111</v>
      </c>
      <c r="E337" s="6" t="str">
        <f t="shared" si="29"/>
        <v>420324768</v>
      </c>
      <c r="F337" s="19" t="s">
        <v>112</v>
      </c>
      <c r="G337" s="7" t="e">
        <f>VLOOKUP(D337,#REF!,4,)</f>
        <v>#REF!</v>
      </c>
      <c r="H337" s="6" t="e">
        <f>VLOOKUP(D337,#REF!,5,)</f>
        <v>#REF!</v>
      </c>
      <c r="I337" s="27">
        <v>2251.56</v>
      </c>
      <c r="J337" s="27">
        <v>1032</v>
      </c>
      <c r="K337" s="8">
        <f t="shared" si="30"/>
        <v>0.45834887811117625</v>
      </c>
      <c r="L337" s="27">
        <v>0</v>
      </c>
      <c r="M337" s="21"/>
      <c r="N337" s="27">
        <v>3648</v>
      </c>
      <c r="O337" s="27">
        <v>3648</v>
      </c>
      <c r="P337" s="9">
        <f t="shared" si="31"/>
        <v>-2428.44</v>
      </c>
      <c r="Q337" s="9">
        <f>IFERROR(IF(D337=20250,O337/(#REF!/30),O337/(I337/30)),0)</f>
        <v>48.606299632254974</v>
      </c>
      <c r="R337" s="9">
        <f t="shared" si="32"/>
        <v>48.606299632254974</v>
      </c>
    </row>
    <row r="338" spans="1:18" ht="13.15" x14ac:dyDescent="0.45">
      <c r="A338" s="15" t="str">
        <f t="shared" si="28"/>
        <v>420325570</v>
      </c>
      <c r="B338" s="19" t="s">
        <v>90</v>
      </c>
      <c r="C338" s="6" t="e">
        <f>_xlfn.XLOOKUP(B:B,#REF!,#REF!)</f>
        <v>#REF!</v>
      </c>
      <c r="D338" s="19" t="s">
        <v>116</v>
      </c>
      <c r="E338" s="6" t="str">
        <f t="shared" si="29"/>
        <v>420325570</v>
      </c>
      <c r="F338" s="19" t="s">
        <v>118</v>
      </c>
      <c r="G338" s="7" t="e">
        <f>VLOOKUP(D338,#REF!,4,)</f>
        <v>#REF!</v>
      </c>
      <c r="H338" s="6" t="e">
        <f>VLOOKUP(D338,#REF!,5,)</f>
        <v>#REF!</v>
      </c>
      <c r="I338" s="27">
        <v>1286.6400000000001</v>
      </c>
      <c r="J338" s="27">
        <v>192</v>
      </c>
      <c r="K338" s="8">
        <f t="shared" si="30"/>
        <v>0.14922589069203507</v>
      </c>
      <c r="L338" s="27">
        <v>204</v>
      </c>
      <c r="M338" s="21">
        <v>46169</v>
      </c>
      <c r="N338" s="27">
        <v>1116</v>
      </c>
      <c r="O338" s="27">
        <v>1320</v>
      </c>
      <c r="P338" s="9">
        <f t="shared" si="31"/>
        <v>-225.3599999999999</v>
      </c>
      <c r="Q338" s="9">
        <f>IFERROR(IF(D338=20250,O338/(#REF!/30),O338/(I338/30)),0)</f>
        <v>30.777839955232228</v>
      </c>
      <c r="R338" s="9">
        <f t="shared" si="32"/>
        <v>26.02126468942361</v>
      </c>
    </row>
    <row r="339" spans="1:18" ht="13.15" x14ac:dyDescent="0.45">
      <c r="A339" s="15" t="str">
        <f t="shared" si="28"/>
        <v>420325598</v>
      </c>
      <c r="B339" s="19" t="s">
        <v>90</v>
      </c>
      <c r="C339" s="6" t="e">
        <f>_xlfn.XLOOKUP(B:B,#REF!,#REF!)</f>
        <v>#REF!</v>
      </c>
      <c r="D339" s="19" t="s">
        <v>117</v>
      </c>
      <c r="E339" s="6" t="str">
        <f t="shared" si="29"/>
        <v>420325598</v>
      </c>
      <c r="F339" s="19" t="s">
        <v>119</v>
      </c>
      <c r="G339" s="7" t="e">
        <f>VLOOKUP(D339,#REF!,4,)</f>
        <v>#REF!</v>
      </c>
      <c r="H339" s="6" t="e">
        <f>VLOOKUP(D339,#REF!,5,)</f>
        <v>#REF!</v>
      </c>
      <c r="I339" s="27">
        <v>1415.28</v>
      </c>
      <c r="J339" s="27">
        <v>612</v>
      </c>
      <c r="K339" s="8">
        <f t="shared" si="30"/>
        <v>0.43242326606749193</v>
      </c>
      <c r="L339" s="27">
        <v>492</v>
      </c>
      <c r="M339" s="21">
        <v>46169</v>
      </c>
      <c r="N339" s="27">
        <v>912</v>
      </c>
      <c r="O339" s="27">
        <v>1404</v>
      </c>
      <c r="P339" s="9">
        <f t="shared" si="31"/>
        <v>-600.72</v>
      </c>
      <c r="Q339" s="9">
        <f>IFERROR(IF(D339=20250,O339/(#REF!/30),O339/(I339/30)),0)</f>
        <v>29.760895370527386</v>
      </c>
      <c r="R339" s="9">
        <f t="shared" si="32"/>
        <v>19.331863659487876</v>
      </c>
    </row>
    <row r="340" spans="1:18" ht="13.15" x14ac:dyDescent="0.45">
      <c r="A340" s="15" t="str">
        <f t="shared" si="28"/>
        <v>430106151</v>
      </c>
      <c r="B340" s="19" t="s">
        <v>74</v>
      </c>
      <c r="C340" s="6" t="e">
        <f>_xlfn.XLOOKUP(B:B,#REF!,#REF!)</f>
        <v>#REF!</v>
      </c>
      <c r="D340" s="19" t="s">
        <v>23</v>
      </c>
      <c r="E340" s="6" t="str">
        <f t="shared" si="29"/>
        <v>430106151</v>
      </c>
      <c r="F340" s="19" t="s">
        <v>24</v>
      </c>
      <c r="G340" s="7" t="e">
        <f>VLOOKUP(D340,#REF!,4,)</f>
        <v>#REF!</v>
      </c>
      <c r="H340" s="6" t="e">
        <f>VLOOKUP(D340,#REF!,5,)</f>
        <v>#REF!</v>
      </c>
      <c r="I340" s="27">
        <v>15999.96</v>
      </c>
      <c r="J340" s="27">
        <v>10260</v>
      </c>
      <c r="K340" s="8">
        <f t="shared" si="30"/>
        <v>0.64125160312900786</v>
      </c>
      <c r="L340" s="27">
        <v>1000</v>
      </c>
      <c r="M340" s="21"/>
      <c r="N340" s="27">
        <v>2676</v>
      </c>
      <c r="O340" s="27">
        <v>3676</v>
      </c>
      <c r="P340" s="9">
        <f t="shared" si="31"/>
        <v>2063.9599999999991</v>
      </c>
      <c r="Q340" s="9">
        <f>IFERROR(IF(D340=20250,O340/(#REF!/30),O340/(I340/30)),0)</f>
        <v>6.8925172312930787</v>
      </c>
      <c r="R340" s="9">
        <f t="shared" si="32"/>
        <v>5.0175125437813595</v>
      </c>
    </row>
    <row r="341" spans="1:18" ht="13.15" x14ac:dyDescent="0.45">
      <c r="A341" s="15" t="str">
        <f t="shared" si="28"/>
        <v>430113490</v>
      </c>
      <c r="B341" s="19" t="s">
        <v>74</v>
      </c>
      <c r="C341" s="6" t="e">
        <f>_xlfn.XLOOKUP(B:B,#REF!,#REF!)</f>
        <v>#REF!</v>
      </c>
      <c r="D341" s="19" t="s">
        <v>27</v>
      </c>
      <c r="E341" s="6" t="str">
        <f t="shared" si="29"/>
        <v>430113490</v>
      </c>
      <c r="F341" s="19" t="s">
        <v>28</v>
      </c>
      <c r="G341" s="7" t="e">
        <f>VLOOKUP(D341,#REF!,4,)</f>
        <v>#REF!</v>
      </c>
      <c r="H341" s="6" t="e">
        <f>VLOOKUP(D341,#REF!,5,)</f>
        <v>#REF!</v>
      </c>
      <c r="I341" s="27">
        <v>4000</v>
      </c>
      <c r="J341" s="27">
        <v>3150</v>
      </c>
      <c r="K341" s="8">
        <f t="shared" si="30"/>
        <v>0.78749999999999998</v>
      </c>
      <c r="L341" s="27">
        <v>0</v>
      </c>
      <c r="M341" s="21"/>
      <c r="N341" s="27">
        <v>4800</v>
      </c>
      <c r="O341" s="27">
        <v>4800</v>
      </c>
      <c r="P341" s="9">
        <f t="shared" si="31"/>
        <v>-3950</v>
      </c>
      <c r="Q341" s="9">
        <f>IFERROR(IF(D341=20250,O341/(#REF!/30),O341/(I341/30)),0)</f>
        <v>36</v>
      </c>
      <c r="R341" s="9">
        <f t="shared" si="32"/>
        <v>36</v>
      </c>
    </row>
    <row r="342" spans="1:18" ht="13.15" x14ac:dyDescent="0.45">
      <c r="A342" s="15" t="str">
        <f t="shared" si="28"/>
        <v>430115300</v>
      </c>
      <c r="B342" s="19" t="s">
        <v>74</v>
      </c>
      <c r="C342" s="6" t="e">
        <f>_xlfn.XLOOKUP(B:B,#REF!,#REF!)</f>
        <v>#REF!</v>
      </c>
      <c r="D342" s="19" t="s">
        <v>31</v>
      </c>
      <c r="E342" s="6" t="str">
        <f t="shared" si="29"/>
        <v>430115300</v>
      </c>
      <c r="F342" s="19" t="s">
        <v>32</v>
      </c>
      <c r="G342" s="7" t="e">
        <f>VLOOKUP(D342,#REF!,4,)</f>
        <v>#REF!</v>
      </c>
      <c r="H342" s="6" t="e">
        <f>VLOOKUP(D342,#REF!,5,)</f>
        <v>#REF!</v>
      </c>
      <c r="I342" s="27">
        <v>189</v>
      </c>
      <c r="J342" s="27">
        <v>18</v>
      </c>
      <c r="K342" s="8">
        <f t="shared" si="30"/>
        <v>9.5238095238095233E-2</v>
      </c>
      <c r="L342" s="27">
        <v>0</v>
      </c>
      <c r="M342" s="21"/>
      <c r="N342" s="27">
        <v>198</v>
      </c>
      <c r="O342" s="27">
        <v>198</v>
      </c>
      <c r="P342" s="9">
        <f t="shared" si="31"/>
        <v>-27</v>
      </c>
      <c r="Q342" s="9">
        <f>IFERROR(IF(D342=20250,O342/(#REF!/30),O342/(I342/30)),0)</f>
        <v>31.428571428571431</v>
      </c>
      <c r="R342" s="9">
        <f t="shared" si="32"/>
        <v>31.428571428571431</v>
      </c>
    </row>
    <row r="343" spans="1:18" ht="13.15" x14ac:dyDescent="0.45">
      <c r="A343" s="15" t="str">
        <f t="shared" si="28"/>
        <v>430119690</v>
      </c>
      <c r="B343" s="19" t="s">
        <v>74</v>
      </c>
      <c r="C343" s="6" t="e">
        <f>_xlfn.XLOOKUP(B:B,#REF!,#REF!)</f>
        <v>#REF!</v>
      </c>
      <c r="D343" s="19" t="s">
        <v>66</v>
      </c>
      <c r="E343" s="6" t="str">
        <f t="shared" si="29"/>
        <v>430119690</v>
      </c>
      <c r="F343" s="19" t="s">
        <v>67</v>
      </c>
      <c r="G343" s="7" t="e">
        <f>VLOOKUP(D343,#REF!,4,)</f>
        <v>#REF!</v>
      </c>
      <c r="H343" s="6" t="e">
        <f>VLOOKUP(D343,#REF!,5,)</f>
        <v>#REF!</v>
      </c>
      <c r="I343" s="27">
        <v>72</v>
      </c>
      <c r="J343" s="27">
        <v>96</v>
      </c>
      <c r="K343" s="8">
        <f t="shared" si="30"/>
        <v>1.3333333333333333</v>
      </c>
      <c r="L343" s="27">
        <v>0</v>
      </c>
      <c r="M343" s="21"/>
      <c r="N343" s="27">
        <v>168</v>
      </c>
      <c r="O343" s="27">
        <v>168</v>
      </c>
      <c r="P343" s="9">
        <f t="shared" si="31"/>
        <v>-192</v>
      </c>
      <c r="Q343" s="9">
        <f>IFERROR(IF(D343=20250,O343/(#REF!/30),O343/(I343/30)),0)</f>
        <v>70</v>
      </c>
      <c r="R343" s="9">
        <f t="shared" si="32"/>
        <v>70</v>
      </c>
    </row>
    <row r="344" spans="1:18" ht="13.15" x14ac:dyDescent="0.45">
      <c r="A344" s="15" t="str">
        <f t="shared" si="28"/>
        <v>430120661</v>
      </c>
      <c r="B344" s="19" t="s">
        <v>74</v>
      </c>
      <c r="C344" s="6" t="e">
        <f>_xlfn.XLOOKUP(B:B,#REF!,#REF!)</f>
        <v>#REF!</v>
      </c>
      <c r="D344" s="19" t="s">
        <v>88</v>
      </c>
      <c r="E344" s="6" t="str">
        <f t="shared" si="29"/>
        <v>430120661</v>
      </c>
      <c r="F344" s="19" t="s">
        <v>89</v>
      </c>
      <c r="G344" s="7" t="e">
        <f>VLOOKUP(D344,#REF!,4,)</f>
        <v>#REF!</v>
      </c>
      <c r="H344" s="6" t="e">
        <f>VLOOKUP(D344,#REF!,5,)</f>
        <v>#REF!</v>
      </c>
      <c r="I344" s="27">
        <v>2035.92</v>
      </c>
      <c r="J344" s="27">
        <v>600</v>
      </c>
      <c r="K344" s="8">
        <f t="shared" si="30"/>
        <v>0.29470706118118589</v>
      </c>
      <c r="L344" s="27">
        <v>0</v>
      </c>
      <c r="M344" s="21"/>
      <c r="N344" s="27">
        <v>2016</v>
      </c>
      <c r="O344" s="27">
        <v>2016</v>
      </c>
      <c r="P344" s="9">
        <f t="shared" si="31"/>
        <v>-580.07999999999993</v>
      </c>
      <c r="Q344" s="9">
        <f>IFERROR(IF(D344=20250,O344/(#REF!/30),O344/(I344/30)),0)</f>
        <v>29.706471767063537</v>
      </c>
      <c r="R344" s="9">
        <f t="shared" si="32"/>
        <v>29.706471767063537</v>
      </c>
    </row>
    <row r="345" spans="1:18" ht="13.15" x14ac:dyDescent="0.45">
      <c r="A345" s="15" t="str">
        <f t="shared" si="28"/>
        <v>430123638</v>
      </c>
      <c r="B345" s="19" t="s">
        <v>74</v>
      </c>
      <c r="C345" s="6" t="e">
        <f>_xlfn.XLOOKUP(B:B,#REF!,#REF!)</f>
        <v>#REF!</v>
      </c>
      <c r="D345" s="19" t="s">
        <v>100</v>
      </c>
      <c r="E345" s="6" t="str">
        <f t="shared" si="29"/>
        <v>430123638</v>
      </c>
      <c r="F345" s="19" t="s">
        <v>101</v>
      </c>
      <c r="G345" s="7" t="e">
        <f>VLOOKUP(D345,#REF!,4,)</f>
        <v>#REF!</v>
      </c>
      <c r="H345" s="6" t="e">
        <f>VLOOKUP(D345,#REF!,5,)</f>
        <v>#REF!</v>
      </c>
      <c r="I345" s="27">
        <v>14599.92</v>
      </c>
      <c r="J345" s="27">
        <v>5856</v>
      </c>
      <c r="K345" s="8">
        <f t="shared" si="30"/>
        <v>0.40109808820870252</v>
      </c>
      <c r="L345" s="27">
        <v>750</v>
      </c>
      <c r="M345" s="21"/>
      <c r="N345" s="27">
        <v>3156</v>
      </c>
      <c r="O345" s="27">
        <v>3906</v>
      </c>
      <c r="P345" s="9">
        <f t="shared" si="31"/>
        <v>4837.92</v>
      </c>
      <c r="Q345" s="9">
        <f>IFERROR(IF(D345=20250,O345/(#REF!/30),O345/(I345/30)),0)</f>
        <v>8.0260713757335651</v>
      </c>
      <c r="R345" s="9">
        <f t="shared" si="32"/>
        <v>6.4849670409152926</v>
      </c>
    </row>
    <row r="346" spans="1:18" ht="13.15" x14ac:dyDescent="0.45">
      <c r="A346" s="15" t="str">
        <f t="shared" si="28"/>
        <v>430125885</v>
      </c>
      <c r="B346" s="19" t="s">
        <v>74</v>
      </c>
      <c r="C346" s="6" t="e">
        <f>_xlfn.XLOOKUP(B:B,#REF!,#REF!)</f>
        <v>#REF!</v>
      </c>
      <c r="D346" s="19" t="s">
        <v>122</v>
      </c>
      <c r="E346" s="6" t="str">
        <f t="shared" si="29"/>
        <v>430125885</v>
      </c>
      <c r="F346" s="19" t="s">
        <v>123</v>
      </c>
      <c r="G346" s="7" t="e">
        <f>VLOOKUP(D346,#REF!,4,)</f>
        <v>#REF!</v>
      </c>
      <c r="H346" s="6" t="e">
        <f>VLOOKUP(D346,#REF!,5,)</f>
        <v>#REF!</v>
      </c>
      <c r="I346" s="27">
        <v>1680</v>
      </c>
      <c r="J346" s="27">
        <v>1176</v>
      </c>
      <c r="K346" s="8">
        <f t="shared" si="30"/>
        <v>0.7</v>
      </c>
      <c r="L346" s="27">
        <v>0</v>
      </c>
      <c r="M346" s="21"/>
      <c r="N346" s="27">
        <v>1704</v>
      </c>
      <c r="O346" s="27">
        <v>1704</v>
      </c>
      <c r="P346" s="9">
        <f t="shared" si="31"/>
        <v>-1200</v>
      </c>
      <c r="Q346" s="9">
        <f>IFERROR(IF(D346=20250,O346/(#REF!/30),O346/(I346/30)),0)</f>
        <v>30.428571428571427</v>
      </c>
      <c r="R346" s="9">
        <f t="shared" si="32"/>
        <v>30.428571428571427</v>
      </c>
    </row>
    <row r="347" spans="1:18" ht="13.15" x14ac:dyDescent="0.45">
      <c r="A347" s="15" t="str">
        <f t="shared" si="28"/>
        <v>430126193</v>
      </c>
      <c r="B347" s="19" t="s">
        <v>74</v>
      </c>
      <c r="C347" s="6" t="e">
        <f>_xlfn.XLOOKUP(B:B,#REF!,#REF!)</f>
        <v>#REF!</v>
      </c>
      <c r="D347" s="19" t="s">
        <v>130</v>
      </c>
      <c r="E347" s="6" t="str">
        <f t="shared" si="29"/>
        <v>430126193</v>
      </c>
      <c r="F347" s="19" t="s">
        <v>134</v>
      </c>
      <c r="G347" s="7" t="e">
        <f>VLOOKUP(D347,#REF!,4,)</f>
        <v>#REF!</v>
      </c>
      <c r="H347" s="6" t="e">
        <f>VLOOKUP(D347,#REF!,5,)</f>
        <v>#REF!</v>
      </c>
      <c r="I347" s="27">
        <v>0</v>
      </c>
      <c r="J347" s="27">
        <v>360</v>
      </c>
      <c r="K347" s="8">
        <f t="shared" si="30"/>
        <v>0</v>
      </c>
      <c r="L347" s="27">
        <v>0</v>
      </c>
      <c r="M347" s="21"/>
      <c r="N347" s="27">
        <v>0</v>
      </c>
      <c r="O347" s="27">
        <v>0</v>
      </c>
      <c r="P347" s="9">
        <f t="shared" si="31"/>
        <v>-360</v>
      </c>
      <c r="Q347" s="9">
        <f>IFERROR(IF(D347=20250,O347/(#REF!/30),O347/(I347/30)),0)</f>
        <v>0</v>
      </c>
      <c r="R347" s="9">
        <f t="shared" si="32"/>
        <v>0</v>
      </c>
    </row>
    <row r="348" spans="1:18" ht="13.15" x14ac:dyDescent="0.45">
      <c r="A348" s="15" t="str">
        <f t="shared" si="28"/>
        <v>430126234</v>
      </c>
      <c r="B348" s="19" t="s">
        <v>74</v>
      </c>
      <c r="C348" s="6" t="e">
        <f>_xlfn.XLOOKUP(B:B,#REF!,#REF!)</f>
        <v>#REF!</v>
      </c>
      <c r="D348" s="19" t="s">
        <v>126</v>
      </c>
      <c r="E348" s="6" t="str">
        <f t="shared" si="29"/>
        <v>430126234</v>
      </c>
      <c r="F348" s="19" t="s">
        <v>127</v>
      </c>
      <c r="G348" s="7" t="e">
        <f>VLOOKUP(D348,#REF!,4,)</f>
        <v>#REF!</v>
      </c>
      <c r="H348" s="6" t="e">
        <f>VLOOKUP(D348,#REF!,5,)</f>
        <v>#REF!</v>
      </c>
      <c r="I348" s="27">
        <v>36</v>
      </c>
      <c r="J348" s="27">
        <v>0</v>
      </c>
      <c r="K348" s="8">
        <f t="shared" si="30"/>
        <v>0</v>
      </c>
      <c r="L348" s="27">
        <v>0</v>
      </c>
      <c r="M348" s="21"/>
      <c r="N348" s="27">
        <v>924</v>
      </c>
      <c r="O348" s="27">
        <v>924</v>
      </c>
      <c r="P348" s="9">
        <f t="shared" si="31"/>
        <v>-888</v>
      </c>
      <c r="Q348" s="9">
        <f>IFERROR(IF(D348=20250,O348/(#REF!/30),O348/(I348/30)),0)</f>
        <v>770</v>
      </c>
      <c r="R348" s="9">
        <f t="shared" si="32"/>
        <v>770</v>
      </c>
    </row>
    <row r="349" spans="1:18" ht="13.15" x14ac:dyDescent="0.45">
      <c r="A349" s="15" t="str">
        <f t="shared" si="28"/>
        <v>430104145</v>
      </c>
      <c r="B349" s="19" t="s">
        <v>74</v>
      </c>
      <c r="C349" s="6" t="e">
        <f>_xlfn.XLOOKUP(B:B,#REF!,#REF!)</f>
        <v>#REF!</v>
      </c>
      <c r="D349" s="19" t="s">
        <v>25</v>
      </c>
      <c r="E349" s="6" t="str">
        <f t="shared" si="29"/>
        <v>430104145</v>
      </c>
      <c r="F349" s="19" t="s">
        <v>26</v>
      </c>
      <c r="G349" s="7" t="e">
        <f>VLOOKUP(D349,#REF!,4,)</f>
        <v>#REF!</v>
      </c>
      <c r="H349" s="6" t="e">
        <f>VLOOKUP(D349,#REF!,5,)</f>
        <v>#REF!</v>
      </c>
      <c r="I349" s="27">
        <v>180</v>
      </c>
      <c r="J349" s="27">
        <v>108</v>
      </c>
      <c r="K349" s="8">
        <f t="shared" si="30"/>
        <v>0.6</v>
      </c>
      <c r="L349" s="27">
        <v>0</v>
      </c>
      <c r="M349" s="21"/>
      <c r="N349" s="27">
        <v>261</v>
      </c>
      <c r="O349" s="27">
        <v>261</v>
      </c>
      <c r="P349" s="9">
        <f t="shared" si="31"/>
        <v>-189</v>
      </c>
      <c r="Q349" s="9">
        <f>IFERROR(IF(D349=20250,O349/(#REF!/30),O349/(I349/30)),0)</f>
        <v>43.5</v>
      </c>
      <c r="R349" s="9">
        <f t="shared" si="32"/>
        <v>43.5</v>
      </c>
    </row>
    <row r="350" spans="1:18" ht="13.15" x14ac:dyDescent="0.45">
      <c r="A350" s="15" t="str">
        <f t="shared" si="28"/>
        <v>430114248</v>
      </c>
      <c r="B350" s="19" t="s">
        <v>74</v>
      </c>
      <c r="C350" s="6" t="e">
        <f>_xlfn.XLOOKUP(B:B,#REF!,#REF!)</f>
        <v>#REF!</v>
      </c>
      <c r="D350" s="19" t="s">
        <v>29</v>
      </c>
      <c r="E350" s="6" t="str">
        <f t="shared" si="29"/>
        <v>430114248</v>
      </c>
      <c r="F350" s="19" t="s">
        <v>30</v>
      </c>
      <c r="G350" s="7" t="e">
        <f>VLOOKUP(D350,#REF!,4,)</f>
        <v>#REF!</v>
      </c>
      <c r="H350" s="6" t="e">
        <f>VLOOKUP(D350,#REF!,5,)</f>
        <v>#REF!</v>
      </c>
      <c r="I350" s="27">
        <v>1070</v>
      </c>
      <c r="J350" s="27">
        <v>1080</v>
      </c>
      <c r="K350" s="8">
        <f t="shared" si="30"/>
        <v>1.0093457943925233</v>
      </c>
      <c r="L350" s="27">
        <v>0</v>
      </c>
      <c r="M350" s="21"/>
      <c r="N350" s="27">
        <v>230</v>
      </c>
      <c r="O350" s="27">
        <v>230</v>
      </c>
      <c r="P350" s="9">
        <f t="shared" si="31"/>
        <v>-240</v>
      </c>
      <c r="Q350" s="9">
        <f>IFERROR(IF(D350=20250,O350/(#REF!/30),O350/(I350/30)),0)</f>
        <v>6.4485981308411215</v>
      </c>
      <c r="R350" s="9">
        <f t="shared" si="32"/>
        <v>6.4485981308411215</v>
      </c>
    </row>
    <row r="351" spans="1:18" ht="13.15" x14ac:dyDescent="0.45">
      <c r="A351" s="15" t="str">
        <f t="shared" si="28"/>
        <v>430115305</v>
      </c>
      <c r="B351" s="19" t="s">
        <v>74</v>
      </c>
      <c r="C351" s="6" t="e">
        <f>_xlfn.XLOOKUP(B:B,#REF!,#REF!)</f>
        <v>#REF!</v>
      </c>
      <c r="D351" s="19" t="s">
        <v>33</v>
      </c>
      <c r="E351" s="6" t="str">
        <f t="shared" si="29"/>
        <v>430115305</v>
      </c>
      <c r="F351" s="19" t="s">
        <v>34</v>
      </c>
      <c r="G351" s="7" t="e">
        <f>VLOOKUP(D351,#REF!,4,)</f>
        <v>#REF!</v>
      </c>
      <c r="H351" s="6" t="e">
        <f>VLOOKUP(D351,#REF!,5,)</f>
        <v>#REF!</v>
      </c>
      <c r="I351" s="27">
        <v>18</v>
      </c>
      <c r="J351" s="27">
        <v>45</v>
      </c>
      <c r="K351" s="8">
        <f t="shared" si="30"/>
        <v>2.5</v>
      </c>
      <c r="L351" s="27">
        <v>0</v>
      </c>
      <c r="M351" s="21"/>
      <c r="N351" s="27">
        <v>198</v>
      </c>
      <c r="O351" s="27">
        <v>198</v>
      </c>
      <c r="P351" s="9">
        <f t="shared" si="31"/>
        <v>-225</v>
      </c>
      <c r="Q351" s="9">
        <f>IFERROR(IF(D351=20250,O351/(#REF!/30),O351/(I351/30)),0)</f>
        <v>330</v>
      </c>
      <c r="R351" s="9">
        <f t="shared" si="32"/>
        <v>330</v>
      </c>
    </row>
    <row r="352" spans="1:18" ht="13.15" x14ac:dyDescent="0.45">
      <c r="A352" s="15" t="str">
        <f t="shared" si="28"/>
        <v>430115312</v>
      </c>
      <c r="B352" s="19" t="s">
        <v>74</v>
      </c>
      <c r="C352" s="6" t="e">
        <f>_xlfn.XLOOKUP(B:B,#REF!,#REF!)</f>
        <v>#REF!</v>
      </c>
      <c r="D352" s="19" t="s">
        <v>35</v>
      </c>
      <c r="E352" s="6" t="str">
        <f t="shared" si="29"/>
        <v>430115312</v>
      </c>
      <c r="F352" s="19" t="s">
        <v>36</v>
      </c>
      <c r="G352" s="7" t="e">
        <f>VLOOKUP(D352,#REF!,4,)</f>
        <v>#REF!</v>
      </c>
      <c r="H352" s="6" t="e">
        <f>VLOOKUP(D352,#REF!,5,)</f>
        <v>#REF!</v>
      </c>
      <c r="I352" s="27">
        <v>36</v>
      </c>
      <c r="J352" s="27">
        <v>36</v>
      </c>
      <c r="K352" s="8">
        <f t="shared" si="30"/>
        <v>1</v>
      </c>
      <c r="L352" s="27">
        <v>0</v>
      </c>
      <c r="M352" s="21"/>
      <c r="N352" s="27">
        <v>369</v>
      </c>
      <c r="O352" s="27">
        <v>369</v>
      </c>
      <c r="P352" s="9">
        <f t="shared" si="31"/>
        <v>-369</v>
      </c>
      <c r="Q352" s="9">
        <f>IFERROR(IF(D352=20250,O352/(#REF!/30),O352/(I352/30)),0)</f>
        <v>307.5</v>
      </c>
      <c r="R352" s="9">
        <f t="shared" si="32"/>
        <v>307.5</v>
      </c>
    </row>
    <row r="353" spans="1:18" ht="13.15" x14ac:dyDescent="0.45">
      <c r="A353" s="15" t="str">
        <f t="shared" si="28"/>
        <v>430116407</v>
      </c>
      <c r="B353" s="19" t="s">
        <v>74</v>
      </c>
      <c r="C353" s="6" t="e">
        <f>_xlfn.XLOOKUP(B:B,#REF!,#REF!)</f>
        <v>#REF!</v>
      </c>
      <c r="D353" s="19" t="s">
        <v>37</v>
      </c>
      <c r="E353" s="6" t="str">
        <f t="shared" si="29"/>
        <v>430116407</v>
      </c>
      <c r="F353" s="19" t="s">
        <v>38</v>
      </c>
      <c r="G353" s="7" t="e">
        <f>VLOOKUP(D353,#REF!,4,)</f>
        <v>#REF!</v>
      </c>
      <c r="H353" s="6" t="e">
        <f>VLOOKUP(D353,#REF!,5,)</f>
        <v>#REF!</v>
      </c>
      <c r="I353" s="27">
        <v>468</v>
      </c>
      <c r="J353" s="27">
        <v>396</v>
      </c>
      <c r="K353" s="8">
        <f t="shared" si="30"/>
        <v>0.84615384615384615</v>
      </c>
      <c r="L353" s="27">
        <v>0</v>
      </c>
      <c r="M353" s="21"/>
      <c r="N353" s="27">
        <v>513</v>
      </c>
      <c r="O353" s="27">
        <v>513</v>
      </c>
      <c r="P353" s="9">
        <f t="shared" si="31"/>
        <v>-441</v>
      </c>
      <c r="Q353" s="9">
        <f>IFERROR(IF(D353=20250,O353/(#REF!/30),O353/(I353/30)),0)</f>
        <v>32.884615384615387</v>
      </c>
      <c r="R353" s="9">
        <f t="shared" si="32"/>
        <v>32.884615384615387</v>
      </c>
    </row>
    <row r="354" spans="1:18" ht="13.15" x14ac:dyDescent="0.45">
      <c r="A354" s="15" t="str">
        <f t="shared" si="28"/>
        <v>430100189</v>
      </c>
      <c r="B354" s="19" t="s">
        <v>74</v>
      </c>
      <c r="C354" s="6" t="e">
        <f>_xlfn.XLOOKUP(B:B,#REF!,#REF!)</f>
        <v>#REF!</v>
      </c>
      <c r="D354" s="19" t="s">
        <v>39</v>
      </c>
      <c r="E354" s="6" t="str">
        <f t="shared" si="29"/>
        <v>430100189</v>
      </c>
      <c r="F354" s="19" t="s">
        <v>109</v>
      </c>
      <c r="G354" s="7" t="e">
        <f>VLOOKUP(D354,#REF!,4,)</f>
        <v>#REF!</v>
      </c>
      <c r="H354" s="6" t="e">
        <f>VLOOKUP(D354,#REF!,5,)</f>
        <v>#REF!</v>
      </c>
      <c r="I354" s="27">
        <v>119058.6</v>
      </c>
      <c r="J354" s="27">
        <v>76272</v>
      </c>
      <c r="K354" s="8">
        <f t="shared" si="30"/>
        <v>0.64062570868463087</v>
      </c>
      <c r="L354" s="27">
        <v>0</v>
      </c>
      <c r="M354" s="21"/>
      <c r="N354" s="27">
        <v>23964</v>
      </c>
      <c r="O354" s="27">
        <v>23964</v>
      </c>
      <c r="P354" s="9">
        <f t="shared" si="31"/>
        <v>18822.600000000006</v>
      </c>
      <c r="Q354" s="9">
        <f>IFERROR(IF(D354=20250,O354/(#REF!/30),O354/(I354/30)),0)</f>
        <v>6.0383710206570544</v>
      </c>
      <c r="R354" s="9">
        <f t="shared" si="32"/>
        <v>6.0383710206570544</v>
      </c>
    </row>
    <row r="355" spans="1:18" ht="13.15" x14ac:dyDescent="0.45">
      <c r="A355" s="15" t="str">
        <f t="shared" si="28"/>
        <v>430101167</v>
      </c>
      <c r="B355" s="19" t="s">
        <v>74</v>
      </c>
      <c r="C355" s="6" t="e">
        <f>_xlfn.XLOOKUP(B:B,#REF!,#REF!)</f>
        <v>#REF!</v>
      </c>
      <c r="D355" s="19" t="s">
        <v>40</v>
      </c>
      <c r="E355" s="6" t="str">
        <f t="shared" si="29"/>
        <v>430101167</v>
      </c>
      <c r="F355" s="19" t="s">
        <v>41</v>
      </c>
      <c r="G355" s="7" t="e">
        <f>VLOOKUP(D355,#REF!,4,)</f>
        <v>#REF!</v>
      </c>
      <c r="H355" s="6" t="e">
        <f>VLOOKUP(D355,#REF!,5,)</f>
        <v>#REF!</v>
      </c>
      <c r="I355" s="27">
        <v>6721.92</v>
      </c>
      <c r="J355" s="27">
        <v>9120</v>
      </c>
      <c r="K355" s="8">
        <f t="shared" si="30"/>
        <v>1.3567552127963438</v>
      </c>
      <c r="L355" s="27">
        <v>0</v>
      </c>
      <c r="M355" s="21"/>
      <c r="N355" s="27">
        <v>3624</v>
      </c>
      <c r="O355" s="27">
        <v>3624</v>
      </c>
      <c r="P355" s="9">
        <f t="shared" si="31"/>
        <v>-6022.08</v>
      </c>
      <c r="Q355" s="9">
        <f>IFERROR(IF(D355=20250,O355/(#REF!/30),O355/(I355/30)),0)</f>
        <v>16.17395029991431</v>
      </c>
      <c r="R355" s="9">
        <f t="shared" si="32"/>
        <v>16.17395029991431</v>
      </c>
    </row>
    <row r="356" spans="1:18" ht="13.15" x14ac:dyDescent="0.45">
      <c r="A356" s="15" t="str">
        <f t="shared" si="28"/>
        <v>430101296</v>
      </c>
      <c r="B356" s="19" t="s">
        <v>74</v>
      </c>
      <c r="C356" s="6" t="e">
        <f>_xlfn.XLOOKUP(B:B,#REF!,#REF!)</f>
        <v>#REF!</v>
      </c>
      <c r="D356" s="19" t="s">
        <v>14</v>
      </c>
      <c r="E356" s="6" t="str">
        <f t="shared" si="29"/>
        <v>430101296</v>
      </c>
      <c r="F356" s="19" t="s">
        <v>15</v>
      </c>
      <c r="G356" s="7" t="e">
        <f>VLOOKUP(D356,#REF!,4,)</f>
        <v>#REF!</v>
      </c>
      <c r="H356" s="6" t="e">
        <f>VLOOKUP(D356,#REF!,5,)</f>
        <v>#REF!</v>
      </c>
      <c r="I356" s="27">
        <v>3128.64</v>
      </c>
      <c r="J356" s="27">
        <v>1908</v>
      </c>
      <c r="K356" s="8">
        <f t="shared" si="30"/>
        <v>0.60984964713102185</v>
      </c>
      <c r="L356" s="27">
        <v>0</v>
      </c>
      <c r="M356" s="21"/>
      <c r="N356" s="27">
        <v>1548</v>
      </c>
      <c r="O356" s="27">
        <v>1548</v>
      </c>
      <c r="P356" s="9">
        <f t="shared" si="31"/>
        <v>-327.36000000000013</v>
      </c>
      <c r="Q356" s="9">
        <f>IFERROR(IF(D356=20250,O356/(#REF!/30),O356/(I356/30)),0)</f>
        <v>14.843510279226757</v>
      </c>
      <c r="R356" s="9">
        <f t="shared" si="32"/>
        <v>14.843510279226757</v>
      </c>
    </row>
    <row r="357" spans="1:18" ht="13.15" x14ac:dyDescent="0.45">
      <c r="A357" s="15" t="str">
        <f t="shared" si="28"/>
        <v>430102122</v>
      </c>
      <c r="B357" s="19" t="s">
        <v>74</v>
      </c>
      <c r="C357" s="6" t="e">
        <f>_xlfn.XLOOKUP(B:B,#REF!,#REF!)</f>
        <v>#REF!</v>
      </c>
      <c r="D357" s="19" t="s">
        <v>42</v>
      </c>
      <c r="E357" s="6" t="str">
        <f t="shared" si="29"/>
        <v>430102122</v>
      </c>
      <c r="F357" s="19" t="s">
        <v>43</v>
      </c>
      <c r="G357" s="7" t="e">
        <f>VLOOKUP(D357,#REF!,4,)</f>
        <v>#REF!</v>
      </c>
      <c r="H357" s="6" t="e">
        <f>VLOOKUP(D357,#REF!,5,)</f>
        <v>#REF!</v>
      </c>
      <c r="I357" s="27">
        <v>15000</v>
      </c>
      <c r="J357" s="27">
        <v>16572</v>
      </c>
      <c r="K357" s="8">
        <f t="shared" si="30"/>
        <v>1.1048</v>
      </c>
      <c r="L357" s="27">
        <v>0</v>
      </c>
      <c r="M357" s="21"/>
      <c r="N357" s="27">
        <v>88764</v>
      </c>
      <c r="O357" s="27">
        <v>88764</v>
      </c>
      <c r="P357" s="9">
        <f t="shared" si="31"/>
        <v>-90336</v>
      </c>
      <c r="Q357" s="9">
        <f>IFERROR(IF(D357=20250,O357/(#REF!/30),O357/(I357/30)),0)</f>
        <v>177.52799999999999</v>
      </c>
      <c r="R357" s="9">
        <f t="shared" si="32"/>
        <v>177.52799999999999</v>
      </c>
    </row>
    <row r="358" spans="1:18" ht="13.15" x14ac:dyDescent="0.45">
      <c r="A358" s="15" t="str">
        <f t="shared" si="28"/>
        <v>430105159</v>
      </c>
      <c r="B358" s="19" t="s">
        <v>74</v>
      </c>
      <c r="C358" s="6" t="e">
        <f>_xlfn.XLOOKUP(B:B,#REF!,#REF!)</f>
        <v>#REF!</v>
      </c>
      <c r="D358" s="19" t="s">
        <v>44</v>
      </c>
      <c r="E358" s="6" t="str">
        <f t="shared" si="29"/>
        <v>430105159</v>
      </c>
      <c r="F358" s="19" t="s">
        <v>45</v>
      </c>
      <c r="G358" s="7" t="e">
        <f>VLOOKUP(D358,#REF!,4,)</f>
        <v>#REF!</v>
      </c>
      <c r="H358" s="6" t="e">
        <f>VLOOKUP(D358,#REF!,5,)</f>
        <v>#REF!</v>
      </c>
      <c r="I358" s="27">
        <v>0</v>
      </c>
      <c r="J358" s="27">
        <v>0</v>
      </c>
      <c r="K358" s="8">
        <f t="shared" si="30"/>
        <v>0</v>
      </c>
      <c r="L358" s="27">
        <v>0</v>
      </c>
      <c r="M358" s="21"/>
      <c r="N358" s="27">
        <v>13716</v>
      </c>
      <c r="O358" s="27">
        <v>13716</v>
      </c>
      <c r="P358" s="9">
        <f t="shared" si="31"/>
        <v>-13716</v>
      </c>
      <c r="Q358" s="9">
        <f>IFERROR(IF(D358=20250,O358/(#REF!/30),O358/(I358/30)),0)</f>
        <v>0</v>
      </c>
      <c r="R358" s="9">
        <f t="shared" si="32"/>
        <v>0</v>
      </c>
    </row>
    <row r="359" spans="1:18" ht="13.15" x14ac:dyDescent="0.45">
      <c r="A359" s="15" t="str">
        <f t="shared" si="28"/>
        <v>430106982</v>
      </c>
      <c r="B359" s="19" t="s">
        <v>74</v>
      </c>
      <c r="C359" s="6" t="e">
        <f>_xlfn.XLOOKUP(B:B,#REF!,#REF!)</f>
        <v>#REF!</v>
      </c>
      <c r="D359" s="19" t="s">
        <v>46</v>
      </c>
      <c r="E359" s="6" t="str">
        <f t="shared" si="29"/>
        <v>430106982</v>
      </c>
      <c r="F359" s="19" t="s">
        <v>47</v>
      </c>
      <c r="G359" s="7" t="e">
        <f>VLOOKUP(D359,#REF!,4,)</f>
        <v>#REF!</v>
      </c>
      <c r="H359" s="6" t="e">
        <f>VLOOKUP(D359,#REF!,5,)</f>
        <v>#REF!</v>
      </c>
      <c r="I359" s="27">
        <v>3120</v>
      </c>
      <c r="J359" s="27">
        <v>3012</v>
      </c>
      <c r="K359" s="8">
        <f t="shared" si="30"/>
        <v>0.9653846153846154</v>
      </c>
      <c r="L359" s="27">
        <v>0</v>
      </c>
      <c r="M359" s="21"/>
      <c r="N359" s="27">
        <v>1752</v>
      </c>
      <c r="O359" s="27">
        <v>1752</v>
      </c>
      <c r="P359" s="9">
        <f t="shared" si="31"/>
        <v>-1644</v>
      </c>
      <c r="Q359" s="9">
        <f>IFERROR(IF(D359=20250,O359/(#REF!/30),O359/(I359/30)),0)</f>
        <v>16.846153846153847</v>
      </c>
      <c r="R359" s="9">
        <f t="shared" si="32"/>
        <v>16.846153846153847</v>
      </c>
    </row>
    <row r="360" spans="1:18" ht="13.15" x14ac:dyDescent="0.45">
      <c r="A360" s="15" t="str">
        <f t="shared" si="28"/>
        <v>430107310</v>
      </c>
      <c r="B360" s="19" t="s">
        <v>74</v>
      </c>
      <c r="C360" s="6" t="e">
        <f>_xlfn.XLOOKUP(B:B,#REF!,#REF!)</f>
        <v>#REF!</v>
      </c>
      <c r="D360" s="19" t="s">
        <v>16</v>
      </c>
      <c r="E360" s="6" t="str">
        <f t="shared" si="29"/>
        <v>430107310</v>
      </c>
      <c r="F360" s="19" t="s">
        <v>17</v>
      </c>
      <c r="G360" s="7" t="e">
        <f>VLOOKUP(D360,#REF!,4,)</f>
        <v>#REF!</v>
      </c>
      <c r="H360" s="6" t="e">
        <f>VLOOKUP(D360,#REF!,5,)</f>
        <v>#REF!</v>
      </c>
      <c r="I360" s="27">
        <v>62964.84</v>
      </c>
      <c r="J360" s="27">
        <v>53940</v>
      </c>
      <c r="K360" s="8">
        <f t="shared" si="30"/>
        <v>0.8566685788449554</v>
      </c>
      <c r="L360" s="27">
        <v>0</v>
      </c>
      <c r="M360" s="21"/>
      <c r="N360" s="27">
        <v>63636</v>
      </c>
      <c r="O360" s="27">
        <v>63636</v>
      </c>
      <c r="P360" s="9">
        <f t="shared" si="31"/>
        <v>-54611.16</v>
      </c>
      <c r="Q360" s="9">
        <f>IFERROR(IF(D360=20250,O360/(#REF!/30),O360/(I360/30)),0)</f>
        <v>30.31977846683959</v>
      </c>
      <c r="R360" s="9">
        <f t="shared" si="32"/>
        <v>30.31977846683959</v>
      </c>
    </row>
    <row r="361" spans="1:18" ht="13.15" x14ac:dyDescent="0.45">
      <c r="A361" s="15" t="str">
        <f t="shared" si="28"/>
        <v>430108529</v>
      </c>
      <c r="B361" s="19" t="s">
        <v>74</v>
      </c>
      <c r="C361" s="6" t="e">
        <f>_xlfn.XLOOKUP(B:B,#REF!,#REF!)</f>
        <v>#REF!</v>
      </c>
      <c r="D361" s="19" t="s">
        <v>48</v>
      </c>
      <c r="E361" s="6" t="str">
        <f t="shared" si="29"/>
        <v>430108529</v>
      </c>
      <c r="F361" s="19" t="s">
        <v>49</v>
      </c>
      <c r="G361" s="7" t="e">
        <f>VLOOKUP(D361,#REF!,4,)</f>
        <v>#REF!</v>
      </c>
      <c r="H361" s="6" t="e">
        <f>VLOOKUP(D361,#REF!,5,)</f>
        <v>#REF!</v>
      </c>
      <c r="I361" s="27">
        <v>20182.560000000001</v>
      </c>
      <c r="J361" s="27">
        <v>11124</v>
      </c>
      <c r="K361" s="8">
        <f t="shared" si="30"/>
        <v>0.55116893000689704</v>
      </c>
      <c r="L361" s="27">
        <v>0</v>
      </c>
      <c r="M361" s="21"/>
      <c r="N361" s="27">
        <v>8292</v>
      </c>
      <c r="O361" s="27">
        <v>8292</v>
      </c>
      <c r="P361" s="9">
        <f t="shared" si="31"/>
        <v>766.56000000000131</v>
      </c>
      <c r="Q361" s="9">
        <f>IFERROR(IF(D361=20250,O361/(#REF!/30),O361/(I361/30)),0)</f>
        <v>12.325492900801482</v>
      </c>
      <c r="R361" s="9">
        <f t="shared" si="32"/>
        <v>12.325492900801482</v>
      </c>
    </row>
    <row r="362" spans="1:18" ht="13.15" x14ac:dyDescent="0.45">
      <c r="A362" s="15" t="str">
        <f t="shared" si="28"/>
        <v>430113179</v>
      </c>
      <c r="B362" s="19" t="s">
        <v>74</v>
      </c>
      <c r="C362" s="6" t="e">
        <f>_xlfn.XLOOKUP(B:B,#REF!,#REF!)</f>
        <v>#REF!</v>
      </c>
      <c r="D362" s="19" t="s">
        <v>18</v>
      </c>
      <c r="E362" s="6" t="str">
        <f t="shared" si="29"/>
        <v>430113179</v>
      </c>
      <c r="F362" s="19" t="s">
        <v>19</v>
      </c>
      <c r="G362" s="7" t="e">
        <f>VLOOKUP(D362,#REF!,4,)</f>
        <v>#REF!</v>
      </c>
      <c r="H362" s="6" t="e">
        <f>VLOOKUP(D362,#REF!,5,)</f>
        <v>#REF!</v>
      </c>
      <c r="I362" s="27">
        <v>77199.960000000006</v>
      </c>
      <c r="J362" s="27">
        <v>72132</v>
      </c>
      <c r="K362" s="8">
        <f t="shared" si="30"/>
        <v>0.93435281572684747</v>
      </c>
      <c r="L362" s="27">
        <v>13428</v>
      </c>
      <c r="M362" s="21">
        <v>46169</v>
      </c>
      <c r="N362" s="27">
        <v>120708</v>
      </c>
      <c r="O362" s="27">
        <v>134136</v>
      </c>
      <c r="P362" s="9">
        <f t="shared" si="31"/>
        <v>-129068.04</v>
      </c>
      <c r="Q362" s="9">
        <f>IFERROR(IF(D362=20250,O362/(#REF!/30),O362/(I362/30)),0)</f>
        <v>52.125415609023626</v>
      </c>
      <c r="R362" s="9">
        <f t="shared" si="32"/>
        <v>46.907278190299571</v>
      </c>
    </row>
    <row r="363" spans="1:18" ht="13.15" x14ac:dyDescent="0.45">
      <c r="A363" s="15" t="str">
        <f t="shared" si="28"/>
        <v>430113678</v>
      </c>
      <c r="B363" s="19" t="s">
        <v>74</v>
      </c>
      <c r="C363" s="6" t="e">
        <f>_xlfn.XLOOKUP(B:B,#REF!,#REF!)</f>
        <v>#REF!</v>
      </c>
      <c r="D363" s="19" t="s">
        <v>50</v>
      </c>
      <c r="E363" s="6" t="str">
        <f t="shared" si="29"/>
        <v>430113678</v>
      </c>
      <c r="F363" s="19" t="s">
        <v>51</v>
      </c>
      <c r="G363" s="7" t="e">
        <f>VLOOKUP(D363,#REF!,4,)</f>
        <v>#REF!</v>
      </c>
      <c r="H363" s="6" t="e">
        <f>VLOOKUP(D363,#REF!,5,)</f>
        <v>#REF!</v>
      </c>
      <c r="I363" s="27">
        <v>14179.92</v>
      </c>
      <c r="J363" s="27">
        <v>10284</v>
      </c>
      <c r="K363" s="8">
        <f t="shared" si="30"/>
        <v>0.72525091819982057</v>
      </c>
      <c r="L363" s="27">
        <v>0</v>
      </c>
      <c r="M363" s="21"/>
      <c r="N363" s="27">
        <v>7344</v>
      </c>
      <c r="O363" s="27">
        <v>7344</v>
      </c>
      <c r="P363" s="9">
        <f t="shared" si="31"/>
        <v>-3448.08</v>
      </c>
      <c r="Q363" s="9">
        <f>IFERROR(IF(D363=20250,O363/(#REF!/30),O363/(I363/30)),0)</f>
        <v>15.537464245214361</v>
      </c>
      <c r="R363" s="9">
        <f t="shared" si="32"/>
        <v>15.537464245214361</v>
      </c>
    </row>
    <row r="364" spans="1:18" ht="13.15" x14ac:dyDescent="0.45">
      <c r="A364" s="15" t="str">
        <f t="shared" si="28"/>
        <v>430114654</v>
      </c>
      <c r="B364" s="19" t="s">
        <v>74</v>
      </c>
      <c r="C364" s="6" t="e">
        <f>_xlfn.XLOOKUP(B:B,#REF!,#REF!)</f>
        <v>#REF!</v>
      </c>
      <c r="D364" s="19" t="s">
        <v>52</v>
      </c>
      <c r="E364" s="6" t="str">
        <f t="shared" si="29"/>
        <v>430114654</v>
      </c>
      <c r="F364" s="19" t="s">
        <v>53</v>
      </c>
      <c r="G364" s="7" t="e">
        <f>VLOOKUP(D364,#REF!,4,)</f>
        <v>#REF!</v>
      </c>
      <c r="H364" s="6" t="e">
        <f>VLOOKUP(D364,#REF!,5,)</f>
        <v>#REF!</v>
      </c>
      <c r="I364" s="27">
        <v>11321.52</v>
      </c>
      <c r="J364" s="27">
        <v>10332</v>
      </c>
      <c r="K364" s="8">
        <f t="shared" si="30"/>
        <v>0.91259830835435518</v>
      </c>
      <c r="L364" s="27">
        <v>0</v>
      </c>
      <c r="M364" s="21"/>
      <c r="N364" s="27">
        <v>11304</v>
      </c>
      <c r="O364" s="27">
        <v>11304</v>
      </c>
      <c r="P364" s="9">
        <f t="shared" si="31"/>
        <v>-10314.48</v>
      </c>
      <c r="Q364" s="9">
        <f>IFERROR(IF(D364=20250,O364/(#REF!/30),O364/(I364/30)),0)</f>
        <v>29.953575138320648</v>
      </c>
      <c r="R364" s="9">
        <f t="shared" si="32"/>
        <v>29.953575138320648</v>
      </c>
    </row>
    <row r="365" spans="1:18" ht="13.15" x14ac:dyDescent="0.45">
      <c r="A365" s="15" t="str">
        <f t="shared" si="28"/>
        <v>430114788</v>
      </c>
      <c r="B365" s="19" t="s">
        <v>74</v>
      </c>
      <c r="C365" s="6" t="e">
        <f>_xlfn.XLOOKUP(B:B,#REF!,#REF!)</f>
        <v>#REF!</v>
      </c>
      <c r="D365" s="19" t="s">
        <v>54</v>
      </c>
      <c r="E365" s="6" t="str">
        <f t="shared" si="29"/>
        <v>430114788</v>
      </c>
      <c r="F365" s="19" t="s">
        <v>55</v>
      </c>
      <c r="G365" s="7" t="e">
        <f>VLOOKUP(D365,#REF!,4,)</f>
        <v>#REF!</v>
      </c>
      <c r="H365" s="6" t="e">
        <f>VLOOKUP(D365,#REF!,5,)</f>
        <v>#REF!</v>
      </c>
      <c r="I365" s="27">
        <v>8434.44</v>
      </c>
      <c r="J365" s="27">
        <v>7740</v>
      </c>
      <c r="K365" s="8">
        <f t="shared" si="30"/>
        <v>0.91766614025353188</v>
      </c>
      <c r="L365" s="27">
        <v>0</v>
      </c>
      <c r="M365" s="21"/>
      <c r="N365" s="27">
        <v>12300</v>
      </c>
      <c r="O365" s="27">
        <v>12300</v>
      </c>
      <c r="P365" s="9">
        <f t="shared" si="31"/>
        <v>-11605.56</v>
      </c>
      <c r="Q365" s="9">
        <f>IFERROR(IF(D365=20250,O365/(#REF!/30),O365/(I365/30)),0)</f>
        <v>43.749199709761406</v>
      </c>
      <c r="R365" s="9">
        <f t="shared" si="32"/>
        <v>43.749199709761406</v>
      </c>
    </row>
    <row r="366" spans="1:18" ht="13.15" x14ac:dyDescent="0.45">
      <c r="A366" s="15" t="str">
        <f t="shared" si="28"/>
        <v>430115459</v>
      </c>
      <c r="B366" s="19" t="s">
        <v>74</v>
      </c>
      <c r="C366" s="6" t="e">
        <f>_xlfn.XLOOKUP(B:B,#REF!,#REF!)</f>
        <v>#REF!</v>
      </c>
      <c r="D366" s="19" t="s">
        <v>68</v>
      </c>
      <c r="E366" s="6" t="str">
        <f t="shared" si="29"/>
        <v>430115459</v>
      </c>
      <c r="F366" s="19" t="s">
        <v>69</v>
      </c>
      <c r="G366" s="7" t="e">
        <f>VLOOKUP(D366,#REF!,4,)</f>
        <v>#REF!</v>
      </c>
      <c r="H366" s="6" t="e">
        <f>VLOOKUP(D366,#REF!,5,)</f>
        <v>#REF!</v>
      </c>
      <c r="I366" s="27">
        <v>0</v>
      </c>
      <c r="J366" s="27">
        <v>0</v>
      </c>
      <c r="K366" s="8">
        <f t="shared" si="30"/>
        <v>0</v>
      </c>
      <c r="L366" s="27">
        <v>0</v>
      </c>
      <c r="M366" s="21"/>
      <c r="N366" s="27">
        <v>39920</v>
      </c>
      <c r="O366" s="27">
        <v>39920</v>
      </c>
      <c r="P366" s="9">
        <f t="shared" si="31"/>
        <v>-39920</v>
      </c>
      <c r="Q366" s="9">
        <f>IFERROR(IF(D366=20250,O366/(#REF!/30),O366/(I366/30)),0)</f>
        <v>0</v>
      </c>
      <c r="R366" s="9">
        <f t="shared" si="32"/>
        <v>0</v>
      </c>
    </row>
    <row r="367" spans="1:18" ht="13.15" x14ac:dyDescent="0.45">
      <c r="A367" s="15" t="str">
        <f t="shared" si="28"/>
        <v>430115536</v>
      </c>
      <c r="B367" s="19" t="s">
        <v>74</v>
      </c>
      <c r="C367" s="6" t="e">
        <f>_xlfn.XLOOKUP(B:B,#REF!,#REF!)</f>
        <v>#REF!</v>
      </c>
      <c r="D367" s="19" t="s">
        <v>56</v>
      </c>
      <c r="E367" s="6" t="str">
        <f t="shared" si="29"/>
        <v>430115536</v>
      </c>
      <c r="F367" s="19" t="s">
        <v>57</v>
      </c>
      <c r="G367" s="7" t="e">
        <f>VLOOKUP(D367,#REF!,4,)</f>
        <v>#REF!</v>
      </c>
      <c r="H367" s="6" t="e">
        <f>VLOOKUP(D367,#REF!,5,)</f>
        <v>#REF!</v>
      </c>
      <c r="I367" s="27">
        <v>22182.6</v>
      </c>
      <c r="J367" s="27">
        <v>14880</v>
      </c>
      <c r="K367" s="8">
        <f t="shared" si="30"/>
        <v>0.67079602932027815</v>
      </c>
      <c r="L367" s="27">
        <v>6000</v>
      </c>
      <c r="M367" s="21">
        <v>46168</v>
      </c>
      <c r="N367" s="27">
        <v>13560</v>
      </c>
      <c r="O367" s="27">
        <v>19560</v>
      </c>
      <c r="P367" s="9">
        <f t="shared" si="31"/>
        <v>-12257.400000000001</v>
      </c>
      <c r="Q367" s="9">
        <f>IFERROR(IF(D367=20250,O367/(#REF!/30),O367/(I367/30)),0)</f>
        <v>26.45316599496903</v>
      </c>
      <c r="R367" s="9">
        <f t="shared" si="32"/>
        <v>18.338697898352763</v>
      </c>
    </row>
    <row r="368" spans="1:18" ht="13.15" x14ac:dyDescent="0.45">
      <c r="A368" s="15" t="str">
        <f t="shared" si="28"/>
        <v>430115906</v>
      </c>
      <c r="B368" s="19" t="s">
        <v>74</v>
      </c>
      <c r="C368" s="6" t="e">
        <f>_xlfn.XLOOKUP(B:B,#REF!,#REF!)</f>
        <v>#REF!</v>
      </c>
      <c r="D368" s="19" t="s">
        <v>58</v>
      </c>
      <c r="E368" s="6" t="str">
        <f t="shared" si="29"/>
        <v>430115906</v>
      </c>
      <c r="F368" s="19" t="s">
        <v>59</v>
      </c>
      <c r="G368" s="7" t="e">
        <f>VLOOKUP(D368,#REF!,4,)</f>
        <v>#REF!</v>
      </c>
      <c r="H368" s="6" t="e">
        <f>VLOOKUP(D368,#REF!,5,)</f>
        <v>#REF!</v>
      </c>
      <c r="I368" s="27">
        <v>0</v>
      </c>
      <c r="J368" s="27">
        <v>0</v>
      </c>
      <c r="K368" s="8">
        <f t="shared" si="30"/>
        <v>0</v>
      </c>
      <c r="L368" s="27">
        <v>24</v>
      </c>
      <c r="M368" s="21">
        <v>46163</v>
      </c>
      <c r="N368" s="27">
        <v>10176</v>
      </c>
      <c r="O368" s="27">
        <v>10200</v>
      </c>
      <c r="P368" s="9">
        <f t="shared" si="31"/>
        <v>-10200</v>
      </c>
      <c r="Q368" s="9">
        <f>IFERROR(IF(D368=20250,O368/(#REF!/30),O368/(I368/30)),0)</f>
        <v>0</v>
      </c>
      <c r="R368" s="9">
        <f t="shared" si="32"/>
        <v>0</v>
      </c>
    </row>
    <row r="369" spans="1:18" ht="13.15" x14ac:dyDescent="0.45">
      <c r="A369" s="15" t="str">
        <f t="shared" si="28"/>
        <v>430116336</v>
      </c>
      <c r="B369" s="19" t="s">
        <v>74</v>
      </c>
      <c r="C369" s="6" t="e">
        <f>_xlfn.XLOOKUP(B:B,#REF!,#REF!)</f>
        <v>#REF!</v>
      </c>
      <c r="D369" s="19" t="s">
        <v>20</v>
      </c>
      <c r="E369" s="6" t="str">
        <f t="shared" si="29"/>
        <v>430116336</v>
      </c>
      <c r="F369" s="19" t="s">
        <v>21</v>
      </c>
      <c r="G369" s="7" t="e">
        <f>VLOOKUP(D369,#REF!,4,)</f>
        <v>#REF!</v>
      </c>
      <c r="H369" s="6" t="e">
        <f>VLOOKUP(D369,#REF!,5,)</f>
        <v>#REF!</v>
      </c>
      <c r="I369" s="27">
        <v>79503.12</v>
      </c>
      <c r="J369" s="27">
        <v>63144</v>
      </c>
      <c r="K369" s="8">
        <f t="shared" si="30"/>
        <v>0.79423298104527218</v>
      </c>
      <c r="L369" s="27">
        <v>10020</v>
      </c>
      <c r="M369" s="21">
        <v>46168</v>
      </c>
      <c r="N369" s="27">
        <v>6888</v>
      </c>
      <c r="O369" s="27">
        <v>16908</v>
      </c>
      <c r="P369" s="9">
        <f t="shared" si="31"/>
        <v>-548.88000000000466</v>
      </c>
      <c r="Q369" s="9">
        <f>IFERROR(IF(D369=20250,O369/(#REF!/30),O369/(I369/30)),0)</f>
        <v>6.3801269686019877</v>
      </c>
      <c r="R369" s="9">
        <f t="shared" si="32"/>
        <v>2.5991432789052809</v>
      </c>
    </row>
    <row r="370" spans="1:18" ht="13.15" x14ac:dyDescent="0.45">
      <c r="A370" s="15" t="str">
        <f t="shared" si="28"/>
        <v>430116984</v>
      </c>
      <c r="B370" s="19" t="s">
        <v>74</v>
      </c>
      <c r="C370" s="6" t="e">
        <f>_xlfn.XLOOKUP(B:B,#REF!,#REF!)</f>
        <v>#REF!</v>
      </c>
      <c r="D370" s="19" t="s">
        <v>60</v>
      </c>
      <c r="E370" s="6" t="str">
        <f t="shared" si="29"/>
        <v>430116984</v>
      </c>
      <c r="F370" s="19" t="s">
        <v>61</v>
      </c>
      <c r="G370" s="7" t="e">
        <f>VLOOKUP(D370,#REF!,4,)</f>
        <v>#REF!</v>
      </c>
      <c r="H370" s="6" t="e">
        <f>VLOOKUP(D370,#REF!,5,)</f>
        <v>#REF!</v>
      </c>
      <c r="I370" s="27">
        <v>204</v>
      </c>
      <c r="J370" s="27">
        <v>156</v>
      </c>
      <c r="K370" s="8">
        <f t="shared" si="30"/>
        <v>0.76470588235294112</v>
      </c>
      <c r="L370" s="27">
        <v>0</v>
      </c>
      <c r="M370" s="21"/>
      <c r="N370" s="27">
        <v>48</v>
      </c>
      <c r="O370" s="27">
        <v>48</v>
      </c>
      <c r="P370" s="9">
        <f t="shared" si="31"/>
        <v>0</v>
      </c>
      <c r="Q370" s="9">
        <f>IFERROR(IF(D370=20250,O370/(#REF!/30),O370/(I370/30)),0)</f>
        <v>7.0588235294117645</v>
      </c>
      <c r="R370" s="9">
        <f t="shared" si="32"/>
        <v>7.0588235294117645</v>
      </c>
    </row>
    <row r="371" spans="1:18" ht="13.15" x14ac:dyDescent="0.45">
      <c r="A371" s="15" t="str">
        <f t="shared" si="28"/>
        <v>430116998</v>
      </c>
      <c r="B371" s="19" t="s">
        <v>74</v>
      </c>
      <c r="C371" s="6" t="e">
        <f>_xlfn.XLOOKUP(B:B,#REF!,#REF!)</f>
        <v>#REF!</v>
      </c>
      <c r="D371" s="19" t="s">
        <v>62</v>
      </c>
      <c r="E371" s="6" t="str">
        <f t="shared" si="29"/>
        <v>430116998</v>
      </c>
      <c r="F371" s="19" t="s">
        <v>63</v>
      </c>
      <c r="G371" s="7" t="e">
        <f>VLOOKUP(D371,#REF!,4,)</f>
        <v>#REF!</v>
      </c>
      <c r="H371" s="6" t="e">
        <f>VLOOKUP(D371,#REF!,5,)</f>
        <v>#REF!</v>
      </c>
      <c r="I371" s="27">
        <v>9000</v>
      </c>
      <c r="J371" s="27">
        <v>7464</v>
      </c>
      <c r="K371" s="8">
        <f t="shared" si="30"/>
        <v>0.82933333333333337</v>
      </c>
      <c r="L371" s="27">
        <v>5364</v>
      </c>
      <c r="M371" s="21">
        <v>46168</v>
      </c>
      <c r="N371" s="27">
        <v>10248</v>
      </c>
      <c r="O371" s="27">
        <v>15612</v>
      </c>
      <c r="P371" s="9">
        <f t="shared" si="31"/>
        <v>-14076</v>
      </c>
      <c r="Q371" s="9">
        <f>IFERROR(IF(D371=20250,O371/(#REF!/30),O371/(I371/30)),0)</f>
        <v>52.04</v>
      </c>
      <c r="R371" s="9">
        <f t="shared" si="32"/>
        <v>34.159999999999997</v>
      </c>
    </row>
    <row r="372" spans="1:18" ht="13.15" x14ac:dyDescent="0.45">
      <c r="A372" s="15" t="str">
        <f t="shared" si="28"/>
        <v>430118098</v>
      </c>
      <c r="B372" s="19" t="s">
        <v>74</v>
      </c>
      <c r="C372" s="6" t="e">
        <f>_xlfn.XLOOKUP(B:B,#REF!,#REF!)</f>
        <v>#REF!</v>
      </c>
      <c r="D372" s="19" t="s">
        <v>64</v>
      </c>
      <c r="E372" s="6" t="str">
        <f t="shared" si="29"/>
        <v>430118098</v>
      </c>
      <c r="F372" s="19" t="s">
        <v>131</v>
      </c>
      <c r="G372" s="7" t="e">
        <f>VLOOKUP(D372,#REF!,4,)</f>
        <v>#REF!</v>
      </c>
      <c r="H372" s="6" t="e">
        <f>VLOOKUP(D372,#REF!,5,)</f>
        <v>#REF!</v>
      </c>
      <c r="I372" s="27">
        <v>1299.96</v>
      </c>
      <c r="J372" s="27">
        <v>840</v>
      </c>
      <c r="K372" s="8">
        <f t="shared" si="30"/>
        <v>0.64617372842241294</v>
      </c>
      <c r="L372" s="27">
        <v>0</v>
      </c>
      <c r="M372" s="21"/>
      <c r="N372" s="27">
        <v>40548</v>
      </c>
      <c r="O372" s="27">
        <v>40548</v>
      </c>
      <c r="P372" s="9">
        <f t="shared" si="31"/>
        <v>-40088.04</v>
      </c>
      <c r="Q372" s="9">
        <f>IFERROR(IF(D372=20250,O372/(#REF!/30),O372/(I372/30)),0)</f>
        <v>935.75186928828577</v>
      </c>
      <c r="R372" s="9">
        <f t="shared" si="32"/>
        <v>935.75186928828577</v>
      </c>
    </row>
    <row r="373" spans="1:18" ht="13.15" x14ac:dyDescent="0.45">
      <c r="A373" s="15" t="str">
        <f t="shared" si="28"/>
        <v>430120308</v>
      </c>
      <c r="B373" s="19" t="s">
        <v>74</v>
      </c>
      <c r="C373" s="6" t="e">
        <f>_xlfn.XLOOKUP(B:B,#REF!,#REF!)</f>
        <v>#REF!</v>
      </c>
      <c r="D373" s="19" t="s">
        <v>84</v>
      </c>
      <c r="E373" s="6" t="str">
        <f t="shared" si="29"/>
        <v>430120308</v>
      </c>
      <c r="F373" s="19" t="s">
        <v>108</v>
      </c>
      <c r="G373" s="7" t="e">
        <f>VLOOKUP(D373,#REF!,4,)</f>
        <v>#REF!</v>
      </c>
      <c r="H373" s="6" t="e">
        <f>VLOOKUP(D373,#REF!,5,)</f>
        <v>#REF!</v>
      </c>
      <c r="I373" s="27">
        <v>0</v>
      </c>
      <c r="J373" s="27">
        <v>360</v>
      </c>
      <c r="K373" s="8">
        <f t="shared" si="30"/>
        <v>0</v>
      </c>
      <c r="L373" s="27">
        <v>0</v>
      </c>
      <c r="M373" s="21"/>
      <c r="N373" s="27">
        <v>13032</v>
      </c>
      <c r="O373" s="27">
        <v>13032</v>
      </c>
      <c r="P373" s="9">
        <f t="shared" si="31"/>
        <v>-13392</v>
      </c>
      <c r="Q373" s="9">
        <f>IFERROR(IF(D373=20250,O373/(#REF!/30),O373/(I373/30)),0)</f>
        <v>0</v>
      </c>
      <c r="R373" s="9">
        <f t="shared" si="32"/>
        <v>0</v>
      </c>
    </row>
    <row r="374" spans="1:18" ht="13.15" x14ac:dyDescent="0.45">
      <c r="A374" s="15" t="str">
        <f t="shared" si="28"/>
        <v>430120827</v>
      </c>
      <c r="B374" s="19" t="s">
        <v>74</v>
      </c>
      <c r="C374" s="6" t="e">
        <f>_xlfn.XLOOKUP(B:B,#REF!,#REF!)</f>
        <v>#REF!</v>
      </c>
      <c r="D374" s="19" t="s">
        <v>85</v>
      </c>
      <c r="E374" s="6" t="str">
        <f t="shared" si="29"/>
        <v>430120827</v>
      </c>
      <c r="F374" s="19" t="s">
        <v>86</v>
      </c>
      <c r="G374" s="7" t="e">
        <f>VLOOKUP(D374,#REF!,4,)</f>
        <v>#REF!</v>
      </c>
      <c r="H374" s="6" t="e">
        <f>VLOOKUP(D374,#REF!,5,)</f>
        <v>#REF!</v>
      </c>
      <c r="I374" s="27">
        <v>6799.92</v>
      </c>
      <c r="J374" s="27">
        <v>7968</v>
      </c>
      <c r="K374" s="8">
        <f t="shared" si="30"/>
        <v>1.1717784915116649</v>
      </c>
      <c r="L374" s="27">
        <v>0</v>
      </c>
      <c r="M374" s="21"/>
      <c r="N374" s="27">
        <v>6804</v>
      </c>
      <c r="O374" s="27">
        <v>6804</v>
      </c>
      <c r="P374" s="9">
        <f t="shared" si="31"/>
        <v>-7972.08</v>
      </c>
      <c r="Q374" s="9">
        <f>IFERROR(IF(D374=20250,O374/(#REF!/30),O374/(I374/30)),0)</f>
        <v>30.018000211767195</v>
      </c>
      <c r="R374" s="9">
        <f t="shared" si="32"/>
        <v>30.018000211767195</v>
      </c>
    </row>
    <row r="375" spans="1:18" ht="13.15" x14ac:dyDescent="0.45">
      <c r="A375" s="15" t="str">
        <f t="shared" si="28"/>
        <v>430121910</v>
      </c>
      <c r="B375" s="19" t="s">
        <v>74</v>
      </c>
      <c r="C375" s="6" t="e">
        <f>_xlfn.XLOOKUP(B:B,#REF!,#REF!)</f>
        <v>#REF!</v>
      </c>
      <c r="D375" s="19" t="s">
        <v>91</v>
      </c>
      <c r="E375" s="6" t="str">
        <f t="shared" si="29"/>
        <v>430121910</v>
      </c>
      <c r="F375" s="19" t="s">
        <v>92</v>
      </c>
      <c r="G375" s="7" t="e">
        <f>VLOOKUP(D375,#REF!,4,)</f>
        <v>#REF!</v>
      </c>
      <c r="H375" s="6" t="e">
        <f>VLOOKUP(D375,#REF!,5,)</f>
        <v>#REF!</v>
      </c>
      <c r="I375" s="27">
        <v>0</v>
      </c>
      <c r="J375" s="27">
        <v>0</v>
      </c>
      <c r="K375" s="8">
        <f t="shared" si="30"/>
        <v>0</v>
      </c>
      <c r="L375" s="27">
        <v>0</v>
      </c>
      <c r="M375" s="21"/>
      <c r="N375" s="27">
        <v>49908</v>
      </c>
      <c r="O375" s="27">
        <v>49908</v>
      </c>
      <c r="P375" s="9">
        <f t="shared" si="31"/>
        <v>-49908</v>
      </c>
      <c r="Q375" s="9">
        <f>IFERROR(IF(D375=20250,O375/(#REF!/30),O375/(I375/30)),0)</f>
        <v>0</v>
      </c>
      <c r="R375" s="9">
        <f t="shared" si="32"/>
        <v>0</v>
      </c>
    </row>
    <row r="376" spans="1:18" ht="13.15" x14ac:dyDescent="0.45">
      <c r="A376" s="15" t="str">
        <f t="shared" si="28"/>
        <v>430123081</v>
      </c>
      <c r="B376" s="19" t="s">
        <v>74</v>
      </c>
      <c r="C376" s="6" t="e">
        <f>_xlfn.XLOOKUP(B:B,#REF!,#REF!)</f>
        <v>#REF!</v>
      </c>
      <c r="D376" s="19" t="s">
        <v>96</v>
      </c>
      <c r="E376" s="6" t="str">
        <f t="shared" si="29"/>
        <v>430123081</v>
      </c>
      <c r="F376" s="19" t="s">
        <v>97</v>
      </c>
      <c r="G376" s="7" t="e">
        <f>VLOOKUP(D376,#REF!,4,)</f>
        <v>#REF!</v>
      </c>
      <c r="H376" s="6" t="e">
        <f>VLOOKUP(D376,#REF!,5,)</f>
        <v>#REF!</v>
      </c>
      <c r="I376" s="27">
        <v>540</v>
      </c>
      <c r="J376" s="27">
        <v>36</v>
      </c>
      <c r="K376" s="8">
        <f t="shared" si="30"/>
        <v>6.6666666666666666E-2</v>
      </c>
      <c r="L376" s="27">
        <v>12612</v>
      </c>
      <c r="M376" s="21">
        <v>46169</v>
      </c>
      <c r="N376" s="27">
        <v>16068</v>
      </c>
      <c r="O376" s="27">
        <v>28680</v>
      </c>
      <c r="P376" s="9">
        <f t="shared" si="31"/>
        <v>-28176</v>
      </c>
      <c r="Q376" s="9">
        <f>IFERROR(IF(D376=20250,O376/(#REF!/30),O376/(I376/30)),0)</f>
        <v>1593.3333333333333</v>
      </c>
      <c r="R376" s="9">
        <f t="shared" si="32"/>
        <v>892.66666666666663</v>
      </c>
    </row>
    <row r="377" spans="1:18" ht="13.15" x14ac:dyDescent="0.45">
      <c r="A377" s="15" t="str">
        <f t="shared" si="28"/>
        <v>430123401</v>
      </c>
      <c r="B377" s="19" t="s">
        <v>74</v>
      </c>
      <c r="C377" s="6" t="e">
        <f>_xlfn.XLOOKUP(B:B,#REF!,#REF!)</f>
        <v>#REF!</v>
      </c>
      <c r="D377" s="19" t="s">
        <v>98</v>
      </c>
      <c r="E377" s="6" t="str">
        <f t="shared" si="29"/>
        <v>430123401</v>
      </c>
      <c r="F377" s="19" t="s">
        <v>99</v>
      </c>
      <c r="G377" s="7" t="e">
        <f>VLOOKUP(D377,#REF!,4,)</f>
        <v>#REF!</v>
      </c>
      <c r="H377" s="6" t="e">
        <f>VLOOKUP(D377,#REF!,5,)</f>
        <v>#REF!</v>
      </c>
      <c r="I377" s="27">
        <v>4206</v>
      </c>
      <c r="J377" s="27">
        <v>0</v>
      </c>
      <c r="K377" s="8">
        <f t="shared" si="30"/>
        <v>0</v>
      </c>
      <c r="L377" s="27">
        <v>2400</v>
      </c>
      <c r="M377" s="21">
        <v>46168</v>
      </c>
      <c r="N377" s="27">
        <v>2088</v>
      </c>
      <c r="O377" s="27">
        <v>4488</v>
      </c>
      <c r="P377" s="9">
        <f t="shared" si="31"/>
        <v>-282</v>
      </c>
      <c r="Q377" s="9">
        <f>IFERROR(IF(D377=20250,O377/(#REF!/30),O377/(I377/30)),0)</f>
        <v>32.011412268188302</v>
      </c>
      <c r="R377" s="9">
        <f t="shared" si="32"/>
        <v>14.893009985734667</v>
      </c>
    </row>
    <row r="378" spans="1:18" ht="13.15" x14ac:dyDescent="0.45">
      <c r="A378" s="15" t="str">
        <f t="shared" si="28"/>
        <v>430123890</v>
      </c>
      <c r="B378" s="19" t="s">
        <v>74</v>
      </c>
      <c r="C378" s="6" t="e">
        <f>_xlfn.XLOOKUP(B:B,#REF!,#REF!)</f>
        <v>#REF!</v>
      </c>
      <c r="D378" s="19" t="s">
        <v>103</v>
      </c>
      <c r="E378" s="6" t="str">
        <f t="shared" si="29"/>
        <v>430123890</v>
      </c>
      <c r="F378" s="19" t="s">
        <v>104</v>
      </c>
      <c r="G378" s="7" t="e">
        <f>VLOOKUP(D378,#REF!,4,)</f>
        <v>#REF!</v>
      </c>
      <c r="H378" s="6" t="e">
        <f>VLOOKUP(D378,#REF!,5,)</f>
        <v>#REF!</v>
      </c>
      <c r="I378" s="27">
        <v>0</v>
      </c>
      <c r="J378" s="27">
        <v>0</v>
      </c>
      <c r="K378" s="8">
        <f t="shared" si="30"/>
        <v>0</v>
      </c>
      <c r="L378" s="27">
        <v>0</v>
      </c>
      <c r="M378" s="21"/>
      <c r="N378" s="27">
        <v>1356</v>
      </c>
      <c r="O378" s="27">
        <v>1356</v>
      </c>
      <c r="P378" s="9">
        <f t="shared" si="31"/>
        <v>-1356</v>
      </c>
      <c r="Q378" s="9">
        <f>IFERROR(IF(D378=20250,O378/(#REF!/30),O378/(I378/30)),0)</f>
        <v>0</v>
      </c>
      <c r="R378" s="9">
        <f t="shared" si="32"/>
        <v>0</v>
      </c>
    </row>
    <row r="379" spans="1:18" ht="13.15" x14ac:dyDescent="0.45">
      <c r="A379" s="15" t="str">
        <f t="shared" si="28"/>
        <v>430124768</v>
      </c>
      <c r="B379" s="19" t="s">
        <v>74</v>
      </c>
      <c r="C379" s="6" t="e">
        <f>_xlfn.XLOOKUP(B:B,#REF!,#REF!)</f>
        <v>#REF!</v>
      </c>
      <c r="D379" s="19" t="s">
        <v>111</v>
      </c>
      <c r="E379" s="6" t="str">
        <f t="shared" si="29"/>
        <v>430124768</v>
      </c>
      <c r="F379" s="19" t="s">
        <v>112</v>
      </c>
      <c r="G379" s="7" t="e">
        <f>VLOOKUP(D379,#REF!,4,)</f>
        <v>#REF!</v>
      </c>
      <c r="H379" s="6" t="e">
        <f>VLOOKUP(D379,#REF!,5,)</f>
        <v>#REF!</v>
      </c>
      <c r="I379" s="27">
        <v>2404.92</v>
      </c>
      <c r="J379" s="27">
        <v>2160</v>
      </c>
      <c r="K379" s="8">
        <f t="shared" si="30"/>
        <v>0.8981587745122499</v>
      </c>
      <c r="L379" s="27">
        <v>1200</v>
      </c>
      <c r="M379" s="21">
        <v>46168</v>
      </c>
      <c r="N379" s="27">
        <v>1392</v>
      </c>
      <c r="O379" s="27">
        <v>2592</v>
      </c>
      <c r="P379" s="9">
        <f t="shared" si="31"/>
        <v>-2347.08</v>
      </c>
      <c r="Q379" s="9">
        <f>IFERROR(IF(D379=20250,O379/(#REF!/30),O379/(I379/30)),0)</f>
        <v>32.333715882440998</v>
      </c>
      <c r="R379" s="9">
        <f t="shared" si="32"/>
        <v>17.364402973903498</v>
      </c>
    </row>
    <row r="380" spans="1:18" ht="13.15" x14ac:dyDescent="0.45">
      <c r="A380" s="15" t="str">
        <f t="shared" si="28"/>
        <v>430125570</v>
      </c>
      <c r="B380" s="19" t="s">
        <v>74</v>
      </c>
      <c r="C380" s="6" t="e">
        <f>_xlfn.XLOOKUP(B:B,#REF!,#REF!)</f>
        <v>#REF!</v>
      </c>
      <c r="D380" s="19" t="s">
        <v>116</v>
      </c>
      <c r="E380" s="6" t="str">
        <f t="shared" si="29"/>
        <v>430125570</v>
      </c>
      <c r="F380" s="19" t="s">
        <v>118</v>
      </c>
      <c r="G380" s="7" t="e">
        <f>VLOOKUP(D380,#REF!,4,)</f>
        <v>#REF!</v>
      </c>
      <c r="H380" s="6" t="e">
        <f>VLOOKUP(D380,#REF!,5,)</f>
        <v>#REF!</v>
      </c>
      <c r="I380" s="27">
        <v>300</v>
      </c>
      <c r="J380" s="27">
        <v>120</v>
      </c>
      <c r="K380" s="8">
        <f t="shared" si="30"/>
        <v>0.4</v>
      </c>
      <c r="L380" s="27">
        <v>24</v>
      </c>
      <c r="M380" s="21">
        <v>46163</v>
      </c>
      <c r="N380" s="27">
        <v>6744</v>
      </c>
      <c r="O380" s="27">
        <v>6768</v>
      </c>
      <c r="P380" s="9">
        <f t="shared" si="31"/>
        <v>-6588</v>
      </c>
      <c r="Q380" s="9">
        <f>IFERROR(IF(D380=20250,O380/(#REF!/30),O380/(I380/30)),0)</f>
        <v>676.8</v>
      </c>
      <c r="R380" s="9">
        <f t="shared" si="32"/>
        <v>674.4</v>
      </c>
    </row>
    <row r="381" spans="1:18" ht="13.15" x14ac:dyDescent="0.45">
      <c r="A381" s="15" t="str">
        <f t="shared" si="28"/>
        <v>430125598</v>
      </c>
      <c r="B381" s="19" t="s">
        <v>74</v>
      </c>
      <c r="C381" s="6" t="e">
        <f>_xlfn.XLOOKUP(B:B,#REF!,#REF!)</f>
        <v>#REF!</v>
      </c>
      <c r="D381" s="19" t="s">
        <v>117</v>
      </c>
      <c r="E381" s="6" t="str">
        <f t="shared" si="29"/>
        <v>430125598</v>
      </c>
      <c r="F381" s="19" t="s">
        <v>119</v>
      </c>
      <c r="G381" s="7" t="e">
        <f>VLOOKUP(D381,#REF!,4,)</f>
        <v>#REF!</v>
      </c>
      <c r="H381" s="6" t="e">
        <f>VLOOKUP(D381,#REF!,5,)</f>
        <v>#REF!</v>
      </c>
      <c r="I381" s="27">
        <v>1845.6</v>
      </c>
      <c r="J381" s="27">
        <v>792</v>
      </c>
      <c r="K381" s="8">
        <f t="shared" si="30"/>
        <v>0.42912873862158651</v>
      </c>
      <c r="L381" s="27">
        <v>0</v>
      </c>
      <c r="M381" s="21"/>
      <c r="N381" s="27">
        <v>6744</v>
      </c>
      <c r="O381" s="27">
        <v>6744</v>
      </c>
      <c r="P381" s="9">
        <f t="shared" si="31"/>
        <v>-5690.4</v>
      </c>
      <c r="Q381" s="9">
        <f>IFERROR(IF(D381=20250,O381/(#REF!/30),O381/(I381/30)),0)</f>
        <v>109.62288686605983</v>
      </c>
      <c r="R381" s="9">
        <f t="shared" si="32"/>
        <v>109.62288686605983</v>
      </c>
    </row>
    <row r="382" spans="1:18" ht="13.15" x14ac:dyDescent="0.45">
      <c r="A382" s="15" t="str">
        <f t="shared" si="28"/>
        <v>430125616</v>
      </c>
      <c r="B382" s="19" t="s">
        <v>74</v>
      </c>
      <c r="C382" s="6" t="e">
        <f>_xlfn.XLOOKUP(B:B,#REF!,#REF!)</f>
        <v>#REF!</v>
      </c>
      <c r="D382" s="19" t="s">
        <v>114</v>
      </c>
      <c r="E382" s="6" t="str">
        <f t="shared" si="29"/>
        <v>430125616</v>
      </c>
      <c r="F382" s="19" t="s">
        <v>115</v>
      </c>
      <c r="G382" s="7" t="e">
        <f>VLOOKUP(D382,#REF!,4,)</f>
        <v>#REF!</v>
      </c>
      <c r="H382" s="6" t="e">
        <f>VLOOKUP(D382,#REF!,5,)</f>
        <v>#REF!</v>
      </c>
      <c r="I382" s="27">
        <v>0</v>
      </c>
      <c r="J382" s="27">
        <v>0</v>
      </c>
      <c r="K382" s="8">
        <f t="shared" si="30"/>
        <v>0</v>
      </c>
      <c r="L382" s="27">
        <v>0</v>
      </c>
      <c r="M382" s="21"/>
      <c r="N382" s="27">
        <v>16180</v>
      </c>
      <c r="O382" s="27">
        <v>16180</v>
      </c>
      <c r="P382" s="9">
        <f t="shared" si="31"/>
        <v>-16180</v>
      </c>
      <c r="Q382" s="9">
        <f>IFERROR(IF(D382=20250,O382/(#REF!/30),O382/(I382/30)),0)</f>
        <v>0</v>
      </c>
      <c r="R382" s="9">
        <f t="shared" si="32"/>
        <v>0</v>
      </c>
    </row>
    <row r="383" spans="1:18" ht="13.15" x14ac:dyDescent="0.45">
      <c r="A383" s="15" t="str">
        <f t="shared" si="28"/>
        <v>430206151</v>
      </c>
      <c r="B383" s="19" t="s">
        <v>102</v>
      </c>
      <c r="C383" s="6" t="e">
        <f>_xlfn.XLOOKUP(B:B,#REF!,#REF!)</f>
        <v>#REF!</v>
      </c>
      <c r="D383" s="19" t="s">
        <v>23</v>
      </c>
      <c r="E383" s="6" t="str">
        <f t="shared" si="29"/>
        <v>430206151</v>
      </c>
      <c r="F383" s="19" t="s">
        <v>24</v>
      </c>
      <c r="G383" s="7" t="e">
        <f>VLOOKUP(D383,#REF!,4,)</f>
        <v>#REF!</v>
      </c>
      <c r="H383" s="6" t="e">
        <f>VLOOKUP(D383,#REF!,5,)</f>
        <v>#REF!</v>
      </c>
      <c r="I383" s="27">
        <v>15229.68</v>
      </c>
      <c r="J383" s="27">
        <v>9300</v>
      </c>
      <c r="K383" s="8">
        <f t="shared" si="30"/>
        <v>0.61064973131411826</v>
      </c>
      <c r="L383" s="27">
        <v>0</v>
      </c>
      <c r="M383" s="21"/>
      <c r="N383" s="27">
        <v>8112</v>
      </c>
      <c r="O383" s="27">
        <v>8112</v>
      </c>
      <c r="P383" s="9">
        <f t="shared" si="31"/>
        <v>-2182.3199999999997</v>
      </c>
      <c r="Q383" s="9">
        <f>IFERROR(IF(D383=20250,O383/(#REF!/30),O383/(I383/30)),0)</f>
        <v>15.979324582000409</v>
      </c>
      <c r="R383" s="9">
        <f t="shared" si="32"/>
        <v>15.979324582000409</v>
      </c>
    </row>
    <row r="384" spans="1:18" ht="13.15" x14ac:dyDescent="0.45">
      <c r="A384" s="15" t="str">
        <f t="shared" si="28"/>
        <v>430213490</v>
      </c>
      <c r="B384" s="19" t="s">
        <v>102</v>
      </c>
      <c r="C384" s="6" t="e">
        <f>_xlfn.XLOOKUP(B:B,#REF!,#REF!)</f>
        <v>#REF!</v>
      </c>
      <c r="D384" s="19" t="s">
        <v>27</v>
      </c>
      <c r="E384" s="6" t="str">
        <f t="shared" si="29"/>
        <v>430213490</v>
      </c>
      <c r="F384" s="19" t="s">
        <v>28</v>
      </c>
      <c r="G384" s="7" t="e">
        <f>VLOOKUP(D384,#REF!,4,)</f>
        <v>#REF!</v>
      </c>
      <c r="H384" s="6" t="e">
        <f>VLOOKUP(D384,#REF!,5,)</f>
        <v>#REF!</v>
      </c>
      <c r="I384" s="27">
        <v>1930</v>
      </c>
      <c r="J384" s="27">
        <v>1430</v>
      </c>
      <c r="K384" s="8">
        <f t="shared" si="30"/>
        <v>0.7409326424870466</v>
      </c>
      <c r="L384" s="27">
        <v>0</v>
      </c>
      <c r="M384" s="21"/>
      <c r="N384" s="27">
        <v>2540</v>
      </c>
      <c r="O384" s="27">
        <v>2540</v>
      </c>
      <c r="P384" s="9">
        <f t="shared" si="31"/>
        <v>-2040</v>
      </c>
      <c r="Q384" s="9">
        <f>IFERROR(IF(D384=20250,O384/(#REF!/30),O384/(I384/30)),0)</f>
        <v>39.481865284974099</v>
      </c>
      <c r="R384" s="9">
        <f t="shared" si="32"/>
        <v>39.481865284974099</v>
      </c>
    </row>
    <row r="385" spans="1:18" ht="13.15" x14ac:dyDescent="0.45">
      <c r="A385" s="15" t="str">
        <f t="shared" si="28"/>
        <v>430215300</v>
      </c>
      <c r="B385" s="19" t="s">
        <v>102</v>
      </c>
      <c r="C385" s="6" t="e">
        <f>_xlfn.XLOOKUP(B:B,#REF!,#REF!)</f>
        <v>#REF!</v>
      </c>
      <c r="D385" s="19" t="s">
        <v>31</v>
      </c>
      <c r="E385" s="6" t="str">
        <f t="shared" si="29"/>
        <v>430215300</v>
      </c>
      <c r="F385" s="19" t="s">
        <v>32</v>
      </c>
      <c r="G385" s="7" t="e">
        <f>VLOOKUP(D385,#REF!,4,)</f>
        <v>#REF!</v>
      </c>
      <c r="H385" s="6" t="e">
        <f>VLOOKUP(D385,#REF!,5,)</f>
        <v>#REF!</v>
      </c>
      <c r="I385" s="27">
        <v>482.94</v>
      </c>
      <c r="J385" s="27">
        <v>306</v>
      </c>
      <c r="K385" s="8">
        <f t="shared" si="30"/>
        <v>0.63361908311591497</v>
      </c>
      <c r="L385" s="27">
        <v>0</v>
      </c>
      <c r="M385" s="21"/>
      <c r="N385" s="27">
        <v>567</v>
      </c>
      <c r="O385" s="27">
        <v>567</v>
      </c>
      <c r="P385" s="9">
        <f t="shared" si="31"/>
        <v>-390.06</v>
      </c>
      <c r="Q385" s="9">
        <f>IFERROR(IF(D385=20250,O385/(#REF!/30),O385/(I385/30)),0)</f>
        <v>35.221766679090571</v>
      </c>
      <c r="R385" s="9">
        <f t="shared" si="32"/>
        <v>35.221766679090571</v>
      </c>
    </row>
    <row r="386" spans="1:18" ht="13.15" x14ac:dyDescent="0.45">
      <c r="A386" s="15" t="str">
        <f t="shared" si="28"/>
        <v>430219690</v>
      </c>
      <c r="B386" s="19" t="s">
        <v>102</v>
      </c>
      <c r="C386" s="6" t="e">
        <f>_xlfn.XLOOKUP(B:B,#REF!,#REF!)</f>
        <v>#REF!</v>
      </c>
      <c r="D386" s="19" t="s">
        <v>66</v>
      </c>
      <c r="E386" s="6" t="str">
        <f t="shared" si="29"/>
        <v>430219690</v>
      </c>
      <c r="F386" s="19" t="s">
        <v>67</v>
      </c>
      <c r="G386" s="7" t="e">
        <f>VLOOKUP(D386,#REF!,4,)</f>
        <v>#REF!</v>
      </c>
      <c r="H386" s="6" t="e">
        <f>VLOOKUP(D386,#REF!,5,)</f>
        <v>#REF!</v>
      </c>
      <c r="I386" s="27">
        <v>771.96</v>
      </c>
      <c r="J386" s="27">
        <v>36</v>
      </c>
      <c r="K386" s="8">
        <f t="shared" si="30"/>
        <v>4.6634540649774597E-2</v>
      </c>
      <c r="L386" s="27">
        <v>0</v>
      </c>
      <c r="M386" s="21"/>
      <c r="N386" s="27">
        <v>840</v>
      </c>
      <c r="O386" s="27">
        <v>840</v>
      </c>
      <c r="P386" s="9">
        <f t="shared" si="31"/>
        <v>-104.03999999999996</v>
      </c>
      <c r="Q386" s="9">
        <f>IFERROR(IF(D386=20250,O386/(#REF!/30),O386/(I386/30)),0)</f>
        <v>32.644178454842219</v>
      </c>
      <c r="R386" s="9">
        <f t="shared" si="32"/>
        <v>32.644178454842219</v>
      </c>
    </row>
    <row r="387" spans="1:18" ht="13.15" x14ac:dyDescent="0.45">
      <c r="A387" s="15" t="str">
        <f t="shared" si="28"/>
        <v>430220160</v>
      </c>
      <c r="B387" s="19" t="s">
        <v>102</v>
      </c>
      <c r="C387" s="6" t="e">
        <f>_xlfn.XLOOKUP(B:B,#REF!,#REF!)</f>
        <v>#REF!</v>
      </c>
      <c r="D387" s="19" t="s">
        <v>82</v>
      </c>
      <c r="E387" s="6" t="str">
        <f t="shared" si="29"/>
        <v>430220160</v>
      </c>
      <c r="F387" s="19" t="s">
        <v>83</v>
      </c>
      <c r="G387" s="7" t="e">
        <f>VLOOKUP(D387,#REF!,4,)</f>
        <v>#REF!</v>
      </c>
      <c r="H387" s="6" t="e">
        <f>VLOOKUP(D387,#REF!,5,)</f>
        <v>#REF!</v>
      </c>
      <c r="I387" s="27">
        <v>192.96</v>
      </c>
      <c r="J387" s="27">
        <v>0</v>
      </c>
      <c r="K387" s="8">
        <f t="shared" si="30"/>
        <v>0</v>
      </c>
      <c r="L387" s="27">
        <v>0</v>
      </c>
      <c r="M387" s="21"/>
      <c r="N387" s="27">
        <v>0</v>
      </c>
      <c r="O387" s="27">
        <v>0</v>
      </c>
      <c r="P387" s="9">
        <f t="shared" si="31"/>
        <v>192.96</v>
      </c>
      <c r="Q387" s="9">
        <f>IFERROR(IF(D387=20250,O387/(#REF!/30),O387/(I387/30)),0)</f>
        <v>0</v>
      </c>
      <c r="R387" s="9">
        <f t="shared" si="32"/>
        <v>0</v>
      </c>
    </row>
    <row r="388" spans="1:18" ht="13.15" x14ac:dyDescent="0.45">
      <c r="A388" s="15" t="str">
        <f t="shared" ref="A388:A451" si="33">B388&amp;D388</f>
        <v>430220309</v>
      </c>
      <c r="B388" s="19" t="s">
        <v>102</v>
      </c>
      <c r="C388" s="6" t="e">
        <f>_xlfn.XLOOKUP(B:B,#REF!,#REF!)</f>
        <v>#REF!</v>
      </c>
      <c r="D388" s="19" t="s">
        <v>120</v>
      </c>
      <c r="E388" s="6" t="str">
        <f t="shared" ref="E388:E451" si="34">B388&amp;D388</f>
        <v>430220309</v>
      </c>
      <c r="F388" s="19" t="s">
        <v>121</v>
      </c>
      <c r="G388" s="7" t="e">
        <f>VLOOKUP(D388,#REF!,4,)</f>
        <v>#REF!</v>
      </c>
      <c r="H388" s="6" t="e">
        <f>VLOOKUP(D388,#REF!,5,)</f>
        <v>#REF!</v>
      </c>
      <c r="I388" s="27">
        <v>192.96</v>
      </c>
      <c r="J388" s="27">
        <v>0</v>
      </c>
      <c r="K388" s="8">
        <f t="shared" ref="K388:K451" si="35">IFERROR(J388/I388,0)</f>
        <v>0</v>
      </c>
      <c r="L388" s="27">
        <v>0</v>
      </c>
      <c r="M388" s="21"/>
      <c r="N388" s="27">
        <v>0</v>
      </c>
      <c r="O388" s="27">
        <v>0</v>
      </c>
      <c r="P388" s="9">
        <f t="shared" ref="P388:P451" si="36">I388-J388-O388</f>
        <v>192.96</v>
      </c>
      <c r="Q388" s="9">
        <f>IFERROR(IF(D388=20250,O388/(#REF!/30),O388/(I388/30)),0)</f>
        <v>0</v>
      </c>
      <c r="R388" s="9">
        <f t="shared" ref="R388:R451" si="37">IFERROR(N388/(I388/30),0)</f>
        <v>0</v>
      </c>
    </row>
    <row r="389" spans="1:18" ht="13.15" x14ac:dyDescent="0.45">
      <c r="A389" s="15" t="str">
        <f t="shared" si="33"/>
        <v>430220661</v>
      </c>
      <c r="B389" s="19" t="s">
        <v>102</v>
      </c>
      <c r="C389" s="6" t="e">
        <f>_xlfn.XLOOKUP(B:B,#REF!,#REF!)</f>
        <v>#REF!</v>
      </c>
      <c r="D389" s="19" t="s">
        <v>88</v>
      </c>
      <c r="E389" s="6" t="str">
        <f t="shared" si="34"/>
        <v>430220661</v>
      </c>
      <c r="F389" s="19" t="s">
        <v>89</v>
      </c>
      <c r="G389" s="7" t="e">
        <f>VLOOKUP(D389,#REF!,4,)</f>
        <v>#REF!</v>
      </c>
      <c r="H389" s="6" t="e">
        <f>VLOOKUP(D389,#REF!,5,)</f>
        <v>#REF!</v>
      </c>
      <c r="I389" s="27">
        <v>1929.96</v>
      </c>
      <c r="J389" s="27">
        <v>96</v>
      </c>
      <c r="K389" s="8">
        <f t="shared" si="35"/>
        <v>4.9741963564011692E-2</v>
      </c>
      <c r="L389" s="27">
        <v>0</v>
      </c>
      <c r="M389" s="21"/>
      <c r="N389" s="27">
        <v>1680</v>
      </c>
      <c r="O389" s="27">
        <v>1680</v>
      </c>
      <c r="P389" s="9">
        <f t="shared" si="36"/>
        <v>153.96000000000004</v>
      </c>
      <c r="Q389" s="9">
        <f>IFERROR(IF(D389=20250,O389/(#REF!/30),O389/(I389/30)),0)</f>
        <v>26.114530871106133</v>
      </c>
      <c r="R389" s="9">
        <f t="shared" si="37"/>
        <v>26.114530871106133</v>
      </c>
    </row>
    <row r="390" spans="1:18" ht="13.15" x14ac:dyDescent="0.45">
      <c r="A390" s="15" t="str">
        <f t="shared" si="33"/>
        <v>430223638</v>
      </c>
      <c r="B390" s="19" t="s">
        <v>102</v>
      </c>
      <c r="C390" s="6" t="e">
        <f>_xlfn.XLOOKUP(B:B,#REF!,#REF!)</f>
        <v>#REF!</v>
      </c>
      <c r="D390" s="19" t="s">
        <v>100</v>
      </c>
      <c r="E390" s="6" t="str">
        <f t="shared" si="34"/>
        <v>430223638</v>
      </c>
      <c r="F390" s="19" t="s">
        <v>101</v>
      </c>
      <c r="G390" s="7" t="e">
        <f>VLOOKUP(D390,#REF!,4,)</f>
        <v>#REF!</v>
      </c>
      <c r="H390" s="6" t="e">
        <f>VLOOKUP(D390,#REF!,5,)</f>
        <v>#REF!</v>
      </c>
      <c r="I390" s="27">
        <v>4397.5200000000004</v>
      </c>
      <c r="J390" s="27">
        <v>2220</v>
      </c>
      <c r="K390" s="8">
        <f t="shared" si="35"/>
        <v>0.50482999508814053</v>
      </c>
      <c r="L390" s="27">
        <v>0</v>
      </c>
      <c r="M390" s="21"/>
      <c r="N390" s="27">
        <v>5316</v>
      </c>
      <c r="O390" s="27">
        <v>5316</v>
      </c>
      <c r="P390" s="9">
        <f t="shared" si="36"/>
        <v>-3138.4799999999996</v>
      </c>
      <c r="Q390" s="9">
        <f>IFERROR(IF(D390=20250,O390/(#REF!/30),O390/(I390/30)),0)</f>
        <v>36.265895322818317</v>
      </c>
      <c r="R390" s="9">
        <f t="shared" si="37"/>
        <v>36.265895322818317</v>
      </c>
    </row>
    <row r="391" spans="1:18" ht="13.15" x14ac:dyDescent="0.45">
      <c r="A391" s="15" t="str">
        <f t="shared" si="33"/>
        <v>430225885</v>
      </c>
      <c r="B391" s="19" t="s">
        <v>102</v>
      </c>
      <c r="C391" s="6" t="e">
        <f>_xlfn.XLOOKUP(B:B,#REF!,#REF!)</f>
        <v>#REF!</v>
      </c>
      <c r="D391" s="19" t="s">
        <v>122</v>
      </c>
      <c r="E391" s="6" t="str">
        <f t="shared" si="34"/>
        <v>430225885</v>
      </c>
      <c r="F391" s="19" t="s">
        <v>123</v>
      </c>
      <c r="G391" s="7" t="e">
        <f>VLOOKUP(D391,#REF!,4,)</f>
        <v>#REF!</v>
      </c>
      <c r="H391" s="6" t="e">
        <f>VLOOKUP(D391,#REF!,5,)</f>
        <v>#REF!</v>
      </c>
      <c r="I391" s="27">
        <v>771.96</v>
      </c>
      <c r="J391" s="27">
        <v>336</v>
      </c>
      <c r="K391" s="8">
        <f t="shared" si="35"/>
        <v>0.43525571273122959</v>
      </c>
      <c r="L391" s="27">
        <v>0</v>
      </c>
      <c r="M391" s="21"/>
      <c r="N391" s="27">
        <v>528</v>
      </c>
      <c r="O391" s="27">
        <v>528</v>
      </c>
      <c r="P391" s="9">
        <f t="shared" si="36"/>
        <v>-92.039999999999964</v>
      </c>
      <c r="Q391" s="9">
        <f>IFERROR(IF(D391=20250,O391/(#REF!/30),O391/(I391/30)),0)</f>
        <v>20.519197885900823</v>
      </c>
      <c r="R391" s="9">
        <f t="shared" si="37"/>
        <v>20.519197885900823</v>
      </c>
    </row>
    <row r="392" spans="1:18" ht="13.15" x14ac:dyDescent="0.45">
      <c r="A392" s="15" t="str">
        <f t="shared" si="33"/>
        <v>430226234</v>
      </c>
      <c r="B392" s="19" t="s">
        <v>102</v>
      </c>
      <c r="C392" s="6" t="e">
        <f>_xlfn.XLOOKUP(B:B,#REF!,#REF!)</f>
        <v>#REF!</v>
      </c>
      <c r="D392" s="19" t="s">
        <v>126</v>
      </c>
      <c r="E392" s="6" t="str">
        <f t="shared" si="34"/>
        <v>430226234</v>
      </c>
      <c r="F392" s="19" t="s">
        <v>127</v>
      </c>
      <c r="G392" s="7" t="e">
        <f>VLOOKUP(D392,#REF!,4,)</f>
        <v>#REF!</v>
      </c>
      <c r="H392" s="6" t="e">
        <f>VLOOKUP(D392,#REF!,5,)</f>
        <v>#REF!</v>
      </c>
      <c r="I392" s="27">
        <v>0</v>
      </c>
      <c r="J392" s="27">
        <v>0</v>
      </c>
      <c r="K392" s="8">
        <f t="shared" si="35"/>
        <v>0</v>
      </c>
      <c r="L392" s="27">
        <v>0</v>
      </c>
      <c r="M392" s="21"/>
      <c r="N392" s="27">
        <v>336</v>
      </c>
      <c r="O392" s="27">
        <v>336</v>
      </c>
      <c r="P392" s="9">
        <f t="shared" si="36"/>
        <v>-336</v>
      </c>
      <c r="Q392" s="9">
        <f>IFERROR(IF(D392=20250,O392/(#REF!/30),O392/(I392/30)),0)</f>
        <v>0</v>
      </c>
      <c r="R392" s="9">
        <f t="shared" si="37"/>
        <v>0</v>
      </c>
    </row>
    <row r="393" spans="1:18" ht="13.15" x14ac:dyDescent="0.45">
      <c r="A393" s="15" t="str">
        <f t="shared" si="33"/>
        <v>430226745</v>
      </c>
      <c r="B393" s="19" t="s">
        <v>102</v>
      </c>
      <c r="C393" s="6" t="e">
        <f>_xlfn.XLOOKUP(B:B,#REF!,#REF!)</f>
        <v>#REF!</v>
      </c>
      <c r="D393" s="19" t="s">
        <v>136</v>
      </c>
      <c r="E393" s="6" t="str">
        <f t="shared" si="34"/>
        <v>430226745</v>
      </c>
      <c r="F393" s="19" t="s">
        <v>138</v>
      </c>
      <c r="G393" s="7" t="e">
        <f>VLOOKUP(D393,#REF!,4,)</f>
        <v>#REF!</v>
      </c>
      <c r="H393" s="6" t="e">
        <f>VLOOKUP(D393,#REF!,5,)</f>
        <v>#REF!</v>
      </c>
      <c r="I393" s="27">
        <v>192.96</v>
      </c>
      <c r="J393" s="27">
        <v>0</v>
      </c>
      <c r="K393" s="8">
        <f t="shared" si="35"/>
        <v>0</v>
      </c>
      <c r="L393" s="27">
        <v>0</v>
      </c>
      <c r="M393" s="21"/>
      <c r="N393" s="27">
        <v>0</v>
      </c>
      <c r="O393" s="27">
        <v>0</v>
      </c>
      <c r="P393" s="9">
        <f t="shared" si="36"/>
        <v>192.96</v>
      </c>
      <c r="Q393" s="9">
        <f>IFERROR(IF(D393=20250,O393/(#REF!/30),O393/(I393/30)),0)</f>
        <v>0</v>
      </c>
      <c r="R393" s="9">
        <f t="shared" si="37"/>
        <v>0</v>
      </c>
    </row>
    <row r="394" spans="1:18" ht="13.15" x14ac:dyDescent="0.45">
      <c r="A394" s="15" t="str">
        <f t="shared" si="33"/>
        <v>430204145</v>
      </c>
      <c r="B394" s="19" t="s">
        <v>102</v>
      </c>
      <c r="C394" s="6" t="e">
        <f>_xlfn.XLOOKUP(B:B,#REF!,#REF!)</f>
        <v>#REF!</v>
      </c>
      <c r="D394" s="19" t="s">
        <v>25</v>
      </c>
      <c r="E394" s="6" t="str">
        <f t="shared" si="34"/>
        <v>430204145</v>
      </c>
      <c r="F394" s="19" t="s">
        <v>26</v>
      </c>
      <c r="G394" s="7" t="e">
        <f>VLOOKUP(D394,#REF!,4,)</f>
        <v>#REF!</v>
      </c>
      <c r="H394" s="6" t="e">
        <f>VLOOKUP(D394,#REF!,5,)</f>
        <v>#REF!</v>
      </c>
      <c r="I394" s="27">
        <v>289.98</v>
      </c>
      <c r="J394" s="27">
        <v>126</v>
      </c>
      <c r="K394" s="8">
        <f t="shared" si="35"/>
        <v>0.4345127250155183</v>
      </c>
      <c r="L394" s="27">
        <v>0</v>
      </c>
      <c r="M394" s="21"/>
      <c r="N394" s="27">
        <v>522</v>
      </c>
      <c r="O394" s="27">
        <v>522</v>
      </c>
      <c r="P394" s="9">
        <f t="shared" si="36"/>
        <v>-358.02</v>
      </c>
      <c r="Q394" s="9">
        <f>IFERROR(IF(D394=20250,O394/(#REF!/30),O394/(I394/30)),0)</f>
        <v>54.003724394785849</v>
      </c>
      <c r="R394" s="9">
        <f t="shared" si="37"/>
        <v>54.003724394785849</v>
      </c>
    </row>
    <row r="395" spans="1:18" ht="13.15" x14ac:dyDescent="0.45">
      <c r="A395" s="15" t="str">
        <f t="shared" si="33"/>
        <v>430214248</v>
      </c>
      <c r="B395" s="19" t="s">
        <v>102</v>
      </c>
      <c r="C395" s="6" t="e">
        <f>_xlfn.XLOOKUP(B:B,#REF!,#REF!)</f>
        <v>#REF!</v>
      </c>
      <c r="D395" s="19" t="s">
        <v>29</v>
      </c>
      <c r="E395" s="6" t="str">
        <f t="shared" si="34"/>
        <v>430214248</v>
      </c>
      <c r="F395" s="19" t="s">
        <v>30</v>
      </c>
      <c r="G395" s="7" t="e">
        <f>VLOOKUP(D395,#REF!,4,)</f>
        <v>#REF!</v>
      </c>
      <c r="H395" s="6" t="e">
        <f>VLOOKUP(D395,#REF!,5,)</f>
        <v>#REF!</v>
      </c>
      <c r="I395" s="27">
        <v>1930</v>
      </c>
      <c r="J395" s="27">
        <v>700</v>
      </c>
      <c r="K395" s="8">
        <f t="shared" si="35"/>
        <v>0.36269430051813473</v>
      </c>
      <c r="L395" s="27">
        <v>0</v>
      </c>
      <c r="M395" s="21"/>
      <c r="N395" s="27">
        <v>2260</v>
      </c>
      <c r="O395" s="27">
        <v>2260</v>
      </c>
      <c r="P395" s="9">
        <f t="shared" si="36"/>
        <v>-1030</v>
      </c>
      <c r="Q395" s="9">
        <f>IFERROR(IF(D395=20250,O395/(#REF!/30),O395/(I395/30)),0)</f>
        <v>35.129533678756481</v>
      </c>
      <c r="R395" s="9">
        <f t="shared" si="37"/>
        <v>35.129533678756481</v>
      </c>
    </row>
    <row r="396" spans="1:18" ht="13.15" x14ac:dyDescent="0.45">
      <c r="A396" s="15" t="str">
        <f t="shared" si="33"/>
        <v>430215305</v>
      </c>
      <c r="B396" s="19" t="s">
        <v>102</v>
      </c>
      <c r="C396" s="6" t="e">
        <f>_xlfn.XLOOKUP(B:B,#REF!,#REF!)</f>
        <v>#REF!</v>
      </c>
      <c r="D396" s="19" t="s">
        <v>33</v>
      </c>
      <c r="E396" s="6" t="str">
        <f t="shared" si="34"/>
        <v>430215305</v>
      </c>
      <c r="F396" s="19" t="s">
        <v>34</v>
      </c>
      <c r="G396" s="7" t="e">
        <f>VLOOKUP(D396,#REF!,4,)</f>
        <v>#REF!</v>
      </c>
      <c r="H396" s="6" t="e">
        <f>VLOOKUP(D396,#REF!,5,)</f>
        <v>#REF!</v>
      </c>
      <c r="I396" s="27">
        <v>482.94</v>
      </c>
      <c r="J396" s="27">
        <v>207</v>
      </c>
      <c r="K396" s="8">
        <f t="shared" si="35"/>
        <v>0.42862467387253073</v>
      </c>
      <c r="L396" s="27">
        <v>0</v>
      </c>
      <c r="M396" s="21"/>
      <c r="N396" s="27">
        <v>279</v>
      </c>
      <c r="O396" s="27">
        <v>279</v>
      </c>
      <c r="P396" s="9">
        <f t="shared" si="36"/>
        <v>-3.0600000000000023</v>
      </c>
      <c r="Q396" s="9">
        <f>IFERROR(IF(D396=20250,O396/(#REF!/30),O396/(I396/30)),0)</f>
        <v>17.331345508758854</v>
      </c>
      <c r="R396" s="9">
        <f t="shared" si="37"/>
        <v>17.331345508758854</v>
      </c>
    </row>
    <row r="397" spans="1:18" ht="13.15" x14ac:dyDescent="0.45">
      <c r="A397" s="15" t="str">
        <f t="shared" si="33"/>
        <v>430215312</v>
      </c>
      <c r="B397" s="19" t="s">
        <v>102</v>
      </c>
      <c r="C397" s="6" t="e">
        <f>_xlfn.XLOOKUP(B:B,#REF!,#REF!)</f>
        <v>#REF!</v>
      </c>
      <c r="D397" s="19" t="s">
        <v>35</v>
      </c>
      <c r="E397" s="6" t="str">
        <f t="shared" si="34"/>
        <v>430215312</v>
      </c>
      <c r="F397" s="19" t="s">
        <v>36</v>
      </c>
      <c r="G397" s="7" t="e">
        <f>VLOOKUP(D397,#REF!,4,)</f>
        <v>#REF!</v>
      </c>
      <c r="H397" s="6" t="e">
        <f>VLOOKUP(D397,#REF!,5,)</f>
        <v>#REF!</v>
      </c>
      <c r="I397" s="27">
        <v>96.93</v>
      </c>
      <c r="J397" s="27">
        <v>27</v>
      </c>
      <c r="K397" s="8">
        <f t="shared" si="35"/>
        <v>0.27855153203342614</v>
      </c>
      <c r="L397" s="27">
        <v>0</v>
      </c>
      <c r="M397" s="21"/>
      <c r="N397" s="27">
        <v>162</v>
      </c>
      <c r="O397" s="27">
        <v>162</v>
      </c>
      <c r="P397" s="9">
        <f t="shared" si="36"/>
        <v>-92.07</v>
      </c>
      <c r="Q397" s="9">
        <f>IFERROR(IF(D397=20250,O397/(#REF!/30),O397/(I397/30)),0)</f>
        <v>50.139275766016709</v>
      </c>
      <c r="R397" s="9">
        <f t="shared" si="37"/>
        <v>50.139275766016709</v>
      </c>
    </row>
    <row r="398" spans="1:18" ht="13.15" x14ac:dyDescent="0.45">
      <c r="A398" s="15" t="str">
        <f t="shared" si="33"/>
        <v>430216407</v>
      </c>
      <c r="B398" s="19" t="s">
        <v>102</v>
      </c>
      <c r="C398" s="6" t="e">
        <f>_xlfn.XLOOKUP(B:B,#REF!,#REF!)</f>
        <v>#REF!</v>
      </c>
      <c r="D398" s="19" t="s">
        <v>37</v>
      </c>
      <c r="E398" s="6" t="str">
        <f t="shared" si="34"/>
        <v>430216407</v>
      </c>
      <c r="F398" s="19" t="s">
        <v>38</v>
      </c>
      <c r="G398" s="7" t="e">
        <f>VLOOKUP(D398,#REF!,4,)</f>
        <v>#REF!</v>
      </c>
      <c r="H398" s="6" t="e">
        <f>VLOOKUP(D398,#REF!,5,)</f>
        <v>#REF!</v>
      </c>
      <c r="I398" s="27">
        <v>643.32000000000005</v>
      </c>
      <c r="J398" s="27">
        <v>243</v>
      </c>
      <c r="K398" s="8">
        <f t="shared" si="35"/>
        <v>0.37772803581421371</v>
      </c>
      <c r="L398" s="27">
        <v>0</v>
      </c>
      <c r="M398" s="21"/>
      <c r="N398" s="27">
        <v>405</v>
      </c>
      <c r="O398" s="27">
        <v>405</v>
      </c>
      <c r="P398" s="9">
        <f t="shared" si="36"/>
        <v>-4.67999999999995</v>
      </c>
      <c r="Q398" s="9">
        <f>IFERROR(IF(D398=20250,O398/(#REF!/30),O398/(I398/30)),0)</f>
        <v>18.886401790710686</v>
      </c>
      <c r="R398" s="9">
        <f t="shared" si="37"/>
        <v>18.886401790710686</v>
      </c>
    </row>
    <row r="399" spans="1:18" ht="13.15" x14ac:dyDescent="0.45">
      <c r="A399" s="15" t="str">
        <f t="shared" si="33"/>
        <v>430200189</v>
      </c>
      <c r="B399" s="19" t="s">
        <v>102</v>
      </c>
      <c r="C399" s="6" t="e">
        <f>_xlfn.XLOOKUP(B:B,#REF!,#REF!)</f>
        <v>#REF!</v>
      </c>
      <c r="D399" s="19" t="s">
        <v>39</v>
      </c>
      <c r="E399" s="6" t="str">
        <f t="shared" si="34"/>
        <v>430200189</v>
      </c>
      <c r="F399" s="19" t="s">
        <v>109</v>
      </c>
      <c r="G399" s="7" t="e">
        <f>VLOOKUP(D399,#REF!,4,)</f>
        <v>#REF!</v>
      </c>
      <c r="H399" s="6" t="e">
        <f>VLOOKUP(D399,#REF!,5,)</f>
        <v>#REF!</v>
      </c>
      <c r="I399" s="27">
        <v>25739.040000000001</v>
      </c>
      <c r="J399" s="27">
        <v>19092</v>
      </c>
      <c r="K399" s="8">
        <f t="shared" si="35"/>
        <v>0.74175260615780536</v>
      </c>
      <c r="L399" s="27">
        <v>0</v>
      </c>
      <c r="M399" s="21"/>
      <c r="N399" s="27">
        <v>16848</v>
      </c>
      <c r="O399" s="27">
        <v>16848</v>
      </c>
      <c r="P399" s="9">
        <f t="shared" si="36"/>
        <v>-10200.959999999999</v>
      </c>
      <c r="Q399" s="9">
        <f>IFERROR(IF(D399=20250,O399/(#REF!/30),O399/(I399/30)),0)</f>
        <v>19.637096022229265</v>
      </c>
      <c r="R399" s="9">
        <f t="shared" si="37"/>
        <v>19.637096022229265</v>
      </c>
    </row>
    <row r="400" spans="1:18" ht="13.15" x14ac:dyDescent="0.45">
      <c r="A400" s="15" t="str">
        <f t="shared" si="33"/>
        <v>430201167</v>
      </c>
      <c r="B400" s="19" t="s">
        <v>102</v>
      </c>
      <c r="C400" s="6" t="e">
        <f>_xlfn.XLOOKUP(B:B,#REF!,#REF!)</f>
        <v>#REF!</v>
      </c>
      <c r="D400" s="19" t="s">
        <v>40</v>
      </c>
      <c r="E400" s="6" t="str">
        <f t="shared" si="34"/>
        <v>430201167</v>
      </c>
      <c r="F400" s="19" t="s">
        <v>41</v>
      </c>
      <c r="G400" s="7" t="e">
        <f>VLOOKUP(D400,#REF!,4,)</f>
        <v>#REF!</v>
      </c>
      <c r="H400" s="6" t="e">
        <f>VLOOKUP(D400,#REF!,5,)</f>
        <v>#REF!</v>
      </c>
      <c r="I400" s="27">
        <v>2251.6799999999998</v>
      </c>
      <c r="J400" s="27">
        <v>1740</v>
      </c>
      <c r="K400" s="8">
        <f t="shared" si="35"/>
        <v>0.772756341931358</v>
      </c>
      <c r="L400" s="27">
        <v>0</v>
      </c>
      <c r="M400" s="21"/>
      <c r="N400" s="27">
        <v>1980</v>
      </c>
      <c r="O400" s="27">
        <v>1980</v>
      </c>
      <c r="P400" s="9">
        <f t="shared" si="36"/>
        <v>-1468.3200000000002</v>
      </c>
      <c r="Q400" s="9">
        <f>IFERROR(IF(D400=20250,O400/(#REF!/30),O400/(I400/30)),0)</f>
        <v>26.380302707311873</v>
      </c>
      <c r="R400" s="9">
        <f t="shared" si="37"/>
        <v>26.380302707311873</v>
      </c>
    </row>
    <row r="401" spans="1:18" ht="13.15" x14ac:dyDescent="0.45">
      <c r="A401" s="15" t="str">
        <f t="shared" si="33"/>
        <v>430201296</v>
      </c>
      <c r="B401" s="19" t="s">
        <v>102</v>
      </c>
      <c r="C401" s="6" t="e">
        <f>_xlfn.XLOOKUP(B:B,#REF!,#REF!)</f>
        <v>#REF!</v>
      </c>
      <c r="D401" s="19" t="s">
        <v>14</v>
      </c>
      <c r="E401" s="6" t="str">
        <f t="shared" si="34"/>
        <v>430201296</v>
      </c>
      <c r="F401" s="19" t="s">
        <v>15</v>
      </c>
      <c r="G401" s="7" t="e">
        <f>VLOOKUP(D401,#REF!,4,)</f>
        <v>#REF!</v>
      </c>
      <c r="H401" s="6" t="e">
        <f>VLOOKUP(D401,#REF!,5,)</f>
        <v>#REF!</v>
      </c>
      <c r="I401" s="27">
        <v>2896.08</v>
      </c>
      <c r="J401" s="27">
        <v>1644</v>
      </c>
      <c r="K401" s="8">
        <f t="shared" si="35"/>
        <v>0.56766387668848928</v>
      </c>
      <c r="L401" s="27">
        <v>192</v>
      </c>
      <c r="M401" s="21">
        <v>46168</v>
      </c>
      <c r="N401" s="27">
        <v>2604</v>
      </c>
      <c r="O401" s="27">
        <v>2796</v>
      </c>
      <c r="P401" s="9">
        <f t="shared" si="36"/>
        <v>-1543.92</v>
      </c>
      <c r="Q401" s="9">
        <f>IFERROR(IF(D401=20250,O401/(#REF!/30),O401/(I401/30)),0)</f>
        <v>28.963288306952848</v>
      </c>
      <c r="R401" s="9">
        <f t="shared" si="37"/>
        <v>26.974392972569817</v>
      </c>
    </row>
    <row r="402" spans="1:18" ht="13.15" x14ac:dyDescent="0.45">
      <c r="A402" s="15" t="str">
        <f t="shared" si="33"/>
        <v>430202122</v>
      </c>
      <c r="B402" s="19" t="s">
        <v>102</v>
      </c>
      <c r="C402" s="6" t="e">
        <f>_xlfn.XLOOKUP(B:B,#REF!,#REF!)</f>
        <v>#REF!</v>
      </c>
      <c r="D402" s="19" t="s">
        <v>42</v>
      </c>
      <c r="E402" s="6" t="str">
        <f t="shared" si="34"/>
        <v>430202122</v>
      </c>
      <c r="F402" s="19" t="s">
        <v>43</v>
      </c>
      <c r="G402" s="7" t="e">
        <f>VLOOKUP(D402,#REF!,4,)</f>
        <v>#REF!</v>
      </c>
      <c r="H402" s="6" t="e">
        <f>VLOOKUP(D402,#REF!,5,)</f>
        <v>#REF!</v>
      </c>
      <c r="I402" s="27">
        <v>5791.08</v>
      </c>
      <c r="J402" s="27">
        <v>5256</v>
      </c>
      <c r="K402" s="8">
        <f t="shared" si="35"/>
        <v>0.90760272695248556</v>
      </c>
      <c r="L402" s="27">
        <v>2004</v>
      </c>
      <c r="M402" s="21">
        <v>46168</v>
      </c>
      <c r="N402" s="27">
        <v>3624</v>
      </c>
      <c r="O402" s="27">
        <v>5628</v>
      </c>
      <c r="P402" s="9">
        <f t="shared" si="36"/>
        <v>-5092.92</v>
      </c>
      <c r="Q402" s="9">
        <f>IFERROR(IF(D402=20250,O402/(#REF!/30),O402/(I402/30)),0)</f>
        <v>29.155183489090117</v>
      </c>
      <c r="R402" s="9">
        <f t="shared" si="37"/>
        <v>18.773700242441823</v>
      </c>
    </row>
    <row r="403" spans="1:18" ht="13.15" x14ac:dyDescent="0.45">
      <c r="A403" s="15" t="str">
        <f t="shared" si="33"/>
        <v>430206982</v>
      </c>
      <c r="B403" s="19" t="s">
        <v>102</v>
      </c>
      <c r="C403" s="6" t="e">
        <f>_xlfn.XLOOKUP(B:B,#REF!,#REF!)</f>
        <v>#REF!</v>
      </c>
      <c r="D403" s="19" t="s">
        <v>46</v>
      </c>
      <c r="E403" s="6" t="str">
        <f t="shared" si="34"/>
        <v>430206982</v>
      </c>
      <c r="F403" s="19" t="s">
        <v>47</v>
      </c>
      <c r="G403" s="7" t="e">
        <f>VLOOKUP(D403,#REF!,4,)</f>
        <v>#REF!</v>
      </c>
      <c r="H403" s="6" t="e">
        <f>VLOOKUP(D403,#REF!,5,)</f>
        <v>#REF!</v>
      </c>
      <c r="I403" s="27">
        <v>4182.72</v>
      </c>
      <c r="J403" s="27">
        <v>636</v>
      </c>
      <c r="K403" s="8">
        <f t="shared" si="35"/>
        <v>0.15205416571035116</v>
      </c>
      <c r="L403" s="27">
        <v>0</v>
      </c>
      <c r="M403" s="21"/>
      <c r="N403" s="27">
        <v>7728</v>
      </c>
      <c r="O403" s="27">
        <v>7728</v>
      </c>
      <c r="P403" s="9">
        <f t="shared" si="36"/>
        <v>-4181.28</v>
      </c>
      <c r="Q403" s="9">
        <f>IFERROR(IF(D403=20250,O403/(#REF!/30),O403/(I403/30)),0)</f>
        <v>55.428046821207253</v>
      </c>
      <c r="R403" s="9">
        <f t="shared" si="37"/>
        <v>55.428046821207253</v>
      </c>
    </row>
    <row r="404" spans="1:18" ht="13.15" x14ac:dyDescent="0.45">
      <c r="A404" s="15" t="str">
        <f t="shared" si="33"/>
        <v>430207310</v>
      </c>
      <c r="B404" s="19" t="s">
        <v>102</v>
      </c>
      <c r="C404" s="6" t="e">
        <f>_xlfn.XLOOKUP(B:B,#REF!,#REF!)</f>
        <v>#REF!</v>
      </c>
      <c r="D404" s="19" t="s">
        <v>16</v>
      </c>
      <c r="E404" s="6" t="str">
        <f t="shared" si="34"/>
        <v>430207310</v>
      </c>
      <c r="F404" s="19" t="s">
        <v>17</v>
      </c>
      <c r="G404" s="7" t="e">
        <f>VLOOKUP(D404,#REF!,4,)</f>
        <v>#REF!</v>
      </c>
      <c r="H404" s="6" t="e">
        <f>VLOOKUP(D404,#REF!,5,)</f>
        <v>#REF!</v>
      </c>
      <c r="I404" s="27">
        <v>30565.200000000001</v>
      </c>
      <c r="J404" s="27">
        <v>14436</v>
      </c>
      <c r="K404" s="8">
        <f t="shared" si="35"/>
        <v>0.47230183345765769</v>
      </c>
      <c r="L404" s="27">
        <v>1008</v>
      </c>
      <c r="M404" s="21">
        <v>46168</v>
      </c>
      <c r="N404" s="27">
        <v>27144</v>
      </c>
      <c r="O404" s="27">
        <v>28152</v>
      </c>
      <c r="P404" s="9">
        <f t="shared" si="36"/>
        <v>-12022.8</v>
      </c>
      <c r="Q404" s="9">
        <f>IFERROR(IF(D404=20250,O404/(#REF!/30),O404/(I404/30)),0)</f>
        <v>27.631423972360722</v>
      </c>
      <c r="R404" s="9">
        <f t="shared" si="37"/>
        <v>26.642063523222486</v>
      </c>
    </row>
    <row r="405" spans="1:18" ht="13.15" x14ac:dyDescent="0.45">
      <c r="A405" s="15" t="str">
        <f t="shared" si="33"/>
        <v>430208529</v>
      </c>
      <c r="B405" s="19" t="s">
        <v>102</v>
      </c>
      <c r="C405" s="6" t="e">
        <f>_xlfn.XLOOKUP(B:B,#REF!,#REF!)</f>
        <v>#REF!</v>
      </c>
      <c r="D405" s="19" t="s">
        <v>48</v>
      </c>
      <c r="E405" s="6" t="str">
        <f t="shared" si="34"/>
        <v>430208529</v>
      </c>
      <c r="F405" s="19" t="s">
        <v>49</v>
      </c>
      <c r="G405" s="7" t="e">
        <f>VLOOKUP(D405,#REF!,4,)</f>
        <v>#REF!</v>
      </c>
      <c r="H405" s="6" t="e">
        <f>VLOOKUP(D405,#REF!,5,)</f>
        <v>#REF!</v>
      </c>
      <c r="I405" s="27">
        <v>7722.24</v>
      </c>
      <c r="J405" s="27">
        <v>5088</v>
      </c>
      <c r="K405" s="8">
        <f t="shared" si="35"/>
        <v>0.65887618100447543</v>
      </c>
      <c r="L405" s="27">
        <v>1992</v>
      </c>
      <c r="M405" s="21">
        <v>46168</v>
      </c>
      <c r="N405" s="27">
        <v>6360</v>
      </c>
      <c r="O405" s="27">
        <v>8352</v>
      </c>
      <c r="P405" s="9">
        <f t="shared" si="36"/>
        <v>-5717.76</v>
      </c>
      <c r="Q405" s="9">
        <f>IFERROR(IF(D405=20250,O405/(#REF!/30),O405/(I405/30)),0)</f>
        <v>32.446544007956241</v>
      </c>
      <c r="R405" s="9">
        <f t="shared" si="37"/>
        <v>24.707856787667826</v>
      </c>
    </row>
    <row r="406" spans="1:18" ht="13.15" x14ac:dyDescent="0.45">
      <c r="A406" s="15" t="str">
        <f t="shared" si="33"/>
        <v>430213179</v>
      </c>
      <c r="B406" s="19" t="s">
        <v>102</v>
      </c>
      <c r="C406" s="6" t="e">
        <f>_xlfn.XLOOKUP(B:B,#REF!,#REF!)</f>
        <v>#REF!</v>
      </c>
      <c r="D406" s="19" t="s">
        <v>18</v>
      </c>
      <c r="E406" s="6" t="str">
        <f t="shared" si="34"/>
        <v>430213179</v>
      </c>
      <c r="F406" s="19" t="s">
        <v>19</v>
      </c>
      <c r="G406" s="7" t="e">
        <f>VLOOKUP(D406,#REF!,4,)</f>
        <v>#REF!</v>
      </c>
      <c r="H406" s="6" t="e">
        <f>VLOOKUP(D406,#REF!,5,)</f>
        <v>#REF!</v>
      </c>
      <c r="I406" s="27">
        <v>57913.8</v>
      </c>
      <c r="J406" s="27">
        <v>34080</v>
      </c>
      <c r="K406" s="8">
        <f t="shared" si="35"/>
        <v>0.58846078136817126</v>
      </c>
      <c r="L406" s="27">
        <v>4992</v>
      </c>
      <c r="M406" s="21">
        <v>46168</v>
      </c>
      <c r="N406" s="27">
        <v>45168</v>
      </c>
      <c r="O406" s="27">
        <v>50160</v>
      </c>
      <c r="P406" s="9">
        <f t="shared" si="36"/>
        <v>-26326.199999999997</v>
      </c>
      <c r="Q406" s="9">
        <f>IFERROR(IF(D406=20250,O406/(#REF!/30),O406/(I406/30)),0)</f>
        <v>25.983444360411507</v>
      </c>
      <c r="R406" s="9">
        <f t="shared" si="37"/>
        <v>23.397532194399261</v>
      </c>
    </row>
    <row r="407" spans="1:18" ht="13.15" x14ac:dyDescent="0.45">
      <c r="A407" s="15" t="str">
        <f t="shared" si="33"/>
        <v>430213678</v>
      </c>
      <c r="B407" s="19" t="s">
        <v>102</v>
      </c>
      <c r="C407" s="6" t="e">
        <f>_xlfn.XLOOKUP(B:B,#REF!,#REF!)</f>
        <v>#REF!</v>
      </c>
      <c r="D407" s="19" t="s">
        <v>50</v>
      </c>
      <c r="E407" s="6" t="str">
        <f t="shared" si="34"/>
        <v>430213678</v>
      </c>
      <c r="F407" s="19" t="s">
        <v>51</v>
      </c>
      <c r="G407" s="7" t="e">
        <f>VLOOKUP(D407,#REF!,4,)</f>
        <v>#REF!</v>
      </c>
      <c r="H407" s="6" t="e">
        <f>VLOOKUP(D407,#REF!,5,)</f>
        <v>#REF!</v>
      </c>
      <c r="I407" s="27">
        <v>9000</v>
      </c>
      <c r="J407" s="27">
        <v>7284</v>
      </c>
      <c r="K407" s="8">
        <f t="shared" si="35"/>
        <v>0.80933333333333335</v>
      </c>
      <c r="L407" s="27">
        <v>0</v>
      </c>
      <c r="M407" s="21"/>
      <c r="N407" s="27">
        <v>6192</v>
      </c>
      <c r="O407" s="27">
        <v>6192</v>
      </c>
      <c r="P407" s="9">
        <f t="shared" si="36"/>
        <v>-4476</v>
      </c>
      <c r="Q407" s="9">
        <f>IFERROR(IF(D407=20250,O407/(#REF!/30),O407/(I407/30)),0)</f>
        <v>20.64</v>
      </c>
      <c r="R407" s="9">
        <f t="shared" si="37"/>
        <v>20.64</v>
      </c>
    </row>
    <row r="408" spans="1:18" ht="13.15" x14ac:dyDescent="0.45">
      <c r="A408" s="15" t="str">
        <f t="shared" si="33"/>
        <v>430214654</v>
      </c>
      <c r="B408" s="19" t="s">
        <v>102</v>
      </c>
      <c r="C408" s="6" t="e">
        <f>_xlfn.XLOOKUP(B:B,#REF!,#REF!)</f>
        <v>#REF!</v>
      </c>
      <c r="D408" s="19" t="s">
        <v>52</v>
      </c>
      <c r="E408" s="6" t="str">
        <f t="shared" si="34"/>
        <v>430214654</v>
      </c>
      <c r="F408" s="19" t="s">
        <v>53</v>
      </c>
      <c r="G408" s="7" t="e">
        <f>VLOOKUP(D408,#REF!,4,)</f>
        <v>#REF!</v>
      </c>
      <c r="H408" s="6" t="e">
        <f>VLOOKUP(D408,#REF!,5,)</f>
        <v>#REF!</v>
      </c>
      <c r="I408" s="27">
        <v>5147.76</v>
      </c>
      <c r="J408" s="27">
        <v>3492</v>
      </c>
      <c r="K408" s="8">
        <f t="shared" si="35"/>
        <v>0.67835330318429765</v>
      </c>
      <c r="L408" s="27">
        <v>3000</v>
      </c>
      <c r="M408" s="21">
        <v>46168</v>
      </c>
      <c r="N408" s="27">
        <v>708</v>
      </c>
      <c r="O408" s="27">
        <v>3708</v>
      </c>
      <c r="P408" s="9">
        <f t="shared" si="36"/>
        <v>-2052.2399999999998</v>
      </c>
      <c r="Q408" s="9">
        <f>IFERROR(IF(D408=20250,O408/(#REF!/30),O408/(I408/30)),0)</f>
        <v>21.609399039582264</v>
      </c>
      <c r="R408" s="9">
        <f t="shared" si="37"/>
        <v>4.1260664832859337</v>
      </c>
    </row>
    <row r="409" spans="1:18" ht="13.15" x14ac:dyDescent="0.45">
      <c r="A409" s="15" t="str">
        <f t="shared" si="33"/>
        <v>430215536</v>
      </c>
      <c r="B409" s="19" t="s">
        <v>102</v>
      </c>
      <c r="C409" s="6" t="e">
        <f>_xlfn.XLOOKUP(B:B,#REF!,#REF!)</f>
        <v>#REF!</v>
      </c>
      <c r="D409" s="19" t="s">
        <v>56</v>
      </c>
      <c r="E409" s="6" t="str">
        <f t="shared" si="34"/>
        <v>430215536</v>
      </c>
      <c r="F409" s="19" t="s">
        <v>57</v>
      </c>
      <c r="G409" s="7" t="e">
        <f>VLOOKUP(D409,#REF!,4,)</f>
        <v>#REF!</v>
      </c>
      <c r="H409" s="6" t="e">
        <f>VLOOKUP(D409,#REF!,5,)</f>
        <v>#REF!</v>
      </c>
      <c r="I409" s="27">
        <v>9652.2000000000007</v>
      </c>
      <c r="J409" s="27">
        <v>6012</v>
      </c>
      <c r="K409" s="8">
        <f t="shared" si="35"/>
        <v>0.62286318145086095</v>
      </c>
      <c r="L409" s="27">
        <v>0</v>
      </c>
      <c r="M409" s="21"/>
      <c r="N409" s="27">
        <v>12048</v>
      </c>
      <c r="O409" s="27">
        <v>12048</v>
      </c>
      <c r="P409" s="9">
        <f t="shared" si="36"/>
        <v>-8407.7999999999993</v>
      </c>
      <c r="Q409" s="9">
        <f>IFERROR(IF(D409=20250,O409/(#REF!/30),O409/(I409/30)),0)</f>
        <v>37.446385280039785</v>
      </c>
      <c r="R409" s="9">
        <f t="shared" si="37"/>
        <v>37.446385280039785</v>
      </c>
    </row>
    <row r="410" spans="1:18" ht="13.15" x14ac:dyDescent="0.45">
      <c r="A410" s="15" t="str">
        <f t="shared" si="33"/>
        <v>430215906</v>
      </c>
      <c r="B410" s="19" t="s">
        <v>102</v>
      </c>
      <c r="C410" s="6" t="e">
        <f>_xlfn.XLOOKUP(B:B,#REF!,#REF!)</f>
        <v>#REF!</v>
      </c>
      <c r="D410" s="19" t="s">
        <v>58</v>
      </c>
      <c r="E410" s="6" t="str">
        <f t="shared" si="34"/>
        <v>430215906</v>
      </c>
      <c r="F410" s="19" t="s">
        <v>59</v>
      </c>
      <c r="G410" s="7" t="e">
        <f>VLOOKUP(D410,#REF!,4,)</f>
        <v>#REF!</v>
      </c>
      <c r="H410" s="6" t="e">
        <f>VLOOKUP(D410,#REF!,5,)</f>
        <v>#REF!</v>
      </c>
      <c r="I410" s="27">
        <v>0</v>
      </c>
      <c r="J410" s="27">
        <v>0</v>
      </c>
      <c r="K410" s="8">
        <f t="shared" si="35"/>
        <v>0</v>
      </c>
      <c r="L410" s="27">
        <v>0</v>
      </c>
      <c r="M410" s="21"/>
      <c r="N410" s="27">
        <v>252</v>
      </c>
      <c r="O410" s="27">
        <v>252</v>
      </c>
      <c r="P410" s="9">
        <f t="shared" si="36"/>
        <v>-252</v>
      </c>
      <c r="Q410" s="9">
        <f>IFERROR(IF(D410=20250,O410/(#REF!/30),O410/(I410/30)),0)</f>
        <v>0</v>
      </c>
      <c r="R410" s="9">
        <f t="shared" si="37"/>
        <v>0</v>
      </c>
    </row>
    <row r="411" spans="1:18" ht="13.15" x14ac:dyDescent="0.45">
      <c r="A411" s="15" t="str">
        <f t="shared" si="33"/>
        <v>430216336</v>
      </c>
      <c r="B411" s="19" t="s">
        <v>102</v>
      </c>
      <c r="C411" s="6" t="e">
        <f>_xlfn.XLOOKUP(B:B,#REF!,#REF!)</f>
        <v>#REF!</v>
      </c>
      <c r="D411" s="19" t="s">
        <v>20</v>
      </c>
      <c r="E411" s="6" t="str">
        <f t="shared" si="34"/>
        <v>430216336</v>
      </c>
      <c r="F411" s="19" t="s">
        <v>21</v>
      </c>
      <c r="G411" s="7" t="e">
        <f>VLOOKUP(D411,#REF!,4,)</f>
        <v>#REF!</v>
      </c>
      <c r="H411" s="6" t="e">
        <f>VLOOKUP(D411,#REF!,5,)</f>
        <v>#REF!</v>
      </c>
      <c r="I411" s="27">
        <v>66172.44</v>
      </c>
      <c r="J411" s="27">
        <v>48492</v>
      </c>
      <c r="K411" s="8">
        <f t="shared" si="35"/>
        <v>0.73281263317477785</v>
      </c>
      <c r="L411" s="27">
        <v>6000</v>
      </c>
      <c r="M411" s="21">
        <v>46168</v>
      </c>
      <c r="N411" s="27">
        <v>36576</v>
      </c>
      <c r="O411" s="27">
        <v>42576</v>
      </c>
      <c r="P411" s="9">
        <f t="shared" si="36"/>
        <v>-24895.559999999998</v>
      </c>
      <c r="Q411" s="9">
        <f>IFERROR(IF(D411=20250,O411/(#REF!/30),O411/(I411/30)),0)</f>
        <v>19.302295638486353</v>
      </c>
      <c r="R411" s="9">
        <f t="shared" si="37"/>
        <v>16.582129962262236</v>
      </c>
    </row>
    <row r="412" spans="1:18" ht="13.15" x14ac:dyDescent="0.45">
      <c r="A412" s="15" t="str">
        <f t="shared" si="33"/>
        <v>430216984</v>
      </c>
      <c r="B412" s="19" t="s">
        <v>102</v>
      </c>
      <c r="C412" s="6" t="e">
        <f>_xlfn.XLOOKUP(B:B,#REF!,#REF!)</f>
        <v>#REF!</v>
      </c>
      <c r="D412" s="19" t="s">
        <v>60</v>
      </c>
      <c r="E412" s="6" t="str">
        <f t="shared" si="34"/>
        <v>430216984</v>
      </c>
      <c r="F412" s="19" t="s">
        <v>61</v>
      </c>
      <c r="G412" s="7" t="e">
        <f>VLOOKUP(D412,#REF!,4,)</f>
        <v>#REF!</v>
      </c>
      <c r="H412" s="6" t="e">
        <f>VLOOKUP(D412,#REF!,5,)</f>
        <v>#REF!</v>
      </c>
      <c r="I412" s="27">
        <v>257.27999999999997</v>
      </c>
      <c r="J412" s="27">
        <v>48</v>
      </c>
      <c r="K412" s="8">
        <f t="shared" si="35"/>
        <v>0.18656716417910449</v>
      </c>
      <c r="L412" s="27">
        <v>0</v>
      </c>
      <c r="M412" s="21"/>
      <c r="N412" s="27">
        <v>444</v>
      </c>
      <c r="O412" s="27">
        <v>444</v>
      </c>
      <c r="P412" s="9">
        <f t="shared" si="36"/>
        <v>-234.72000000000003</v>
      </c>
      <c r="Q412" s="9">
        <f>IFERROR(IF(D412=20250,O412/(#REF!/30),O412/(I412/30)),0)</f>
        <v>51.772388059701498</v>
      </c>
      <c r="R412" s="9">
        <f t="shared" si="37"/>
        <v>51.772388059701498</v>
      </c>
    </row>
    <row r="413" spans="1:18" ht="13.15" x14ac:dyDescent="0.45">
      <c r="A413" s="15" t="str">
        <f t="shared" si="33"/>
        <v>430216998</v>
      </c>
      <c r="B413" s="19" t="s">
        <v>102</v>
      </c>
      <c r="C413" s="6" t="e">
        <f>_xlfn.XLOOKUP(B:B,#REF!,#REF!)</f>
        <v>#REF!</v>
      </c>
      <c r="D413" s="19" t="s">
        <v>62</v>
      </c>
      <c r="E413" s="6" t="str">
        <f t="shared" si="34"/>
        <v>430216998</v>
      </c>
      <c r="F413" s="19" t="s">
        <v>63</v>
      </c>
      <c r="G413" s="7" t="e">
        <f>VLOOKUP(D413,#REF!,4,)</f>
        <v>#REF!</v>
      </c>
      <c r="H413" s="6" t="e">
        <f>VLOOKUP(D413,#REF!,5,)</f>
        <v>#REF!</v>
      </c>
      <c r="I413" s="27">
        <v>2574.36</v>
      </c>
      <c r="J413" s="27">
        <v>1020</v>
      </c>
      <c r="K413" s="8">
        <f t="shared" si="35"/>
        <v>0.39621498158765672</v>
      </c>
      <c r="L413" s="27">
        <v>0</v>
      </c>
      <c r="M413" s="21"/>
      <c r="N413" s="27">
        <v>4068</v>
      </c>
      <c r="O413" s="27">
        <v>4068</v>
      </c>
      <c r="P413" s="9">
        <f t="shared" si="36"/>
        <v>-2513.64</v>
      </c>
      <c r="Q413" s="9">
        <f>IFERROR(IF(D413=20250,O413/(#REF!/30),O413/(I413/30)),0)</f>
        <v>47.405957208781992</v>
      </c>
      <c r="R413" s="9">
        <f t="shared" si="37"/>
        <v>47.405957208781992</v>
      </c>
    </row>
    <row r="414" spans="1:18" ht="13.15" x14ac:dyDescent="0.45">
      <c r="A414" s="15" t="str">
        <f t="shared" si="33"/>
        <v>430218098</v>
      </c>
      <c r="B414" s="19" t="s">
        <v>102</v>
      </c>
      <c r="C414" s="6" t="e">
        <f>_xlfn.XLOOKUP(B:B,#REF!,#REF!)</f>
        <v>#REF!</v>
      </c>
      <c r="D414" s="19" t="s">
        <v>64</v>
      </c>
      <c r="E414" s="6" t="str">
        <f t="shared" si="34"/>
        <v>430218098</v>
      </c>
      <c r="F414" s="19" t="s">
        <v>131</v>
      </c>
      <c r="G414" s="7" t="e">
        <f>VLOOKUP(D414,#REF!,4,)</f>
        <v>#REF!</v>
      </c>
      <c r="H414" s="6" t="e">
        <f>VLOOKUP(D414,#REF!,5,)</f>
        <v>#REF!</v>
      </c>
      <c r="I414" s="27">
        <v>2251.6799999999998</v>
      </c>
      <c r="J414" s="27">
        <v>432</v>
      </c>
      <c r="K414" s="8">
        <f t="shared" si="35"/>
        <v>0.19185674696226818</v>
      </c>
      <c r="L414" s="27">
        <v>0</v>
      </c>
      <c r="M414" s="21"/>
      <c r="N414" s="27">
        <v>2148</v>
      </c>
      <c r="O414" s="27">
        <v>2148</v>
      </c>
      <c r="P414" s="9">
        <f t="shared" si="36"/>
        <v>-328.32000000000016</v>
      </c>
      <c r="Q414" s="9">
        <f>IFERROR(IF(D414=20250,O414/(#REF!/30),O414/(I414/30)),0)</f>
        <v>28.618631421871669</v>
      </c>
      <c r="R414" s="9">
        <f t="shared" si="37"/>
        <v>28.618631421871669</v>
      </c>
    </row>
    <row r="415" spans="1:18" ht="13.15" x14ac:dyDescent="0.45">
      <c r="A415" s="15" t="str">
        <f t="shared" si="33"/>
        <v>430220308</v>
      </c>
      <c r="B415" s="19" t="s">
        <v>102</v>
      </c>
      <c r="C415" s="6" t="e">
        <f>_xlfn.XLOOKUP(B:B,#REF!,#REF!)</f>
        <v>#REF!</v>
      </c>
      <c r="D415" s="19" t="s">
        <v>84</v>
      </c>
      <c r="E415" s="6" t="str">
        <f t="shared" si="34"/>
        <v>430220308</v>
      </c>
      <c r="F415" s="19" t="s">
        <v>108</v>
      </c>
      <c r="G415" s="7" t="e">
        <f>VLOOKUP(D415,#REF!,4,)</f>
        <v>#REF!</v>
      </c>
      <c r="H415" s="6" t="e">
        <f>VLOOKUP(D415,#REF!,5,)</f>
        <v>#REF!</v>
      </c>
      <c r="I415" s="27">
        <v>4826.04</v>
      </c>
      <c r="J415" s="27">
        <v>1572</v>
      </c>
      <c r="K415" s="8">
        <f t="shared" si="35"/>
        <v>0.32573289902280128</v>
      </c>
      <c r="L415" s="27">
        <v>0</v>
      </c>
      <c r="M415" s="21"/>
      <c r="N415" s="27">
        <v>5388</v>
      </c>
      <c r="O415" s="27">
        <v>5388</v>
      </c>
      <c r="P415" s="9">
        <f t="shared" si="36"/>
        <v>-2133.96</v>
      </c>
      <c r="Q415" s="9">
        <f>IFERROR(IF(D415=20250,O415/(#REF!/30),O415/(I415/30)),0)</f>
        <v>33.493298853718578</v>
      </c>
      <c r="R415" s="9">
        <f t="shared" si="37"/>
        <v>33.493298853718578</v>
      </c>
    </row>
    <row r="416" spans="1:18" ht="13.15" x14ac:dyDescent="0.45">
      <c r="A416" s="15" t="str">
        <f t="shared" si="33"/>
        <v>430220827</v>
      </c>
      <c r="B416" s="19" t="s">
        <v>102</v>
      </c>
      <c r="C416" s="6" t="e">
        <f>_xlfn.XLOOKUP(B:B,#REF!,#REF!)</f>
        <v>#REF!</v>
      </c>
      <c r="D416" s="19" t="s">
        <v>85</v>
      </c>
      <c r="E416" s="6" t="str">
        <f t="shared" si="34"/>
        <v>430220827</v>
      </c>
      <c r="F416" s="19" t="s">
        <v>86</v>
      </c>
      <c r="G416" s="7" t="e">
        <f>VLOOKUP(D416,#REF!,4,)</f>
        <v>#REF!</v>
      </c>
      <c r="H416" s="6" t="e">
        <f>VLOOKUP(D416,#REF!,5,)</f>
        <v>#REF!</v>
      </c>
      <c r="I416" s="27">
        <v>3539.4</v>
      </c>
      <c r="J416" s="27">
        <v>2328</v>
      </c>
      <c r="K416" s="8">
        <f t="shared" si="35"/>
        <v>0.65773859976267157</v>
      </c>
      <c r="L416" s="27">
        <v>0</v>
      </c>
      <c r="M416" s="21"/>
      <c r="N416" s="27">
        <v>2832</v>
      </c>
      <c r="O416" s="27">
        <v>2832</v>
      </c>
      <c r="P416" s="9">
        <f t="shared" si="36"/>
        <v>-1620.6</v>
      </c>
      <c r="Q416" s="9">
        <f>IFERROR(IF(D416=20250,O416/(#REF!/30),O416/(I416/30)),0)</f>
        <v>24.004068486184099</v>
      </c>
      <c r="R416" s="9">
        <f t="shared" si="37"/>
        <v>24.004068486184099</v>
      </c>
    </row>
    <row r="417" spans="1:18" ht="13.15" x14ac:dyDescent="0.45">
      <c r="A417" s="15" t="str">
        <f t="shared" si="33"/>
        <v>430221910</v>
      </c>
      <c r="B417" s="19" t="s">
        <v>102</v>
      </c>
      <c r="C417" s="6" t="e">
        <f>_xlfn.XLOOKUP(B:B,#REF!,#REF!)</f>
        <v>#REF!</v>
      </c>
      <c r="D417" s="19" t="s">
        <v>91</v>
      </c>
      <c r="E417" s="6" t="str">
        <f t="shared" si="34"/>
        <v>430221910</v>
      </c>
      <c r="F417" s="19" t="s">
        <v>92</v>
      </c>
      <c r="G417" s="7" t="e">
        <f>VLOOKUP(D417,#REF!,4,)</f>
        <v>#REF!</v>
      </c>
      <c r="H417" s="6" t="e">
        <f>VLOOKUP(D417,#REF!,5,)</f>
        <v>#REF!</v>
      </c>
      <c r="I417" s="27">
        <v>7722.24</v>
      </c>
      <c r="J417" s="27">
        <v>3960</v>
      </c>
      <c r="K417" s="8">
        <f t="shared" si="35"/>
        <v>0.51280457483838893</v>
      </c>
      <c r="L417" s="27">
        <v>1008</v>
      </c>
      <c r="M417" s="21">
        <v>46168</v>
      </c>
      <c r="N417" s="27">
        <v>6048</v>
      </c>
      <c r="O417" s="27">
        <v>7056</v>
      </c>
      <c r="P417" s="9">
        <f t="shared" si="36"/>
        <v>-3293.76</v>
      </c>
      <c r="Q417" s="9">
        <f>IFERROR(IF(D417=20250,O417/(#REF!/30),O417/(I417/30)),0)</f>
        <v>27.411735454997512</v>
      </c>
      <c r="R417" s="9">
        <f t="shared" si="37"/>
        <v>23.495773247140725</v>
      </c>
    </row>
    <row r="418" spans="1:18" ht="13.15" x14ac:dyDescent="0.45">
      <c r="A418" s="15" t="str">
        <f t="shared" si="33"/>
        <v>430223081</v>
      </c>
      <c r="B418" s="19" t="s">
        <v>102</v>
      </c>
      <c r="C418" s="6" t="e">
        <f>_xlfn.XLOOKUP(B:B,#REF!,#REF!)</f>
        <v>#REF!</v>
      </c>
      <c r="D418" s="19" t="s">
        <v>96</v>
      </c>
      <c r="E418" s="6" t="str">
        <f t="shared" si="34"/>
        <v>430223081</v>
      </c>
      <c r="F418" s="19" t="s">
        <v>97</v>
      </c>
      <c r="G418" s="7" t="e">
        <f>VLOOKUP(D418,#REF!,4,)</f>
        <v>#REF!</v>
      </c>
      <c r="H418" s="6" t="e">
        <f>VLOOKUP(D418,#REF!,5,)</f>
        <v>#REF!</v>
      </c>
      <c r="I418" s="27">
        <v>2574.36</v>
      </c>
      <c r="J418" s="27">
        <v>924</v>
      </c>
      <c r="K418" s="8">
        <f t="shared" si="35"/>
        <v>0.35892415979117137</v>
      </c>
      <c r="L418" s="27">
        <v>0</v>
      </c>
      <c r="M418" s="21"/>
      <c r="N418" s="27">
        <v>1488</v>
      </c>
      <c r="O418" s="27">
        <v>1488</v>
      </c>
      <c r="P418" s="9">
        <f t="shared" si="36"/>
        <v>162.36000000000013</v>
      </c>
      <c r="Q418" s="9">
        <f>IFERROR(IF(D418=20250,O418/(#REF!/30),O418/(I418/30)),0)</f>
        <v>17.340232135365685</v>
      </c>
      <c r="R418" s="9">
        <f t="shared" si="37"/>
        <v>17.340232135365685</v>
      </c>
    </row>
    <row r="419" spans="1:18" ht="13.15" x14ac:dyDescent="0.45">
      <c r="A419" s="15" t="str">
        <f t="shared" si="33"/>
        <v>430223401</v>
      </c>
      <c r="B419" s="19" t="s">
        <v>102</v>
      </c>
      <c r="C419" s="6" t="e">
        <f>_xlfn.XLOOKUP(B:B,#REF!,#REF!)</f>
        <v>#REF!</v>
      </c>
      <c r="D419" s="19" t="s">
        <v>98</v>
      </c>
      <c r="E419" s="6" t="str">
        <f t="shared" si="34"/>
        <v>430223401</v>
      </c>
      <c r="F419" s="19" t="s">
        <v>99</v>
      </c>
      <c r="G419" s="7" t="e">
        <f>VLOOKUP(D419,#REF!,4,)</f>
        <v>#REF!</v>
      </c>
      <c r="H419" s="6" t="e">
        <f>VLOOKUP(D419,#REF!,5,)</f>
        <v>#REF!</v>
      </c>
      <c r="I419" s="27">
        <v>964.92</v>
      </c>
      <c r="J419" s="27">
        <v>0</v>
      </c>
      <c r="K419" s="8">
        <f t="shared" si="35"/>
        <v>0</v>
      </c>
      <c r="L419" s="27">
        <v>0</v>
      </c>
      <c r="M419" s="21"/>
      <c r="N419" s="27">
        <v>540</v>
      </c>
      <c r="O419" s="27">
        <v>540</v>
      </c>
      <c r="P419" s="9">
        <f t="shared" si="36"/>
        <v>424.91999999999996</v>
      </c>
      <c r="Q419" s="9">
        <f>IFERROR(IF(D419=20250,O419/(#REF!/30),O419/(I419/30)),0)</f>
        <v>16.78895659743813</v>
      </c>
      <c r="R419" s="9">
        <f t="shared" si="37"/>
        <v>16.78895659743813</v>
      </c>
    </row>
    <row r="420" spans="1:18" ht="13.15" x14ac:dyDescent="0.45">
      <c r="A420" s="15" t="str">
        <f t="shared" si="33"/>
        <v>430224768</v>
      </c>
      <c r="B420" s="19" t="s">
        <v>102</v>
      </c>
      <c r="C420" s="6" t="e">
        <f>_xlfn.XLOOKUP(B:B,#REF!,#REF!)</f>
        <v>#REF!</v>
      </c>
      <c r="D420" s="19" t="s">
        <v>111</v>
      </c>
      <c r="E420" s="6" t="str">
        <f t="shared" si="34"/>
        <v>430224768</v>
      </c>
      <c r="F420" s="19" t="s">
        <v>112</v>
      </c>
      <c r="G420" s="7" t="e">
        <f>VLOOKUP(D420,#REF!,4,)</f>
        <v>#REF!</v>
      </c>
      <c r="H420" s="6" t="e">
        <f>VLOOKUP(D420,#REF!,5,)</f>
        <v>#REF!</v>
      </c>
      <c r="I420" s="27">
        <v>4826.04</v>
      </c>
      <c r="J420" s="27">
        <v>1728</v>
      </c>
      <c r="K420" s="8">
        <f t="shared" si="35"/>
        <v>0.35805753785712507</v>
      </c>
      <c r="L420" s="27">
        <v>0</v>
      </c>
      <c r="M420" s="21"/>
      <c r="N420" s="27">
        <v>6516</v>
      </c>
      <c r="O420" s="27">
        <v>6516</v>
      </c>
      <c r="P420" s="9">
        <f t="shared" si="36"/>
        <v>-3417.96</v>
      </c>
      <c r="Q420" s="9">
        <f>IFERROR(IF(D420=20250,O420/(#REF!/30),O420/(I420/30)),0)</f>
        <v>40.505258970087276</v>
      </c>
      <c r="R420" s="9">
        <f t="shared" si="37"/>
        <v>40.505258970087276</v>
      </c>
    </row>
    <row r="421" spans="1:18" ht="13.15" x14ac:dyDescent="0.45">
      <c r="A421" s="15" t="str">
        <f t="shared" si="33"/>
        <v>430225570</v>
      </c>
      <c r="B421" s="19" t="s">
        <v>102</v>
      </c>
      <c r="C421" s="6" t="e">
        <f>_xlfn.XLOOKUP(B:B,#REF!,#REF!)</f>
        <v>#REF!</v>
      </c>
      <c r="D421" s="19" t="s">
        <v>116</v>
      </c>
      <c r="E421" s="6" t="str">
        <f t="shared" si="34"/>
        <v>430225570</v>
      </c>
      <c r="F421" s="19" t="s">
        <v>118</v>
      </c>
      <c r="G421" s="7" t="e">
        <f>VLOOKUP(D421,#REF!,4,)</f>
        <v>#REF!</v>
      </c>
      <c r="H421" s="6" t="e">
        <f>VLOOKUP(D421,#REF!,5,)</f>
        <v>#REF!</v>
      </c>
      <c r="I421" s="27">
        <v>3217.68</v>
      </c>
      <c r="J421" s="27">
        <v>840</v>
      </c>
      <c r="K421" s="8">
        <f t="shared" si="35"/>
        <v>0.26105765644812412</v>
      </c>
      <c r="L421" s="27">
        <v>0</v>
      </c>
      <c r="M421" s="21"/>
      <c r="N421" s="27">
        <v>3240</v>
      </c>
      <c r="O421" s="27">
        <v>3240</v>
      </c>
      <c r="P421" s="9">
        <f t="shared" si="36"/>
        <v>-862.32000000000016</v>
      </c>
      <c r="Q421" s="9">
        <f>IFERROR(IF(D421=20250,O421/(#REF!/30),O421/(I421/30)),0)</f>
        <v>30.208100246140077</v>
      </c>
      <c r="R421" s="9">
        <f t="shared" si="37"/>
        <v>30.208100246140077</v>
      </c>
    </row>
    <row r="422" spans="1:18" ht="13.15" x14ac:dyDescent="0.45">
      <c r="A422" s="15" t="str">
        <f t="shared" si="33"/>
        <v>430225598</v>
      </c>
      <c r="B422" s="19" t="s">
        <v>102</v>
      </c>
      <c r="C422" s="6" t="e">
        <f>_xlfn.XLOOKUP(B:B,#REF!,#REF!)</f>
        <v>#REF!</v>
      </c>
      <c r="D422" s="19" t="s">
        <v>117</v>
      </c>
      <c r="E422" s="6" t="str">
        <f t="shared" si="34"/>
        <v>430225598</v>
      </c>
      <c r="F422" s="19" t="s">
        <v>119</v>
      </c>
      <c r="G422" s="7" t="e">
        <f>VLOOKUP(D422,#REF!,4,)</f>
        <v>#REF!</v>
      </c>
      <c r="H422" s="6" t="e">
        <f>VLOOKUP(D422,#REF!,5,)</f>
        <v>#REF!</v>
      </c>
      <c r="I422" s="27">
        <v>1286.6400000000001</v>
      </c>
      <c r="J422" s="27">
        <v>516</v>
      </c>
      <c r="K422" s="8">
        <f t="shared" si="35"/>
        <v>0.40104458123484421</v>
      </c>
      <c r="L422" s="27">
        <v>204</v>
      </c>
      <c r="M422" s="21">
        <v>46168</v>
      </c>
      <c r="N422" s="27">
        <v>720</v>
      </c>
      <c r="O422" s="27">
        <v>924</v>
      </c>
      <c r="P422" s="9">
        <f t="shared" si="36"/>
        <v>-153.3599999999999</v>
      </c>
      <c r="Q422" s="9">
        <f>IFERROR(IF(D422=20250,O422/(#REF!/30),O422/(I422/30)),0)</f>
        <v>21.544487968662562</v>
      </c>
      <c r="R422" s="9">
        <f t="shared" si="37"/>
        <v>16.787912702853944</v>
      </c>
    </row>
    <row r="423" spans="1:18" ht="13.15" x14ac:dyDescent="0.45">
      <c r="A423" s="15" t="str">
        <f t="shared" si="33"/>
        <v>430406151</v>
      </c>
      <c r="B423" s="19" t="s">
        <v>113</v>
      </c>
      <c r="C423" s="6" t="e">
        <f>_xlfn.XLOOKUP(B:B,#REF!,#REF!)</f>
        <v>#REF!</v>
      </c>
      <c r="D423" s="19" t="s">
        <v>23</v>
      </c>
      <c r="E423" s="6" t="str">
        <f t="shared" si="34"/>
        <v>430406151</v>
      </c>
      <c r="F423" s="19" t="s">
        <v>24</v>
      </c>
      <c r="G423" s="7" t="e">
        <f>VLOOKUP(D423,#REF!,4,)</f>
        <v>#REF!</v>
      </c>
      <c r="H423" s="6" t="e">
        <f>VLOOKUP(D423,#REF!,5,)</f>
        <v>#REF!</v>
      </c>
      <c r="I423" s="27">
        <v>16999.919999999998</v>
      </c>
      <c r="J423" s="27">
        <v>14904</v>
      </c>
      <c r="K423" s="8">
        <f t="shared" si="35"/>
        <v>0.87671000804709676</v>
      </c>
      <c r="L423" s="27">
        <v>0</v>
      </c>
      <c r="M423" s="21"/>
      <c r="N423" s="27">
        <v>11616</v>
      </c>
      <c r="O423" s="27">
        <v>11616</v>
      </c>
      <c r="P423" s="9">
        <f t="shared" si="36"/>
        <v>-9520.0800000000017</v>
      </c>
      <c r="Q423" s="9">
        <f>IFERROR(IF(D423=20250,O423/(#REF!/30),O423/(I423/30)),0)</f>
        <v>20.498919994917625</v>
      </c>
      <c r="R423" s="9">
        <f t="shared" si="37"/>
        <v>20.498919994917625</v>
      </c>
    </row>
    <row r="424" spans="1:18" ht="13.15" x14ac:dyDescent="0.45">
      <c r="A424" s="15" t="str">
        <f t="shared" si="33"/>
        <v>430413490</v>
      </c>
      <c r="B424" s="19" t="s">
        <v>113</v>
      </c>
      <c r="C424" s="6" t="e">
        <f>_xlfn.XLOOKUP(B:B,#REF!,#REF!)</f>
        <v>#REF!</v>
      </c>
      <c r="D424" s="19" t="s">
        <v>27</v>
      </c>
      <c r="E424" s="6" t="str">
        <f t="shared" si="34"/>
        <v>430413490</v>
      </c>
      <c r="F424" s="19" t="s">
        <v>28</v>
      </c>
      <c r="G424" s="7" t="e">
        <f>VLOOKUP(D424,#REF!,4,)</f>
        <v>#REF!</v>
      </c>
      <c r="H424" s="6" t="e">
        <f>VLOOKUP(D424,#REF!,5,)</f>
        <v>#REF!</v>
      </c>
      <c r="I424" s="27">
        <v>2890</v>
      </c>
      <c r="J424" s="27">
        <v>2100</v>
      </c>
      <c r="K424" s="8">
        <f t="shared" si="35"/>
        <v>0.72664359861591699</v>
      </c>
      <c r="L424" s="27">
        <v>0</v>
      </c>
      <c r="M424" s="21"/>
      <c r="N424" s="27">
        <v>3250</v>
      </c>
      <c r="O424" s="27">
        <v>3250</v>
      </c>
      <c r="P424" s="9">
        <f t="shared" si="36"/>
        <v>-2460</v>
      </c>
      <c r="Q424" s="9">
        <f>IFERROR(IF(D424=20250,O424/(#REF!/30),O424/(I424/30)),0)</f>
        <v>33.737024221453289</v>
      </c>
      <c r="R424" s="9">
        <f t="shared" si="37"/>
        <v>33.737024221453289</v>
      </c>
    </row>
    <row r="425" spans="1:18" ht="13.15" x14ac:dyDescent="0.45">
      <c r="A425" s="15" t="str">
        <f t="shared" si="33"/>
        <v>430415300</v>
      </c>
      <c r="B425" s="19" t="s">
        <v>113</v>
      </c>
      <c r="C425" s="6" t="e">
        <f>_xlfn.XLOOKUP(B:B,#REF!,#REF!)</f>
        <v>#REF!</v>
      </c>
      <c r="D425" s="19" t="s">
        <v>31</v>
      </c>
      <c r="E425" s="6" t="str">
        <f t="shared" si="34"/>
        <v>430415300</v>
      </c>
      <c r="F425" s="19" t="s">
        <v>32</v>
      </c>
      <c r="G425" s="7" t="e">
        <f>VLOOKUP(D425,#REF!,4,)</f>
        <v>#REF!</v>
      </c>
      <c r="H425" s="6" t="e">
        <f>VLOOKUP(D425,#REF!,5,)</f>
        <v>#REF!</v>
      </c>
      <c r="I425" s="27">
        <v>306</v>
      </c>
      <c r="J425" s="27">
        <v>72</v>
      </c>
      <c r="K425" s="8">
        <f t="shared" si="35"/>
        <v>0.23529411764705882</v>
      </c>
      <c r="L425" s="27">
        <v>0</v>
      </c>
      <c r="M425" s="21"/>
      <c r="N425" s="27">
        <v>468</v>
      </c>
      <c r="O425" s="27">
        <v>468</v>
      </c>
      <c r="P425" s="9">
        <f t="shared" si="36"/>
        <v>-234</v>
      </c>
      <c r="Q425" s="9">
        <f>IFERROR(IF(D425=20250,O425/(#REF!/30),O425/(I425/30)),0)</f>
        <v>45.882352941176471</v>
      </c>
      <c r="R425" s="9">
        <f t="shared" si="37"/>
        <v>45.882352941176471</v>
      </c>
    </row>
    <row r="426" spans="1:18" ht="13.15" x14ac:dyDescent="0.45">
      <c r="A426" s="15" t="str">
        <f t="shared" si="33"/>
        <v>430419690</v>
      </c>
      <c r="B426" s="19" t="s">
        <v>113</v>
      </c>
      <c r="C426" s="6" t="e">
        <f>_xlfn.XLOOKUP(B:B,#REF!,#REF!)</f>
        <v>#REF!</v>
      </c>
      <c r="D426" s="19" t="s">
        <v>66</v>
      </c>
      <c r="E426" s="6" t="str">
        <f t="shared" si="34"/>
        <v>430419690</v>
      </c>
      <c r="F426" s="19" t="s">
        <v>67</v>
      </c>
      <c r="G426" s="7" t="e">
        <f>VLOOKUP(D426,#REF!,4,)</f>
        <v>#REF!</v>
      </c>
      <c r="H426" s="6" t="e">
        <f>VLOOKUP(D426,#REF!,5,)</f>
        <v>#REF!</v>
      </c>
      <c r="I426" s="27">
        <v>312</v>
      </c>
      <c r="J426" s="27">
        <v>2076</v>
      </c>
      <c r="K426" s="8">
        <f t="shared" si="35"/>
        <v>6.6538461538461542</v>
      </c>
      <c r="L426" s="27">
        <v>0</v>
      </c>
      <c r="M426" s="21"/>
      <c r="N426" s="27">
        <v>216</v>
      </c>
      <c r="O426" s="27">
        <v>216</v>
      </c>
      <c r="P426" s="9">
        <f t="shared" si="36"/>
        <v>-1980</v>
      </c>
      <c r="Q426" s="9">
        <f>IFERROR(IF(D426=20250,O426/(#REF!/30),O426/(I426/30)),0)</f>
        <v>20.76923076923077</v>
      </c>
      <c r="R426" s="9">
        <f t="shared" si="37"/>
        <v>20.76923076923077</v>
      </c>
    </row>
    <row r="427" spans="1:18" ht="13.15" x14ac:dyDescent="0.45">
      <c r="A427" s="15" t="str">
        <f t="shared" si="33"/>
        <v>430420661</v>
      </c>
      <c r="B427" s="19" t="s">
        <v>113</v>
      </c>
      <c r="C427" s="6" t="e">
        <f>_xlfn.XLOOKUP(B:B,#REF!,#REF!)</f>
        <v>#REF!</v>
      </c>
      <c r="D427" s="19" t="s">
        <v>88</v>
      </c>
      <c r="E427" s="6" t="str">
        <f t="shared" si="34"/>
        <v>430420661</v>
      </c>
      <c r="F427" s="19" t="s">
        <v>89</v>
      </c>
      <c r="G427" s="7" t="e">
        <f>VLOOKUP(D427,#REF!,4,)</f>
        <v>#REF!</v>
      </c>
      <c r="H427" s="6" t="e">
        <f>VLOOKUP(D427,#REF!,5,)</f>
        <v>#REF!</v>
      </c>
      <c r="I427" s="27">
        <v>3499.92</v>
      </c>
      <c r="J427" s="27">
        <v>2700</v>
      </c>
      <c r="K427" s="8">
        <f t="shared" si="35"/>
        <v>0.77144620448467394</v>
      </c>
      <c r="L427" s="27">
        <v>0</v>
      </c>
      <c r="M427" s="21"/>
      <c r="N427" s="27">
        <v>2952</v>
      </c>
      <c r="O427" s="27">
        <v>2952</v>
      </c>
      <c r="P427" s="9">
        <f t="shared" si="36"/>
        <v>-2152.08</v>
      </c>
      <c r="Q427" s="9">
        <f>IFERROR(IF(D427=20250,O427/(#REF!/30),O427/(I427/30)),0)</f>
        <v>25.303435507097305</v>
      </c>
      <c r="R427" s="9">
        <f t="shared" si="37"/>
        <v>25.303435507097305</v>
      </c>
    </row>
    <row r="428" spans="1:18" ht="13.15" x14ac:dyDescent="0.45">
      <c r="A428" s="15" t="str">
        <f t="shared" si="33"/>
        <v>430423638</v>
      </c>
      <c r="B428" s="19" t="s">
        <v>113</v>
      </c>
      <c r="C428" s="6" t="e">
        <f>_xlfn.XLOOKUP(B:B,#REF!,#REF!)</f>
        <v>#REF!</v>
      </c>
      <c r="D428" s="19" t="s">
        <v>100</v>
      </c>
      <c r="E428" s="6" t="str">
        <f t="shared" si="34"/>
        <v>430423638</v>
      </c>
      <c r="F428" s="19" t="s">
        <v>101</v>
      </c>
      <c r="G428" s="7" t="e">
        <f>VLOOKUP(D428,#REF!,4,)</f>
        <v>#REF!</v>
      </c>
      <c r="H428" s="6" t="e">
        <f>VLOOKUP(D428,#REF!,5,)</f>
        <v>#REF!</v>
      </c>
      <c r="I428" s="27">
        <v>11499.84</v>
      </c>
      <c r="J428" s="27">
        <v>7260</v>
      </c>
      <c r="K428" s="8">
        <f t="shared" si="35"/>
        <v>0.63131313131313127</v>
      </c>
      <c r="L428" s="27">
        <v>5532</v>
      </c>
      <c r="M428" s="21">
        <v>46168</v>
      </c>
      <c r="N428" s="27">
        <v>4740</v>
      </c>
      <c r="O428" s="27">
        <v>10272</v>
      </c>
      <c r="P428" s="9">
        <f t="shared" si="36"/>
        <v>-6032.16</v>
      </c>
      <c r="Q428" s="9">
        <f>IFERROR(IF(D428=20250,O428/(#REF!/30),O428/(I428/30)),0)</f>
        <v>26.796894565489605</v>
      </c>
      <c r="R428" s="9">
        <f t="shared" si="37"/>
        <v>12.365389431505132</v>
      </c>
    </row>
    <row r="429" spans="1:18" ht="13.15" x14ac:dyDescent="0.45">
      <c r="A429" s="15" t="str">
        <f t="shared" si="33"/>
        <v>430425885</v>
      </c>
      <c r="B429" s="19" t="s">
        <v>113</v>
      </c>
      <c r="C429" s="6" t="e">
        <f>_xlfn.XLOOKUP(B:B,#REF!,#REF!)</f>
        <v>#REF!</v>
      </c>
      <c r="D429" s="19" t="s">
        <v>122</v>
      </c>
      <c r="E429" s="6" t="str">
        <f t="shared" si="34"/>
        <v>430425885</v>
      </c>
      <c r="F429" s="19" t="s">
        <v>123</v>
      </c>
      <c r="G429" s="7" t="e">
        <f>VLOOKUP(D429,#REF!,4,)</f>
        <v>#REF!</v>
      </c>
      <c r="H429" s="6" t="e">
        <f>VLOOKUP(D429,#REF!,5,)</f>
        <v>#REF!</v>
      </c>
      <c r="I429" s="27">
        <v>3096</v>
      </c>
      <c r="J429" s="27">
        <v>2424</v>
      </c>
      <c r="K429" s="8">
        <f t="shared" si="35"/>
        <v>0.78294573643410847</v>
      </c>
      <c r="L429" s="27">
        <v>0</v>
      </c>
      <c r="M429" s="21"/>
      <c r="N429" s="27">
        <v>2136</v>
      </c>
      <c r="O429" s="27">
        <v>2136</v>
      </c>
      <c r="P429" s="9">
        <f t="shared" si="36"/>
        <v>-1464</v>
      </c>
      <c r="Q429" s="9">
        <f>IFERROR(IF(D429=20250,O429/(#REF!/30),O429/(I429/30)),0)</f>
        <v>20.697674418604649</v>
      </c>
      <c r="R429" s="9">
        <f t="shared" si="37"/>
        <v>20.697674418604649</v>
      </c>
    </row>
    <row r="430" spans="1:18" ht="13.15" x14ac:dyDescent="0.45">
      <c r="A430" s="15" t="str">
        <f t="shared" si="33"/>
        <v>430426026</v>
      </c>
      <c r="B430" s="19" t="s">
        <v>113</v>
      </c>
      <c r="C430" s="6" t="e">
        <f>_xlfn.XLOOKUP(B:B,#REF!,#REF!)</f>
        <v>#REF!</v>
      </c>
      <c r="D430" s="19" t="s">
        <v>128</v>
      </c>
      <c r="E430" s="6" t="str">
        <f t="shared" si="34"/>
        <v>430426026</v>
      </c>
      <c r="F430" s="19" t="s">
        <v>133</v>
      </c>
      <c r="G430" s="7" t="e">
        <f>VLOOKUP(D430,#REF!,4,)</f>
        <v>#REF!</v>
      </c>
      <c r="H430" s="6" t="e">
        <f>VLOOKUP(D430,#REF!,5,)</f>
        <v>#REF!</v>
      </c>
      <c r="I430" s="27">
        <v>0</v>
      </c>
      <c r="J430" s="27">
        <v>0</v>
      </c>
      <c r="K430" s="8">
        <f t="shared" si="35"/>
        <v>0</v>
      </c>
      <c r="L430" s="27">
        <v>0</v>
      </c>
      <c r="M430" s="21"/>
      <c r="N430" s="27">
        <v>348</v>
      </c>
      <c r="O430" s="27">
        <v>348</v>
      </c>
      <c r="P430" s="9">
        <f t="shared" si="36"/>
        <v>-348</v>
      </c>
      <c r="Q430" s="9">
        <f>IFERROR(IF(D430=20250,O430/(#REF!/30),O430/(I430/30)),0)</f>
        <v>0</v>
      </c>
      <c r="R430" s="9">
        <f t="shared" si="37"/>
        <v>0</v>
      </c>
    </row>
    <row r="431" spans="1:18" ht="13.15" x14ac:dyDescent="0.45">
      <c r="A431" s="15" t="str">
        <f t="shared" si="33"/>
        <v>430426193</v>
      </c>
      <c r="B431" s="19" t="s">
        <v>113</v>
      </c>
      <c r="C431" s="6" t="e">
        <f>_xlfn.XLOOKUP(B:B,#REF!,#REF!)</f>
        <v>#REF!</v>
      </c>
      <c r="D431" s="19" t="s">
        <v>130</v>
      </c>
      <c r="E431" s="6" t="str">
        <f t="shared" si="34"/>
        <v>430426193</v>
      </c>
      <c r="F431" s="19" t="s">
        <v>134</v>
      </c>
      <c r="G431" s="7" t="e">
        <f>VLOOKUP(D431,#REF!,4,)</f>
        <v>#REF!</v>
      </c>
      <c r="H431" s="6" t="e">
        <f>VLOOKUP(D431,#REF!,5,)</f>
        <v>#REF!</v>
      </c>
      <c r="I431" s="27">
        <v>2772</v>
      </c>
      <c r="J431" s="27">
        <v>6888</v>
      </c>
      <c r="K431" s="8">
        <f t="shared" si="35"/>
        <v>2.4848484848484849</v>
      </c>
      <c r="L431" s="27">
        <v>0</v>
      </c>
      <c r="M431" s="21"/>
      <c r="N431" s="27">
        <v>0</v>
      </c>
      <c r="O431" s="27">
        <v>0</v>
      </c>
      <c r="P431" s="9">
        <f t="shared" si="36"/>
        <v>-4116</v>
      </c>
      <c r="Q431" s="9">
        <f>IFERROR(IF(D431=20250,O431/(#REF!/30),O431/(I431/30)),0)</f>
        <v>0</v>
      </c>
      <c r="R431" s="9">
        <f t="shared" si="37"/>
        <v>0</v>
      </c>
    </row>
    <row r="432" spans="1:18" ht="13.15" x14ac:dyDescent="0.45">
      <c r="A432" s="15" t="str">
        <f t="shared" si="33"/>
        <v>430426234</v>
      </c>
      <c r="B432" s="19" t="s">
        <v>113</v>
      </c>
      <c r="C432" s="6" t="e">
        <f>_xlfn.XLOOKUP(B:B,#REF!,#REF!)</f>
        <v>#REF!</v>
      </c>
      <c r="D432" s="19" t="s">
        <v>126</v>
      </c>
      <c r="E432" s="6" t="str">
        <f t="shared" si="34"/>
        <v>430426234</v>
      </c>
      <c r="F432" s="19" t="s">
        <v>127</v>
      </c>
      <c r="G432" s="7" t="e">
        <f>VLOOKUP(D432,#REF!,4,)</f>
        <v>#REF!</v>
      </c>
      <c r="H432" s="6" t="e">
        <f>VLOOKUP(D432,#REF!,5,)</f>
        <v>#REF!</v>
      </c>
      <c r="I432" s="27">
        <v>24</v>
      </c>
      <c r="J432" s="27">
        <v>0</v>
      </c>
      <c r="K432" s="8">
        <f t="shared" si="35"/>
        <v>0</v>
      </c>
      <c r="L432" s="27">
        <v>0</v>
      </c>
      <c r="M432" s="21"/>
      <c r="N432" s="27">
        <v>1056</v>
      </c>
      <c r="O432" s="27">
        <v>1056</v>
      </c>
      <c r="P432" s="9">
        <f t="shared" si="36"/>
        <v>-1032</v>
      </c>
      <c r="Q432" s="9">
        <f>IFERROR(IF(D432=20250,O432/(#REF!/30),O432/(I432/30)),0)</f>
        <v>1320</v>
      </c>
      <c r="R432" s="9">
        <f t="shared" si="37"/>
        <v>1320</v>
      </c>
    </row>
    <row r="433" spans="1:18" ht="13.15" x14ac:dyDescent="0.45">
      <c r="A433" s="15" t="str">
        <f t="shared" si="33"/>
        <v>430404145</v>
      </c>
      <c r="B433" s="19" t="s">
        <v>113</v>
      </c>
      <c r="C433" s="6" t="e">
        <f>_xlfn.XLOOKUP(B:B,#REF!,#REF!)</f>
        <v>#REF!</v>
      </c>
      <c r="D433" s="19" t="s">
        <v>25</v>
      </c>
      <c r="E433" s="6" t="str">
        <f t="shared" si="34"/>
        <v>430404145</v>
      </c>
      <c r="F433" s="19" t="s">
        <v>26</v>
      </c>
      <c r="G433" s="7" t="e">
        <f>VLOOKUP(D433,#REF!,4,)</f>
        <v>#REF!</v>
      </c>
      <c r="H433" s="6" t="e">
        <f>VLOOKUP(D433,#REF!,5,)</f>
        <v>#REF!</v>
      </c>
      <c r="I433" s="27">
        <v>252</v>
      </c>
      <c r="J433" s="27">
        <v>261</v>
      </c>
      <c r="K433" s="8">
        <f t="shared" si="35"/>
        <v>1.0357142857142858</v>
      </c>
      <c r="L433" s="27">
        <v>0</v>
      </c>
      <c r="M433" s="21"/>
      <c r="N433" s="27">
        <v>378</v>
      </c>
      <c r="O433" s="27">
        <v>378</v>
      </c>
      <c r="P433" s="9">
        <f t="shared" si="36"/>
        <v>-387</v>
      </c>
      <c r="Q433" s="9">
        <f>IFERROR(IF(D433=20250,O433/(#REF!/30),O433/(I433/30)),0)</f>
        <v>45</v>
      </c>
      <c r="R433" s="9">
        <f t="shared" si="37"/>
        <v>45</v>
      </c>
    </row>
    <row r="434" spans="1:18" ht="13.15" x14ac:dyDescent="0.45">
      <c r="A434" s="15" t="str">
        <f t="shared" si="33"/>
        <v>430414248</v>
      </c>
      <c r="B434" s="19" t="s">
        <v>113</v>
      </c>
      <c r="C434" s="6" t="e">
        <f>_xlfn.XLOOKUP(B:B,#REF!,#REF!)</f>
        <v>#REF!</v>
      </c>
      <c r="D434" s="19" t="s">
        <v>29</v>
      </c>
      <c r="E434" s="6" t="str">
        <f t="shared" si="34"/>
        <v>430414248</v>
      </c>
      <c r="F434" s="19" t="s">
        <v>30</v>
      </c>
      <c r="G434" s="7" t="e">
        <f>VLOOKUP(D434,#REF!,4,)</f>
        <v>#REF!</v>
      </c>
      <c r="H434" s="6" t="e">
        <f>VLOOKUP(D434,#REF!,5,)</f>
        <v>#REF!</v>
      </c>
      <c r="I434" s="27">
        <v>1470</v>
      </c>
      <c r="J434" s="27">
        <v>1230</v>
      </c>
      <c r="K434" s="8">
        <f t="shared" si="35"/>
        <v>0.83673469387755106</v>
      </c>
      <c r="L434" s="27">
        <v>0</v>
      </c>
      <c r="M434" s="21"/>
      <c r="N434" s="27">
        <v>1750</v>
      </c>
      <c r="O434" s="27">
        <v>1750</v>
      </c>
      <c r="P434" s="9">
        <f t="shared" si="36"/>
        <v>-1510</v>
      </c>
      <c r="Q434" s="9">
        <f>IFERROR(IF(D434=20250,O434/(#REF!/30),O434/(I434/30)),0)</f>
        <v>35.714285714285715</v>
      </c>
      <c r="R434" s="9">
        <f t="shared" si="37"/>
        <v>35.714285714285715</v>
      </c>
    </row>
    <row r="435" spans="1:18" ht="13.15" x14ac:dyDescent="0.45">
      <c r="A435" s="15" t="str">
        <f t="shared" si="33"/>
        <v>430415305</v>
      </c>
      <c r="B435" s="19" t="s">
        <v>113</v>
      </c>
      <c r="C435" s="6" t="e">
        <f>_xlfn.XLOOKUP(B:B,#REF!,#REF!)</f>
        <v>#REF!</v>
      </c>
      <c r="D435" s="19" t="s">
        <v>33</v>
      </c>
      <c r="E435" s="6" t="str">
        <f t="shared" si="34"/>
        <v>430415305</v>
      </c>
      <c r="F435" s="19" t="s">
        <v>34</v>
      </c>
      <c r="G435" s="7" t="e">
        <f>VLOOKUP(D435,#REF!,4,)</f>
        <v>#REF!</v>
      </c>
      <c r="H435" s="6" t="e">
        <f>VLOOKUP(D435,#REF!,5,)</f>
        <v>#REF!</v>
      </c>
      <c r="I435" s="27">
        <v>315</v>
      </c>
      <c r="J435" s="27">
        <v>144</v>
      </c>
      <c r="K435" s="8">
        <f t="shared" si="35"/>
        <v>0.45714285714285713</v>
      </c>
      <c r="L435" s="27">
        <v>0</v>
      </c>
      <c r="M435" s="21"/>
      <c r="N435" s="27">
        <v>450</v>
      </c>
      <c r="O435" s="27">
        <v>450</v>
      </c>
      <c r="P435" s="9">
        <f t="shared" si="36"/>
        <v>-279</v>
      </c>
      <c r="Q435" s="9">
        <f>IFERROR(IF(D435=20250,O435/(#REF!/30),O435/(I435/30)),0)</f>
        <v>42.857142857142854</v>
      </c>
      <c r="R435" s="9">
        <f t="shared" si="37"/>
        <v>42.857142857142854</v>
      </c>
    </row>
    <row r="436" spans="1:18" ht="13.15" x14ac:dyDescent="0.45">
      <c r="A436" s="15" t="str">
        <f t="shared" si="33"/>
        <v>430416407</v>
      </c>
      <c r="B436" s="19" t="s">
        <v>113</v>
      </c>
      <c r="C436" s="6" t="e">
        <f>_xlfn.XLOOKUP(B:B,#REF!,#REF!)</f>
        <v>#REF!</v>
      </c>
      <c r="D436" s="19" t="s">
        <v>37</v>
      </c>
      <c r="E436" s="6" t="str">
        <f t="shared" si="34"/>
        <v>430416407</v>
      </c>
      <c r="F436" s="19" t="s">
        <v>38</v>
      </c>
      <c r="G436" s="7" t="e">
        <f>VLOOKUP(D436,#REF!,4,)</f>
        <v>#REF!</v>
      </c>
      <c r="H436" s="6" t="e">
        <f>VLOOKUP(D436,#REF!,5,)</f>
        <v>#REF!</v>
      </c>
      <c r="I436" s="27">
        <v>387</v>
      </c>
      <c r="J436" s="27">
        <v>432</v>
      </c>
      <c r="K436" s="8">
        <f t="shared" si="35"/>
        <v>1.1162790697674418</v>
      </c>
      <c r="L436" s="27">
        <v>0</v>
      </c>
      <c r="M436" s="21"/>
      <c r="N436" s="27">
        <v>378</v>
      </c>
      <c r="O436" s="27">
        <v>378</v>
      </c>
      <c r="P436" s="9">
        <f t="shared" si="36"/>
        <v>-423</v>
      </c>
      <c r="Q436" s="9">
        <f>IFERROR(IF(D436=20250,O436/(#REF!/30),O436/(I436/30)),0)</f>
        <v>29.302325581395348</v>
      </c>
      <c r="R436" s="9">
        <f t="shared" si="37"/>
        <v>29.302325581395348</v>
      </c>
    </row>
    <row r="437" spans="1:18" ht="13.15" x14ac:dyDescent="0.45">
      <c r="A437" s="15" t="str">
        <f t="shared" si="33"/>
        <v>430400189</v>
      </c>
      <c r="B437" s="19" t="s">
        <v>113</v>
      </c>
      <c r="C437" s="6" t="e">
        <f>_xlfn.XLOOKUP(B:B,#REF!,#REF!)</f>
        <v>#REF!</v>
      </c>
      <c r="D437" s="19" t="s">
        <v>39</v>
      </c>
      <c r="E437" s="6" t="str">
        <f t="shared" si="34"/>
        <v>430400189</v>
      </c>
      <c r="F437" s="19" t="s">
        <v>109</v>
      </c>
      <c r="G437" s="7" t="e">
        <f>VLOOKUP(D437,#REF!,4,)</f>
        <v>#REF!</v>
      </c>
      <c r="H437" s="6" t="e">
        <f>VLOOKUP(D437,#REF!,5,)</f>
        <v>#REF!</v>
      </c>
      <c r="I437" s="27">
        <v>33999.96</v>
      </c>
      <c r="J437" s="27">
        <v>26580</v>
      </c>
      <c r="K437" s="8">
        <f t="shared" si="35"/>
        <v>0.78176562560661833</v>
      </c>
      <c r="L437" s="27">
        <v>0</v>
      </c>
      <c r="M437" s="21"/>
      <c r="N437" s="27">
        <v>8676</v>
      </c>
      <c r="O437" s="27">
        <v>8676</v>
      </c>
      <c r="P437" s="9">
        <f t="shared" si="36"/>
        <v>-1256.0400000000009</v>
      </c>
      <c r="Q437" s="9">
        <f>IFERROR(IF(D437=20250,O437/(#REF!/30),O437/(I437/30)),0)</f>
        <v>7.6553031238860285</v>
      </c>
      <c r="R437" s="9">
        <f t="shared" si="37"/>
        <v>7.6553031238860285</v>
      </c>
    </row>
    <row r="438" spans="1:18" ht="13.15" x14ac:dyDescent="0.45">
      <c r="A438" s="15" t="str">
        <f t="shared" si="33"/>
        <v>430401167</v>
      </c>
      <c r="B438" s="19" t="s">
        <v>113</v>
      </c>
      <c r="C438" s="6" t="e">
        <f>_xlfn.XLOOKUP(B:B,#REF!,#REF!)</f>
        <v>#REF!</v>
      </c>
      <c r="D438" s="19" t="s">
        <v>40</v>
      </c>
      <c r="E438" s="6" t="str">
        <f t="shared" si="34"/>
        <v>430401167</v>
      </c>
      <c r="F438" s="19" t="s">
        <v>41</v>
      </c>
      <c r="G438" s="7" t="e">
        <f>VLOOKUP(D438,#REF!,4,)</f>
        <v>#REF!</v>
      </c>
      <c r="H438" s="6" t="e">
        <f>VLOOKUP(D438,#REF!,5,)</f>
        <v>#REF!</v>
      </c>
      <c r="I438" s="27">
        <v>5151.96</v>
      </c>
      <c r="J438" s="27">
        <v>3024</v>
      </c>
      <c r="K438" s="8">
        <f t="shared" si="35"/>
        <v>0.58696107889036409</v>
      </c>
      <c r="L438" s="27">
        <v>0</v>
      </c>
      <c r="M438" s="21"/>
      <c r="N438" s="27">
        <v>3744</v>
      </c>
      <c r="O438" s="27">
        <v>3744</v>
      </c>
      <c r="P438" s="9">
        <f t="shared" si="36"/>
        <v>-1616.04</v>
      </c>
      <c r="Q438" s="9">
        <f>IFERROR(IF(D438=20250,O438/(#REF!/30),O438/(I438/30)),0)</f>
        <v>21.801411501642093</v>
      </c>
      <c r="R438" s="9">
        <f t="shared" si="37"/>
        <v>21.801411501642093</v>
      </c>
    </row>
    <row r="439" spans="1:18" ht="13.15" x14ac:dyDescent="0.45">
      <c r="A439" s="15" t="str">
        <f t="shared" si="33"/>
        <v>430401296</v>
      </c>
      <c r="B439" s="19" t="s">
        <v>113</v>
      </c>
      <c r="C439" s="6" t="e">
        <f>_xlfn.XLOOKUP(B:B,#REF!,#REF!)</f>
        <v>#REF!</v>
      </c>
      <c r="D439" s="19" t="s">
        <v>14</v>
      </c>
      <c r="E439" s="6" t="str">
        <f t="shared" si="34"/>
        <v>430401296</v>
      </c>
      <c r="F439" s="19" t="s">
        <v>15</v>
      </c>
      <c r="G439" s="7" t="e">
        <f>VLOOKUP(D439,#REF!,4,)</f>
        <v>#REF!</v>
      </c>
      <c r="H439" s="6" t="e">
        <f>VLOOKUP(D439,#REF!,5,)</f>
        <v>#REF!</v>
      </c>
      <c r="I439" s="27">
        <v>4872</v>
      </c>
      <c r="J439" s="27">
        <v>2316</v>
      </c>
      <c r="K439" s="8">
        <f t="shared" si="35"/>
        <v>0.47536945812807879</v>
      </c>
      <c r="L439" s="27">
        <v>0</v>
      </c>
      <c r="M439" s="21"/>
      <c r="N439" s="27">
        <v>3372</v>
      </c>
      <c r="O439" s="27">
        <v>3372</v>
      </c>
      <c r="P439" s="9">
        <f t="shared" si="36"/>
        <v>-816</v>
      </c>
      <c r="Q439" s="9">
        <f>IFERROR(IF(D439=20250,O439/(#REF!/30),O439/(I439/30)),0)</f>
        <v>20.763546798029555</v>
      </c>
      <c r="R439" s="9">
        <f t="shared" si="37"/>
        <v>20.763546798029555</v>
      </c>
    </row>
    <row r="440" spans="1:18" ht="13.15" x14ac:dyDescent="0.45">
      <c r="A440" s="15" t="str">
        <f t="shared" si="33"/>
        <v>430402122</v>
      </c>
      <c r="B440" s="19" t="s">
        <v>113</v>
      </c>
      <c r="C440" s="6" t="e">
        <f>_xlfn.XLOOKUP(B:B,#REF!,#REF!)</f>
        <v>#REF!</v>
      </c>
      <c r="D440" s="19" t="s">
        <v>42</v>
      </c>
      <c r="E440" s="6" t="str">
        <f t="shared" si="34"/>
        <v>430402122</v>
      </c>
      <c r="F440" s="19" t="s">
        <v>43</v>
      </c>
      <c r="G440" s="7" t="e">
        <f>VLOOKUP(D440,#REF!,4,)</f>
        <v>#REF!</v>
      </c>
      <c r="H440" s="6" t="e">
        <f>VLOOKUP(D440,#REF!,5,)</f>
        <v>#REF!</v>
      </c>
      <c r="I440" s="27">
        <v>87999.96</v>
      </c>
      <c r="J440" s="27">
        <v>54444</v>
      </c>
      <c r="K440" s="8">
        <f t="shared" si="35"/>
        <v>0.6186820994009542</v>
      </c>
      <c r="L440" s="27">
        <v>0</v>
      </c>
      <c r="M440" s="21"/>
      <c r="N440" s="27">
        <v>44652</v>
      </c>
      <c r="O440" s="27">
        <v>44652</v>
      </c>
      <c r="P440" s="9">
        <f t="shared" si="36"/>
        <v>-11096.039999999994</v>
      </c>
      <c r="Q440" s="9">
        <f>IFERROR(IF(D440=20250,O440/(#REF!/30),O440/(I440/30)),0)</f>
        <v>15.222279646490747</v>
      </c>
      <c r="R440" s="9">
        <f t="shared" si="37"/>
        <v>15.222279646490747</v>
      </c>
    </row>
    <row r="441" spans="1:18" ht="13.15" x14ac:dyDescent="0.45">
      <c r="A441" s="15" t="str">
        <f t="shared" si="33"/>
        <v>430406982</v>
      </c>
      <c r="B441" s="19" t="s">
        <v>113</v>
      </c>
      <c r="C441" s="6" t="e">
        <f>_xlfn.XLOOKUP(B:B,#REF!,#REF!)</f>
        <v>#REF!</v>
      </c>
      <c r="D441" s="19" t="s">
        <v>46</v>
      </c>
      <c r="E441" s="6" t="str">
        <f t="shared" si="34"/>
        <v>430406982</v>
      </c>
      <c r="F441" s="19" t="s">
        <v>47</v>
      </c>
      <c r="G441" s="7" t="e">
        <f>VLOOKUP(D441,#REF!,4,)</f>
        <v>#REF!</v>
      </c>
      <c r="H441" s="6" t="e">
        <f>VLOOKUP(D441,#REF!,5,)</f>
        <v>#REF!</v>
      </c>
      <c r="I441" s="27">
        <v>2799.96</v>
      </c>
      <c r="J441" s="27">
        <v>2028</v>
      </c>
      <c r="K441" s="8">
        <f t="shared" si="35"/>
        <v>0.72429606137230529</v>
      </c>
      <c r="L441" s="27">
        <v>0</v>
      </c>
      <c r="M441" s="21"/>
      <c r="N441" s="27">
        <v>2220</v>
      </c>
      <c r="O441" s="27">
        <v>2220</v>
      </c>
      <c r="P441" s="9">
        <f t="shared" si="36"/>
        <v>-1448.04</v>
      </c>
      <c r="Q441" s="9">
        <f>IFERROR(IF(D441=20250,O441/(#REF!/30),O441/(I441/30)),0)</f>
        <v>23.786054086486949</v>
      </c>
      <c r="R441" s="9">
        <f t="shared" si="37"/>
        <v>23.786054086486949</v>
      </c>
    </row>
    <row r="442" spans="1:18" ht="13.15" x14ac:dyDescent="0.45">
      <c r="A442" s="15" t="str">
        <f t="shared" si="33"/>
        <v>430407310</v>
      </c>
      <c r="B442" s="19" t="s">
        <v>113</v>
      </c>
      <c r="C442" s="6" t="e">
        <f>_xlfn.XLOOKUP(B:B,#REF!,#REF!)</f>
        <v>#REF!</v>
      </c>
      <c r="D442" s="19" t="s">
        <v>16</v>
      </c>
      <c r="E442" s="6" t="str">
        <f t="shared" si="34"/>
        <v>430407310</v>
      </c>
      <c r="F442" s="19" t="s">
        <v>17</v>
      </c>
      <c r="G442" s="7" t="e">
        <f>VLOOKUP(D442,#REF!,4,)</f>
        <v>#REF!</v>
      </c>
      <c r="H442" s="6" t="e">
        <f>VLOOKUP(D442,#REF!,5,)</f>
        <v>#REF!</v>
      </c>
      <c r="I442" s="27">
        <v>78000</v>
      </c>
      <c r="J442" s="27">
        <v>79008</v>
      </c>
      <c r="K442" s="8">
        <f t="shared" si="35"/>
        <v>1.0129230769230768</v>
      </c>
      <c r="L442" s="27">
        <v>0</v>
      </c>
      <c r="M442" s="21"/>
      <c r="N442" s="27">
        <v>32904</v>
      </c>
      <c r="O442" s="27">
        <v>32904</v>
      </c>
      <c r="P442" s="9">
        <f t="shared" si="36"/>
        <v>-33912</v>
      </c>
      <c r="Q442" s="9">
        <f>IFERROR(IF(D442=20250,O442/(#REF!/30),O442/(I442/30)),0)</f>
        <v>12.655384615384616</v>
      </c>
      <c r="R442" s="9">
        <f t="shared" si="37"/>
        <v>12.655384615384616</v>
      </c>
    </row>
    <row r="443" spans="1:18" ht="13.15" x14ac:dyDescent="0.45">
      <c r="A443" s="15" t="str">
        <f t="shared" si="33"/>
        <v>430408529</v>
      </c>
      <c r="B443" s="19" t="s">
        <v>113</v>
      </c>
      <c r="C443" s="6" t="e">
        <f>_xlfn.XLOOKUP(B:B,#REF!,#REF!)</f>
        <v>#REF!</v>
      </c>
      <c r="D443" s="19" t="s">
        <v>48</v>
      </c>
      <c r="E443" s="6" t="str">
        <f t="shared" si="34"/>
        <v>430408529</v>
      </c>
      <c r="F443" s="19" t="s">
        <v>49</v>
      </c>
      <c r="G443" s="7" t="e">
        <f>VLOOKUP(D443,#REF!,4,)</f>
        <v>#REF!</v>
      </c>
      <c r="H443" s="6" t="e">
        <f>VLOOKUP(D443,#REF!,5,)</f>
        <v>#REF!</v>
      </c>
      <c r="I443" s="27">
        <v>21799.919999999998</v>
      </c>
      <c r="J443" s="27">
        <v>13356</v>
      </c>
      <c r="K443" s="8">
        <f t="shared" si="35"/>
        <v>0.61266279876256435</v>
      </c>
      <c r="L443" s="27">
        <v>0</v>
      </c>
      <c r="M443" s="21"/>
      <c r="N443" s="27">
        <v>12660</v>
      </c>
      <c r="O443" s="27">
        <v>12660</v>
      </c>
      <c r="P443" s="9">
        <f t="shared" si="36"/>
        <v>-4216.0800000000017</v>
      </c>
      <c r="Q443" s="9">
        <f>IFERROR(IF(D443=20250,O443/(#REF!/30),O443/(I443/30)),0)</f>
        <v>17.422082282870765</v>
      </c>
      <c r="R443" s="9">
        <f t="shared" si="37"/>
        <v>17.422082282870765</v>
      </c>
    </row>
    <row r="444" spans="1:18" ht="13.15" x14ac:dyDescent="0.45">
      <c r="A444" s="15" t="str">
        <f t="shared" si="33"/>
        <v>430413179</v>
      </c>
      <c r="B444" s="19" t="s">
        <v>113</v>
      </c>
      <c r="C444" s="6" t="e">
        <f>_xlfn.XLOOKUP(B:B,#REF!,#REF!)</f>
        <v>#REF!</v>
      </c>
      <c r="D444" s="19" t="s">
        <v>18</v>
      </c>
      <c r="E444" s="6" t="str">
        <f t="shared" si="34"/>
        <v>430413179</v>
      </c>
      <c r="F444" s="19" t="s">
        <v>19</v>
      </c>
      <c r="G444" s="7" t="e">
        <f>VLOOKUP(D444,#REF!,4,)</f>
        <v>#REF!</v>
      </c>
      <c r="H444" s="6" t="e">
        <f>VLOOKUP(D444,#REF!,5,)</f>
        <v>#REF!</v>
      </c>
      <c r="I444" s="27">
        <v>99999.96</v>
      </c>
      <c r="J444" s="27">
        <v>73308</v>
      </c>
      <c r="K444" s="8">
        <f t="shared" si="35"/>
        <v>0.73308029323211721</v>
      </c>
      <c r="L444" s="27">
        <v>0</v>
      </c>
      <c r="M444" s="21"/>
      <c r="N444" s="27">
        <v>31848</v>
      </c>
      <c r="O444" s="27">
        <v>31848</v>
      </c>
      <c r="P444" s="9">
        <f t="shared" si="36"/>
        <v>-5156.0399999999936</v>
      </c>
      <c r="Q444" s="9">
        <f>IFERROR(IF(D444=20250,O444/(#REF!/30),O444/(I444/30)),0)</f>
        <v>9.554403821761527</v>
      </c>
      <c r="R444" s="9">
        <f t="shared" si="37"/>
        <v>9.554403821761527</v>
      </c>
    </row>
    <row r="445" spans="1:18" ht="13.15" x14ac:dyDescent="0.45">
      <c r="A445" s="15" t="str">
        <f t="shared" si="33"/>
        <v>430413678</v>
      </c>
      <c r="B445" s="19" t="s">
        <v>113</v>
      </c>
      <c r="C445" s="6" t="e">
        <f>_xlfn.XLOOKUP(B:B,#REF!,#REF!)</f>
        <v>#REF!</v>
      </c>
      <c r="D445" s="19" t="s">
        <v>50</v>
      </c>
      <c r="E445" s="6" t="str">
        <f t="shared" si="34"/>
        <v>430413678</v>
      </c>
      <c r="F445" s="19" t="s">
        <v>51</v>
      </c>
      <c r="G445" s="7" t="e">
        <f>VLOOKUP(D445,#REF!,4,)</f>
        <v>#REF!</v>
      </c>
      <c r="H445" s="6" t="e">
        <f>VLOOKUP(D445,#REF!,5,)</f>
        <v>#REF!</v>
      </c>
      <c r="I445" s="27">
        <v>7587.96</v>
      </c>
      <c r="J445" s="27">
        <v>3432</v>
      </c>
      <c r="K445" s="8">
        <f t="shared" si="35"/>
        <v>0.45229547862666647</v>
      </c>
      <c r="L445" s="27">
        <v>0</v>
      </c>
      <c r="M445" s="21"/>
      <c r="N445" s="27">
        <v>5388</v>
      </c>
      <c r="O445" s="27">
        <v>5388</v>
      </c>
      <c r="P445" s="9">
        <f t="shared" si="36"/>
        <v>-1232.04</v>
      </c>
      <c r="Q445" s="9">
        <f>IFERROR(IF(D445=20250,O445/(#REF!/30),O445/(I445/30)),0)</f>
        <v>21.30216817168251</v>
      </c>
      <c r="R445" s="9">
        <f t="shared" si="37"/>
        <v>21.30216817168251</v>
      </c>
    </row>
    <row r="446" spans="1:18" ht="13.15" x14ac:dyDescent="0.45">
      <c r="A446" s="15" t="str">
        <f t="shared" si="33"/>
        <v>430414654</v>
      </c>
      <c r="B446" s="19" t="s">
        <v>113</v>
      </c>
      <c r="C446" s="6" t="e">
        <f>_xlfn.XLOOKUP(B:B,#REF!,#REF!)</f>
        <v>#REF!</v>
      </c>
      <c r="D446" s="19" t="s">
        <v>52</v>
      </c>
      <c r="E446" s="6" t="str">
        <f t="shared" si="34"/>
        <v>430414654</v>
      </c>
      <c r="F446" s="19" t="s">
        <v>53</v>
      </c>
      <c r="G446" s="7" t="e">
        <f>VLOOKUP(D446,#REF!,4,)</f>
        <v>#REF!</v>
      </c>
      <c r="H446" s="6" t="e">
        <f>VLOOKUP(D446,#REF!,5,)</f>
        <v>#REF!</v>
      </c>
      <c r="I446" s="27">
        <v>12199.92</v>
      </c>
      <c r="J446" s="27">
        <v>7668</v>
      </c>
      <c r="K446" s="8">
        <f t="shared" si="35"/>
        <v>0.62852871166368307</v>
      </c>
      <c r="L446" s="27">
        <v>0</v>
      </c>
      <c r="M446" s="21"/>
      <c r="N446" s="27">
        <v>3948</v>
      </c>
      <c r="O446" s="27">
        <v>3948</v>
      </c>
      <c r="P446" s="9">
        <f t="shared" si="36"/>
        <v>583.92000000000007</v>
      </c>
      <c r="Q446" s="9">
        <f>IFERROR(IF(D446=20250,O446/(#REF!/30),O446/(I446/30)),0)</f>
        <v>9.7082603820352915</v>
      </c>
      <c r="R446" s="9">
        <f t="shared" si="37"/>
        <v>9.7082603820352915</v>
      </c>
    </row>
    <row r="447" spans="1:18" ht="13.15" x14ac:dyDescent="0.45">
      <c r="A447" s="15" t="str">
        <f t="shared" si="33"/>
        <v>430414788</v>
      </c>
      <c r="B447" s="19" t="s">
        <v>113</v>
      </c>
      <c r="C447" s="6" t="e">
        <f>_xlfn.XLOOKUP(B:B,#REF!,#REF!)</f>
        <v>#REF!</v>
      </c>
      <c r="D447" s="19" t="s">
        <v>54</v>
      </c>
      <c r="E447" s="6" t="str">
        <f t="shared" si="34"/>
        <v>430414788</v>
      </c>
      <c r="F447" s="19" t="s">
        <v>55</v>
      </c>
      <c r="G447" s="7" t="e">
        <f>VLOOKUP(D447,#REF!,4,)</f>
        <v>#REF!</v>
      </c>
      <c r="H447" s="6" t="e">
        <f>VLOOKUP(D447,#REF!,5,)</f>
        <v>#REF!</v>
      </c>
      <c r="I447" s="27">
        <v>480</v>
      </c>
      <c r="J447" s="27">
        <v>0</v>
      </c>
      <c r="K447" s="8">
        <f t="shared" si="35"/>
        <v>0</v>
      </c>
      <c r="L447" s="27">
        <v>0</v>
      </c>
      <c r="M447" s="21"/>
      <c r="N447" s="27">
        <v>804</v>
      </c>
      <c r="O447" s="27">
        <v>804</v>
      </c>
      <c r="P447" s="9">
        <f t="shared" si="36"/>
        <v>-324</v>
      </c>
      <c r="Q447" s="9">
        <f>IFERROR(IF(D447=20250,O447/(#REF!/30),O447/(I447/30)),0)</f>
        <v>50.25</v>
      </c>
      <c r="R447" s="9">
        <f t="shared" si="37"/>
        <v>50.25</v>
      </c>
    </row>
    <row r="448" spans="1:18" ht="13.15" x14ac:dyDescent="0.45">
      <c r="A448" s="15" t="str">
        <f t="shared" si="33"/>
        <v>430415536</v>
      </c>
      <c r="B448" s="19" t="s">
        <v>113</v>
      </c>
      <c r="C448" s="6" t="e">
        <f>_xlfn.XLOOKUP(B:B,#REF!,#REF!)</f>
        <v>#REF!</v>
      </c>
      <c r="D448" s="19" t="s">
        <v>56</v>
      </c>
      <c r="E448" s="6" t="str">
        <f t="shared" si="34"/>
        <v>430415536</v>
      </c>
      <c r="F448" s="19" t="s">
        <v>57</v>
      </c>
      <c r="G448" s="7" t="e">
        <f>VLOOKUP(D448,#REF!,4,)</f>
        <v>#REF!</v>
      </c>
      <c r="H448" s="6" t="e">
        <f>VLOOKUP(D448,#REF!,5,)</f>
        <v>#REF!</v>
      </c>
      <c r="I448" s="27">
        <v>25500</v>
      </c>
      <c r="J448" s="27">
        <v>14712</v>
      </c>
      <c r="K448" s="8">
        <f t="shared" si="35"/>
        <v>0.57694117647058829</v>
      </c>
      <c r="L448" s="27">
        <v>0</v>
      </c>
      <c r="M448" s="21"/>
      <c r="N448" s="27">
        <v>23580</v>
      </c>
      <c r="O448" s="27">
        <v>23580</v>
      </c>
      <c r="P448" s="9">
        <f t="shared" si="36"/>
        <v>-12792</v>
      </c>
      <c r="Q448" s="9">
        <f>IFERROR(IF(D448=20250,O448/(#REF!/30),O448/(I448/30)),0)</f>
        <v>27.741176470588236</v>
      </c>
      <c r="R448" s="9">
        <f t="shared" si="37"/>
        <v>27.741176470588236</v>
      </c>
    </row>
    <row r="449" spans="1:18" ht="13.15" x14ac:dyDescent="0.45">
      <c r="A449" s="15" t="str">
        <f t="shared" si="33"/>
        <v>430415906</v>
      </c>
      <c r="B449" s="19" t="s">
        <v>113</v>
      </c>
      <c r="C449" s="6" t="e">
        <f>_xlfn.XLOOKUP(B:B,#REF!,#REF!)</f>
        <v>#REF!</v>
      </c>
      <c r="D449" s="19" t="s">
        <v>58</v>
      </c>
      <c r="E449" s="6" t="str">
        <f t="shared" si="34"/>
        <v>430415906</v>
      </c>
      <c r="F449" s="19" t="s">
        <v>59</v>
      </c>
      <c r="G449" s="7" t="e">
        <f>VLOOKUP(D449,#REF!,4,)</f>
        <v>#REF!</v>
      </c>
      <c r="H449" s="6" t="e">
        <f>VLOOKUP(D449,#REF!,5,)</f>
        <v>#REF!</v>
      </c>
      <c r="I449" s="27">
        <v>4500</v>
      </c>
      <c r="J449" s="27">
        <v>2100</v>
      </c>
      <c r="K449" s="8">
        <f t="shared" si="35"/>
        <v>0.46666666666666667</v>
      </c>
      <c r="L449" s="27">
        <v>0</v>
      </c>
      <c r="M449" s="21"/>
      <c r="N449" s="27">
        <v>3696</v>
      </c>
      <c r="O449" s="27">
        <v>3696</v>
      </c>
      <c r="P449" s="9">
        <f t="shared" si="36"/>
        <v>-1296</v>
      </c>
      <c r="Q449" s="9">
        <f>IFERROR(IF(D449=20250,O449/(#REF!/30),O449/(I449/30)),0)</f>
        <v>24.64</v>
      </c>
      <c r="R449" s="9">
        <f t="shared" si="37"/>
        <v>24.64</v>
      </c>
    </row>
    <row r="450" spans="1:18" ht="13.15" x14ac:dyDescent="0.45">
      <c r="A450" s="15" t="str">
        <f t="shared" si="33"/>
        <v>430416336</v>
      </c>
      <c r="B450" s="19" t="s">
        <v>113</v>
      </c>
      <c r="C450" s="6" t="e">
        <f>_xlfn.XLOOKUP(B:B,#REF!,#REF!)</f>
        <v>#REF!</v>
      </c>
      <c r="D450" s="19" t="s">
        <v>20</v>
      </c>
      <c r="E450" s="6" t="str">
        <f t="shared" si="34"/>
        <v>430416336</v>
      </c>
      <c r="F450" s="19" t="s">
        <v>21</v>
      </c>
      <c r="G450" s="7" t="e">
        <f>VLOOKUP(D450,#REF!,4,)</f>
        <v>#REF!</v>
      </c>
      <c r="H450" s="6" t="e">
        <f>VLOOKUP(D450,#REF!,5,)</f>
        <v>#REF!</v>
      </c>
      <c r="I450" s="27">
        <v>87000</v>
      </c>
      <c r="J450" s="27">
        <v>62676</v>
      </c>
      <c r="K450" s="8">
        <f t="shared" si="35"/>
        <v>0.72041379310344833</v>
      </c>
      <c r="L450" s="27">
        <v>0</v>
      </c>
      <c r="M450" s="21"/>
      <c r="N450" s="27">
        <v>27444</v>
      </c>
      <c r="O450" s="27">
        <v>27444</v>
      </c>
      <c r="P450" s="9">
        <f t="shared" si="36"/>
        <v>-3120</v>
      </c>
      <c r="Q450" s="9">
        <f>IFERROR(IF(D450=20250,O450/(#REF!/30),O450/(I450/30)),0)</f>
        <v>9.4634482758620688</v>
      </c>
      <c r="R450" s="9">
        <f t="shared" si="37"/>
        <v>9.4634482758620688</v>
      </c>
    </row>
    <row r="451" spans="1:18" ht="13.15" x14ac:dyDescent="0.45">
      <c r="A451" s="15" t="str">
        <f t="shared" si="33"/>
        <v>430416984</v>
      </c>
      <c r="B451" s="19" t="s">
        <v>113</v>
      </c>
      <c r="C451" s="6" t="e">
        <f>_xlfn.XLOOKUP(B:B,#REF!,#REF!)</f>
        <v>#REF!</v>
      </c>
      <c r="D451" s="19" t="s">
        <v>60</v>
      </c>
      <c r="E451" s="6" t="str">
        <f t="shared" si="34"/>
        <v>430416984</v>
      </c>
      <c r="F451" s="19" t="s">
        <v>61</v>
      </c>
      <c r="G451" s="7" t="e">
        <f>VLOOKUP(D451,#REF!,4,)</f>
        <v>#REF!</v>
      </c>
      <c r="H451" s="6" t="e">
        <f>VLOOKUP(D451,#REF!,5,)</f>
        <v>#REF!</v>
      </c>
      <c r="I451" s="27">
        <v>1483.92</v>
      </c>
      <c r="J451" s="27">
        <v>672</v>
      </c>
      <c r="K451" s="8">
        <f t="shared" si="35"/>
        <v>0.45285460132621702</v>
      </c>
      <c r="L451" s="27">
        <v>0</v>
      </c>
      <c r="M451" s="21"/>
      <c r="N451" s="27">
        <v>1920</v>
      </c>
      <c r="O451" s="27">
        <v>1920</v>
      </c>
      <c r="P451" s="9">
        <f t="shared" si="36"/>
        <v>-1108.08</v>
      </c>
      <c r="Q451" s="9">
        <f>IFERROR(IF(D451=20250,O451/(#REF!/30),O451/(I451/30)),0)</f>
        <v>38.816108685104311</v>
      </c>
      <c r="R451" s="9">
        <f t="shared" si="37"/>
        <v>38.816108685104311</v>
      </c>
    </row>
    <row r="452" spans="1:18" ht="13.15" x14ac:dyDescent="0.45">
      <c r="A452" s="15" t="str">
        <f t="shared" ref="A452:A515" si="38">B452&amp;D452</f>
        <v>430416998</v>
      </c>
      <c r="B452" s="19" t="s">
        <v>113</v>
      </c>
      <c r="C452" s="6" t="e">
        <f>_xlfn.XLOOKUP(B:B,#REF!,#REF!)</f>
        <v>#REF!</v>
      </c>
      <c r="D452" s="19" t="s">
        <v>62</v>
      </c>
      <c r="E452" s="6" t="str">
        <f t="shared" ref="E452:E515" si="39">B452&amp;D452</f>
        <v>430416998</v>
      </c>
      <c r="F452" s="19" t="s">
        <v>63</v>
      </c>
      <c r="G452" s="7" t="e">
        <f>VLOOKUP(D452,#REF!,4,)</f>
        <v>#REF!</v>
      </c>
      <c r="H452" s="6" t="e">
        <f>VLOOKUP(D452,#REF!,5,)</f>
        <v>#REF!</v>
      </c>
      <c r="I452" s="27">
        <v>3999.96</v>
      </c>
      <c r="J452" s="27">
        <v>3180</v>
      </c>
      <c r="K452" s="8">
        <f t="shared" ref="K452:K515" si="40">IFERROR(J452/I452,0)</f>
        <v>0.79500795007950076</v>
      </c>
      <c r="L452" s="27">
        <v>0</v>
      </c>
      <c r="M452" s="21"/>
      <c r="N452" s="27">
        <v>4752</v>
      </c>
      <c r="O452" s="27">
        <v>4752</v>
      </c>
      <c r="P452" s="9">
        <f t="shared" ref="P452:P515" si="41">I452-J452-O452</f>
        <v>-3932.04</v>
      </c>
      <c r="Q452" s="9">
        <f>IFERROR(IF(D452=20250,O452/(#REF!/30),O452/(I452/30)),0)</f>
        <v>35.640356403564034</v>
      </c>
      <c r="R452" s="9">
        <f t="shared" ref="R452:R515" si="42">IFERROR(N452/(I452/30),0)</f>
        <v>35.640356403564034</v>
      </c>
    </row>
    <row r="453" spans="1:18" ht="13.15" x14ac:dyDescent="0.45">
      <c r="A453" s="15" t="str">
        <f t="shared" si="38"/>
        <v>430418098</v>
      </c>
      <c r="B453" s="19" t="s">
        <v>113</v>
      </c>
      <c r="C453" s="6" t="e">
        <f>_xlfn.XLOOKUP(B:B,#REF!,#REF!)</f>
        <v>#REF!</v>
      </c>
      <c r="D453" s="19" t="s">
        <v>64</v>
      </c>
      <c r="E453" s="6" t="str">
        <f t="shared" si="39"/>
        <v>430418098</v>
      </c>
      <c r="F453" s="19" t="s">
        <v>131</v>
      </c>
      <c r="G453" s="7" t="e">
        <f>VLOOKUP(D453,#REF!,4,)</f>
        <v>#REF!</v>
      </c>
      <c r="H453" s="6" t="e">
        <f>VLOOKUP(D453,#REF!,5,)</f>
        <v>#REF!</v>
      </c>
      <c r="I453" s="27">
        <v>4999.92</v>
      </c>
      <c r="J453" s="27">
        <v>180</v>
      </c>
      <c r="K453" s="8">
        <f t="shared" si="40"/>
        <v>3.6000576009216148E-2</v>
      </c>
      <c r="L453" s="27">
        <v>0</v>
      </c>
      <c r="M453" s="21"/>
      <c r="N453" s="27">
        <v>4860</v>
      </c>
      <c r="O453" s="27">
        <v>4860</v>
      </c>
      <c r="P453" s="9">
        <f t="shared" si="41"/>
        <v>-40.079999999999927</v>
      </c>
      <c r="Q453" s="9">
        <f>IFERROR(IF(D453=20250,O453/(#REF!/30),O453/(I453/30)),0)</f>
        <v>29.160466567465075</v>
      </c>
      <c r="R453" s="9">
        <f t="shared" si="42"/>
        <v>29.160466567465075</v>
      </c>
    </row>
    <row r="454" spans="1:18" ht="13.15" x14ac:dyDescent="0.45">
      <c r="A454" s="15" t="str">
        <f t="shared" si="38"/>
        <v>430420308</v>
      </c>
      <c r="B454" s="19" t="s">
        <v>113</v>
      </c>
      <c r="C454" s="6" t="e">
        <f>_xlfn.XLOOKUP(B:B,#REF!,#REF!)</f>
        <v>#REF!</v>
      </c>
      <c r="D454" s="19" t="s">
        <v>84</v>
      </c>
      <c r="E454" s="6" t="str">
        <f t="shared" si="39"/>
        <v>430420308</v>
      </c>
      <c r="F454" s="19" t="s">
        <v>108</v>
      </c>
      <c r="G454" s="7" t="e">
        <f>VLOOKUP(D454,#REF!,4,)</f>
        <v>#REF!</v>
      </c>
      <c r="H454" s="6" t="e">
        <f>VLOOKUP(D454,#REF!,5,)</f>
        <v>#REF!</v>
      </c>
      <c r="I454" s="27">
        <v>1599.96</v>
      </c>
      <c r="J454" s="27">
        <v>1320</v>
      </c>
      <c r="K454" s="8">
        <f t="shared" si="40"/>
        <v>0.82502062551563782</v>
      </c>
      <c r="L454" s="27">
        <v>0</v>
      </c>
      <c r="M454" s="21"/>
      <c r="N454" s="27">
        <v>1320</v>
      </c>
      <c r="O454" s="27">
        <v>1320</v>
      </c>
      <c r="P454" s="9">
        <f t="shared" si="41"/>
        <v>-1040.04</v>
      </c>
      <c r="Q454" s="9">
        <f>IFERROR(IF(D454=20250,O454/(#REF!/30),O454/(I454/30)),0)</f>
        <v>24.750618765469138</v>
      </c>
      <c r="R454" s="9">
        <f t="shared" si="42"/>
        <v>24.750618765469138</v>
      </c>
    </row>
    <row r="455" spans="1:18" ht="13.15" x14ac:dyDescent="0.45">
      <c r="A455" s="15" t="str">
        <f t="shared" si="38"/>
        <v>430420827</v>
      </c>
      <c r="B455" s="19" t="s">
        <v>113</v>
      </c>
      <c r="C455" s="6" t="e">
        <f>_xlfn.XLOOKUP(B:B,#REF!,#REF!)</f>
        <v>#REF!</v>
      </c>
      <c r="D455" s="19" t="s">
        <v>85</v>
      </c>
      <c r="E455" s="6" t="str">
        <f t="shared" si="39"/>
        <v>430420827</v>
      </c>
      <c r="F455" s="19" t="s">
        <v>86</v>
      </c>
      <c r="G455" s="7" t="e">
        <f>VLOOKUP(D455,#REF!,4,)</f>
        <v>#REF!</v>
      </c>
      <c r="H455" s="6" t="e">
        <f>VLOOKUP(D455,#REF!,5,)</f>
        <v>#REF!</v>
      </c>
      <c r="I455" s="27">
        <v>11199.96</v>
      </c>
      <c r="J455" s="27">
        <v>9360</v>
      </c>
      <c r="K455" s="8">
        <f t="shared" si="40"/>
        <v>0.83571727041882304</v>
      </c>
      <c r="L455" s="27">
        <v>0</v>
      </c>
      <c r="M455" s="21"/>
      <c r="N455" s="27">
        <v>10404</v>
      </c>
      <c r="O455" s="27">
        <v>10404</v>
      </c>
      <c r="P455" s="9">
        <f t="shared" si="41"/>
        <v>-8564.0400000000009</v>
      </c>
      <c r="Q455" s="9">
        <f>IFERROR(IF(D455=20250,O455/(#REF!/30),O455/(I455/30)),0)</f>
        <v>27.867956671273827</v>
      </c>
      <c r="R455" s="9">
        <f t="shared" si="42"/>
        <v>27.867956671273827</v>
      </c>
    </row>
    <row r="456" spans="1:18" ht="13.15" x14ac:dyDescent="0.45">
      <c r="A456" s="15" t="str">
        <f t="shared" si="38"/>
        <v>430421910</v>
      </c>
      <c r="B456" s="19" t="s">
        <v>113</v>
      </c>
      <c r="C456" s="6" t="e">
        <f>_xlfn.XLOOKUP(B:B,#REF!,#REF!)</f>
        <v>#REF!</v>
      </c>
      <c r="D456" s="19" t="s">
        <v>91</v>
      </c>
      <c r="E456" s="6" t="str">
        <f t="shared" si="39"/>
        <v>430421910</v>
      </c>
      <c r="F456" s="19" t="s">
        <v>92</v>
      </c>
      <c r="G456" s="7" t="e">
        <f>VLOOKUP(D456,#REF!,4,)</f>
        <v>#REF!</v>
      </c>
      <c r="H456" s="6" t="e">
        <f>VLOOKUP(D456,#REF!,5,)</f>
        <v>#REF!</v>
      </c>
      <c r="I456" s="27">
        <v>9999.9599999999991</v>
      </c>
      <c r="J456" s="27">
        <v>4920</v>
      </c>
      <c r="K456" s="8">
        <f t="shared" si="40"/>
        <v>0.49200196800787205</v>
      </c>
      <c r="L456" s="27">
        <v>0</v>
      </c>
      <c r="M456" s="21"/>
      <c r="N456" s="27">
        <v>8592</v>
      </c>
      <c r="O456" s="27">
        <v>8592</v>
      </c>
      <c r="P456" s="9">
        <f t="shared" si="41"/>
        <v>-3512.0400000000009</v>
      </c>
      <c r="Q456" s="9">
        <f>IFERROR(IF(D456=20250,O456/(#REF!/30),O456/(I456/30)),0)</f>
        <v>25.776103104412417</v>
      </c>
      <c r="R456" s="9">
        <f t="shared" si="42"/>
        <v>25.776103104412417</v>
      </c>
    </row>
    <row r="457" spans="1:18" ht="13.15" x14ac:dyDescent="0.45">
      <c r="A457" s="15" t="str">
        <f t="shared" si="38"/>
        <v>430423081</v>
      </c>
      <c r="B457" s="19" t="s">
        <v>113</v>
      </c>
      <c r="C457" s="6" t="e">
        <f>_xlfn.XLOOKUP(B:B,#REF!,#REF!)</f>
        <v>#REF!</v>
      </c>
      <c r="D457" s="19" t="s">
        <v>96</v>
      </c>
      <c r="E457" s="6" t="str">
        <f t="shared" si="39"/>
        <v>430423081</v>
      </c>
      <c r="F457" s="19" t="s">
        <v>97</v>
      </c>
      <c r="G457" s="7" t="e">
        <f>VLOOKUP(D457,#REF!,4,)</f>
        <v>#REF!</v>
      </c>
      <c r="H457" s="6" t="e">
        <f>VLOOKUP(D457,#REF!,5,)</f>
        <v>#REF!</v>
      </c>
      <c r="I457" s="27">
        <v>2899.92</v>
      </c>
      <c r="J457" s="27">
        <v>1272</v>
      </c>
      <c r="K457" s="8">
        <f t="shared" si="40"/>
        <v>0.43863278987006538</v>
      </c>
      <c r="L457" s="27">
        <v>0</v>
      </c>
      <c r="M457" s="21"/>
      <c r="N457" s="27">
        <v>1404</v>
      </c>
      <c r="O457" s="27">
        <v>1404</v>
      </c>
      <c r="P457" s="9">
        <f t="shared" si="41"/>
        <v>223.92000000000007</v>
      </c>
      <c r="Q457" s="9">
        <f>IFERROR(IF(D457=20250,O457/(#REF!/30),O457/(I457/30)),0)</f>
        <v>14.524538607961599</v>
      </c>
      <c r="R457" s="9">
        <f t="shared" si="42"/>
        <v>14.524538607961599</v>
      </c>
    </row>
    <row r="458" spans="1:18" ht="13.15" x14ac:dyDescent="0.45">
      <c r="A458" s="15" t="str">
        <f t="shared" si="38"/>
        <v>430423401</v>
      </c>
      <c r="B458" s="19" t="s">
        <v>113</v>
      </c>
      <c r="C458" s="6" t="e">
        <f>_xlfn.XLOOKUP(B:B,#REF!,#REF!)</f>
        <v>#REF!</v>
      </c>
      <c r="D458" s="19" t="s">
        <v>98</v>
      </c>
      <c r="E458" s="6" t="str">
        <f t="shared" si="39"/>
        <v>430423401</v>
      </c>
      <c r="F458" s="19" t="s">
        <v>99</v>
      </c>
      <c r="G458" s="7" t="e">
        <f>VLOOKUP(D458,#REF!,4,)</f>
        <v>#REF!</v>
      </c>
      <c r="H458" s="6" t="e">
        <f>VLOOKUP(D458,#REF!,5,)</f>
        <v>#REF!</v>
      </c>
      <c r="I458" s="27">
        <v>204</v>
      </c>
      <c r="J458" s="27">
        <v>240</v>
      </c>
      <c r="K458" s="8">
        <f t="shared" si="40"/>
        <v>1.1764705882352942</v>
      </c>
      <c r="L458" s="27">
        <v>0</v>
      </c>
      <c r="M458" s="21"/>
      <c r="N458" s="27">
        <v>156</v>
      </c>
      <c r="O458" s="27">
        <v>156</v>
      </c>
      <c r="P458" s="9">
        <f t="shared" si="41"/>
        <v>-192</v>
      </c>
      <c r="Q458" s="9">
        <f>IFERROR(IF(D458=20250,O458/(#REF!/30),O458/(I458/30)),0)</f>
        <v>22.941176470588236</v>
      </c>
      <c r="R458" s="9">
        <f t="shared" si="42"/>
        <v>22.941176470588236</v>
      </c>
    </row>
    <row r="459" spans="1:18" ht="13.15" x14ac:dyDescent="0.45">
      <c r="A459" s="15" t="str">
        <f t="shared" si="38"/>
        <v>430423890</v>
      </c>
      <c r="B459" s="19" t="s">
        <v>113</v>
      </c>
      <c r="C459" s="6" t="e">
        <f>_xlfn.XLOOKUP(B:B,#REF!,#REF!)</f>
        <v>#REF!</v>
      </c>
      <c r="D459" s="19" t="s">
        <v>103</v>
      </c>
      <c r="E459" s="6" t="str">
        <f t="shared" si="39"/>
        <v>430423890</v>
      </c>
      <c r="F459" s="19" t="s">
        <v>104</v>
      </c>
      <c r="G459" s="7" t="e">
        <f>VLOOKUP(D459,#REF!,4,)</f>
        <v>#REF!</v>
      </c>
      <c r="H459" s="6" t="e">
        <f>VLOOKUP(D459,#REF!,5,)</f>
        <v>#REF!</v>
      </c>
      <c r="I459" s="27">
        <v>0</v>
      </c>
      <c r="J459" s="27">
        <v>0</v>
      </c>
      <c r="K459" s="8">
        <f t="shared" si="40"/>
        <v>0</v>
      </c>
      <c r="L459" s="27">
        <v>0</v>
      </c>
      <c r="M459" s="21"/>
      <c r="N459" s="27">
        <v>120</v>
      </c>
      <c r="O459" s="27">
        <v>120</v>
      </c>
      <c r="P459" s="9">
        <f t="shared" si="41"/>
        <v>-120</v>
      </c>
      <c r="Q459" s="9">
        <f>IFERROR(IF(D459=20250,O459/(#REF!/30),O459/(I459/30)),0)</f>
        <v>0</v>
      </c>
      <c r="R459" s="9">
        <f t="shared" si="42"/>
        <v>0</v>
      </c>
    </row>
    <row r="460" spans="1:18" ht="13.15" x14ac:dyDescent="0.45">
      <c r="A460" s="15" t="str">
        <f t="shared" si="38"/>
        <v>430424768</v>
      </c>
      <c r="B460" s="19" t="s">
        <v>113</v>
      </c>
      <c r="C460" s="6" t="e">
        <f>_xlfn.XLOOKUP(B:B,#REF!,#REF!)</f>
        <v>#REF!</v>
      </c>
      <c r="D460" s="19" t="s">
        <v>111</v>
      </c>
      <c r="E460" s="6" t="str">
        <f t="shared" si="39"/>
        <v>430424768</v>
      </c>
      <c r="F460" s="19" t="s">
        <v>112</v>
      </c>
      <c r="G460" s="7" t="e">
        <f>VLOOKUP(D460,#REF!,4,)</f>
        <v>#REF!</v>
      </c>
      <c r="H460" s="6" t="e">
        <f>VLOOKUP(D460,#REF!,5,)</f>
        <v>#REF!</v>
      </c>
      <c r="I460" s="27">
        <v>19499.88</v>
      </c>
      <c r="J460" s="27">
        <v>12312</v>
      </c>
      <c r="K460" s="8">
        <f t="shared" si="40"/>
        <v>0.63138850085231291</v>
      </c>
      <c r="L460" s="27">
        <v>0</v>
      </c>
      <c r="M460" s="21"/>
      <c r="N460" s="27">
        <v>13224</v>
      </c>
      <c r="O460" s="27">
        <v>13224</v>
      </c>
      <c r="P460" s="9">
        <f t="shared" si="41"/>
        <v>-6036.119999999999</v>
      </c>
      <c r="Q460" s="9">
        <f>IFERROR(IF(D460=20250,O460/(#REF!/30),O460/(I460/30)),0)</f>
        <v>20.344740583018972</v>
      </c>
      <c r="R460" s="9">
        <f t="shared" si="42"/>
        <v>20.344740583018972</v>
      </c>
    </row>
    <row r="461" spans="1:18" ht="13.15" x14ac:dyDescent="0.45">
      <c r="A461" s="15" t="str">
        <f t="shared" si="38"/>
        <v>430425570</v>
      </c>
      <c r="B461" s="19" t="s">
        <v>113</v>
      </c>
      <c r="C461" s="6" t="e">
        <f>_xlfn.XLOOKUP(B:B,#REF!,#REF!)</f>
        <v>#REF!</v>
      </c>
      <c r="D461" s="19" t="s">
        <v>116</v>
      </c>
      <c r="E461" s="6" t="str">
        <f t="shared" si="39"/>
        <v>430425570</v>
      </c>
      <c r="F461" s="19" t="s">
        <v>118</v>
      </c>
      <c r="G461" s="7" t="e">
        <f>VLOOKUP(D461,#REF!,4,)</f>
        <v>#REF!</v>
      </c>
      <c r="H461" s="6" t="e">
        <f>VLOOKUP(D461,#REF!,5,)</f>
        <v>#REF!</v>
      </c>
      <c r="I461" s="27">
        <v>2304</v>
      </c>
      <c r="J461" s="27">
        <v>2016</v>
      </c>
      <c r="K461" s="8">
        <f t="shared" si="40"/>
        <v>0.875</v>
      </c>
      <c r="L461" s="27">
        <v>0</v>
      </c>
      <c r="M461" s="21"/>
      <c r="N461" s="27">
        <v>1332</v>
      </c>
      <c r="O461" s="27">
        <v>1332</v>
      </c>
      <c r="P461" s="9">
        <f t="shared" si="41"/>
        <v>-1044</v>
      </c>
      <c r="Q461" s="9">
        <f>IFERROR(IF(D461=20250,O461/(#REF!/30),O461/(I461/30)),0)</f>
        <v>17.34375</v>
      </c>
      <c r="R461" s="9">
        <f t="shared" si="42"/>
        <v>17.34375</v>
      </c>
    </row>
    <row r="462" spans="1:18" ht="13.15" x14ac:dyDescent="0.45">
      <c r="A462" s="15" t="str">
        <f t="shared" si="38"/>
        <v>430425598</v>
      </c>
      <c r="B462" s="19" t="s">
        <v>113</v>
      </c>
      <c r="C462" s="6" t="e">
        <f>_xlfn.XLOOKUP(B:B,#REF!,#REF!)</f>
        <v>#REF!</v>
      </c>
      <c r="D462" s="19" t="s">
        <v>117</v>
      </c>
      <c r="E462" s="6" t="str">
        <f t="shared" si="39"/>
        <v>430425598</v>
      </c>
      <c r="F462" s="19" t="s">
        <v>119</v>
      </c>
      <c r="G462" s="7" t="e">
        <f>VLOOKUP(D462,#REF!,4,)</f>
        <v>#REF!</v>
      </c>
      <c r="H462" s="6" t="e">
        <f>VLOOKUP(D462,#REF!,5,)</f>
        <v>#REF!</v>
      </c>
      <c r="I462" s="27">
        <v>571.91999999999996</v>
      </c>
      <c r="J462" s="27">
        <v>336</v>
      </c>
      <c r="K462" s="8">
        <f t="shared" si="40"/>
        <v>0.58749475451112043</v>
      </c>
      <c r="L462" s="27">
        <v>0</v>
      </c>
      <c r="M462" s="21"/>
      <c r="N462" s="27">
        <v>192</v>
      </c>
      <c r="O462" s="27">
        <v>192</v>
      </c>
      <c r="P462" s="9">
        <f t="shared" si="41"/>
        <v>43.919999999999959</v>
      </c>
      <c r="Q462" s="9">
        <f>IFERROR(IF(D462=20250,O462/(#REF!/30),O462/(I462/30)),0)</f>
        <v>10.071338648762065</v>
      </c>
      <c r="R462" s="9">
        <f t="shared" si="42"/>
        <v>10.071338648762065</v>
      </c>
    </row>
    <row r="463" spans="1:18" ht="13.15" x14ac:dyDescent="0.45">
      <c r="A463" s="15" t="str">
        <f t="shared" si="38"/>
        <v>440006151</v>
      </c>
      <c r="B463" s="19" t="s">
        <v>75</v>
      </c>
      <c r="C463" s="6" t="e">
        <f>_xlfn.XLOOKUP(B:B,#REF!,#REF!)</f>
        <v>#REF!</v>
      </c>
      <c r="D463" s="19" t="s">
        <v>23</v>
      </c>
      <c r="E463" s="6" t="str">
        <f t="shared" si="39"/>
        <v>440006151</v>
      </c>
      <c r="F463" s="19" t="s">
        <v>24</v>
      </c>
      <c r="G463" s="7" t="e">
        <f>VLOOKUP(D463,#REF!,4,)</f>
        <v>#REF!</v>
      </c>
      <c r="H463" s="6" t="e">
        <f>VLOOKUP(D463,#REF!,5,)</f>
        <v>#REF!</v>
      </c>
      <c r="I463" s="27">
        <v>9416.64</v>
      </c>
      <c r="J463" s="27">
        <v>4104</v>
      </c>
      <c r="K463" s="8">
        <f t="shared" si="40"/>
        <v>0.43582424304210421</v>
      </c>
      <c r="L463" s="27">
        <v>0</v>
      </c>
      <c r="M463" s="21"/>
      <c r="N463" s="27">
        <v>15648</v>
      </c>
      <c r="O463" s="27">
        <v>15648</v>
      </c>
      <c r="P463" s="9">
        <f t="shared" si="41"/>
        <v>-10335.36</v>
      </c>
      <c r="Q463" s="9">
        <f>IFERROR(IF(D463=20250,O463/(#REF!/30),O463/(I463/30)),0)</f>
        <v>49.852176572535427</v>
      </c>
      <c r="R463" s="9">
        <f t="shared" si="42"/>
        <v>49.852176572535427</v>
      </c>
    </row>
    <row r="464" spans="1:18" ht="13.15" x14ac:dyDescent="0.45">
      <c r="A464" s="15" t="str">
        <f t="shared" si="38"/>
        <v>440013490</v>
      </c>
      <c r="B464" s="19" t="s">
        <v>75</v>
      </c>
      <c r="C464" s="6" t="e">
        <f>_xlfn.XLOOKUP(B:B,#REF!,#REF!)</f>
        <v>#REF!</v>
      </c>
      <c r="D464" s="19" t="s">
        <v>27</v>
      </c>
      <c r="E464" s="6" t="str">
        <f t="shared" si="39"/>
        <v>440013490</v>
      </c>
      <c r="F464" s="19" t="s">
        <v>28</v>
      </c>
      <c r="G464" s="7" t="e">
        <f>VLOOKUP(D464,#REF!,4,)</f>
        <v>#REF!</v>
      </c>
      <c r="H464" s="6" t="e">
        <f>VLOOKUP(D464,#REF!,5,)</f>
        <v>#REF!</v>
      </c>
      <c r="I464" s="27">
        <v>4564.8</v>
      </c>
      <c r="J464" s="27">
        <v>2850</v>
      </c>
      <c r="K464" s="8">
        <f t="shared" si="40"/>
        <v>0.62434279705573081</v>
      </c>
      <c r="L464" s="27">
        <v>4500</v>
      </c>
      <c r="M464" s="21">
        <v>46167</v>
      </c>
      <c r="N464" s="27">
        <v>1780</v>
      </c>
      <c r="O464" s="27">
        <v>6280</v>
      </c>
      <c r="P464" s="9">
        <f t="shared" si="41"/>
        <v>-4565.2</v>
      </c>
      <c r="Q464" s="9">
        <f>IFERROR(IF(D464=20250,O464/(#REF!/30),O464/(I464/30)),0)</f>
        <v>41.272344900105153</v>
      </c>
      <c r="R464" s="9">
        <f t="shared" si="42"/>
        <v>11.698212407991589</v>
      </c>
    </row>
    <row r="465" spans="1:18" ht="13.15" x14ac:dyDescent="0.45">
      <c r="A465" s="15" t="str">
        <f t="shared" si="38"/>
        <v>440015300</v>
      </c>
      <c r="B465" s="19" t="s">
        <v>75</v>
      </c>
      <c r="C465" s="6" t="e">
        <f>_xlfn.XLOOKUP(B:B,#REF!,#REF!)</f>
        <v>#REF!</v>
      </c>
      <c r="D465" s="19" t="s">
        <v>31</v>
      </c>
      <c r="E465" s="6" t="str">
        <f t="shared" si="39"/>
        <v>440015300</v>
      </c>
      <c r="F465" s="19" t="s">
        <v>32</v>
      </c>
      <c r="G465" s="7" t="e">
        <f>VLOOKUP(D465,#REF!,4,)</f>
        <v>#REF!</v>
      </c>
      <c r="H465" s="6" t="e">
        <f>VLOOKUP(D465,#REF!,5,)</f>
        <v>#REF!</v>
      </c>
      <c r="I465" s="27">
        <v>13.77</v>
      </c>
      <c r="J465" s="27">
        <v>18</v>
      </c>
      <c r="K465" s="8">
        <f t="shared" si="40"/>
        <v>1.3071895424836601</v>
      </c>
      <c r="L465" s="27">
        <v>36</v>
      </c>
      <c r="M465" s="21">
        <v>46167</v>
      </c>
      <c r="N465" s="27">
        <v>0</v>
      </c>
      <c r="O465" s="27">
        <v>36</v>
      </c>
      <c r="P465" s="9">
        <f t="shared" si="41"/>
        <v>-40.230000000000004</v>
      </c>
      <c r="Q465" s="9">
        <f>IFERROR(IF(D465=20250,O465/(#REF!/30),O465/(I465/30)),0)</f>
        <v>78.431372549019613</v>
      </c>
      <c r="R465" s="9">
        <f t="shared" si="42"/>
        <v>0</v>
      </c>
    </row>
    <row r="466" spans="1:18" ht="13.15" x14ac:dyDescent="0.45">
      <c r="A466" s="15" t="str">
        <f t="shared" si="38"/>
        <v>440019690</v>
      </c>
      <c r="B466" s="19" t="s">
        <v>75</v>
      </c>
      <c r="C466" s="6" t="e">
        <f>_xlfn.XLOOKUP(B:B,#REF!,#REF!)</f>
        <v>#REF!</v>
      </c>
      <c r="D466" s="19" t="s">
        <v>66</v>
      </c>
      <c r="E466" s="6" t="str">
        <f t="shared" si="39"/>
        <v>440019690</v>
      </c>
      <c r="F466" s="19" t="s">
        <v>67</v>
      </c>
      <c r="G466" s="7" t="e">
        <f>VLOOKUP(D466,#REF!,4,)</f>
        <v>#REF!</v>
      </c>
      <c r="H466" s="6" t="e">
        <f>VLOOKUP(D466,#REF!,5,)</f>
        <v>#REF!</v>
      </c>
      <c r="I466" s="27">
        <v>122.64</v>
      </c>
      <c r="J466" s="27">
        <v>24</v>
      </c>
      <c r="K466" s="8">
        <f t="shared" si="40"/>
        <v>0.19569471624266144</v>
      </c>
      <c r="L466" s="27">
        <v>0</v>
      </c>
      <c r="M466" s="21"/>
      <c r="N466" s="27">
        <v>204</v>
      </c>
      <c r="O466" s="27">
        <v>204</v>
      </c>
      <c r="P466" s="9">
        <f t="shared" si="41"/>
        <v>-105.36</v>
      </c>
      <c r="Q466" s="9">
        <f>IFERROR(IF(D466=20250,O466/(#REF!/30),O466/(I466/30)),0)</f>
        <v>49.902152641878665</v>
      </c>
      <c r="R466" s="9">
        <f t="shared" si="42"/>
        <v>49.902152641878665</v>
      </c>
    </row>
    <row r="467" spans="1:18" ht="13.15" x14ac:dyDescent="0.45">
      <c r="A467" s="15" t="str">
        <f t="shared" si="38"/>
        <v>440020661</v>
      </c>
      <c r="B467" s="19" t="s">
        <v>75</v>
      </c>
      <c r="C467" s="6" t="e">
        <f>_xlfn.XLOOKUP(B:B,#REF!,#REF!)</f>
        <v>#REF!</v>
      </c>
      <c r="D467" s="19" t="s">
        <v>88</v>
      </c>
      <c r="E467" s="6" t="str">
        <f t="shared" si="39"/>
        <v>440020661</v>
      </c>
      <c r="F467" s="19" t="s">
        <v>89</v>
      </c>
      <c r="G467" s="7" t="e">
        <f>VLOOKUP(D467,#REF!,4,)</f>
        <v>#REF!</v>
      </c>
      <c r="H467" s="6" t="e">
        <f>VLOOKUP(D467,#REF!,5,)</f>
        <v>#REF!</v>
      </c>
      <c r="I467" s="27">
        <v>560.16</v>
      </c>
      <c r="J467" s="27">
        <v>648</v>
      </c>
      <c r="K467" s="8">
        <f t="shared" si="40"/>
        <v>1.1568123393316196</v>
      </c>
      <c r="L467" s="27">
        <v>0</v>
      </c>
      <c r="M467" s="21"/>
      <c r="N467" s="27">
        <v>1152</v>
      </c>
      <c r="O467" s="27">
        <v>1152</v>
      </c>
      <c r="P467" s="9">
        <f t="shared" si="41"/>
        <v>-1239.8400000000001</v>
      </c>
      <c r="Q467" s="9">
        <f>IFERROR(IF(D467=20250,O467/(#REF!/30),O467/(I467/30)),0)</f>
        <v>61.696658097686374</v>
      </c>
      <c r="R467" s="9">
        <f t="shared" si="42"/>
        <v>61.696658097686374</v>
      </c>
    </row>
    <row r="468" spans="1:18" ht="13.15" x14ac:dyDescent="0.45">
      <c r="A468" s="15" t="str">
        <f t="shared" si="38"/>
        <v>440023638</v>
      </c>
      <c r="B468" s="19" t="s">
        <v>75</v>
      </c>
      <c r="C468" s="6" t="e">
        <f>_xlfn.XLOOKUP(B:B,#REF!,#REF!)</f>
        <v>#REF!</v>
      </c>
      <c r="D468" s="19" t="s">
        <v>100</v>
      </c>
      <c r="E468" s="6" t="str">
        <f t="shared" si="39"/>
        <v>440023638</v>
      </c>
      <c r="F468" s="19" t="s">
        <v>101</v>
      </c>
      <c r="G468" s="7" t="e">
        <f>VLOOKUP(D468,#REF!,4,)</f>
        <v>#REF!</v>
      </c>
      <c r="H468" s="6" t="e">
        <f>VLOOKUP(D468,#REF!,5,)</f>
        <v>#REF!</v>
      </c>
      <c r="I468" s="27">
        <v>3477</v>
      </c>
      <c r="J468" s="27">
        <v>2640</v>
      </c>
      <c r="K468" s="8">
        <f t="shared" si="40"/>
        <v>0.75927523727351165</v>
      </c>
      <c r="L468" s="27">
        <v>0</v>
      </c>
      <c r="M468" s="21"/>
      <c r="N468" s="27">
        <v>1752</v>
      </c>
      <c r="O468" s="27">
        <v>1752</v>
      </c>
      <c r="P468" s="9">
        <f t="shared" si="41"/>
        <v>-915</v>
      </c>
      <c r="Q468" s="9">
        <f>IFERROR(IF(D468=20250,O468/(#REF!/30),O468/(I468/30)),0)</f>
        <v>15.116479723899912</v>
      </c>
      <c r="R468" s="9">
        <f t="shared" si="42"/>
        <v>15.116479723899912</v>
      </c>
    </row>
    <row r="469" spans="1:18" ht="13.15" x14ac:dyDescent="0.45">
      <c r="A469" s="15" t="str">
        <f t="shared" si="38"/>
        <v>440025885</v>
      </c>
      <c r="B469" s="19" t="s">
        <v>75</v>
      </c>
      <c r="C469" s="6" t="e">
        <f>_xlfn.XLOOKUP(B:B,#REF!,#REF!)</f>
        <v>#REF!</v>
      </c>
      <c r="D469" s="19" t="s">
        <v>122</v>
      </c>
      <c r="E469" s="6" t="str">
        <f t="shared" si="39"/>
        <v>440025885</v>
      </c>
      <c r="F469" s="19" t="s">
        <v>123</v>
      </c>
      <c r="G469" s="7" t="e">
        <f>VLOOKUP(D469,#REF!,4,)</f>
        <v>#REF!</v>
      </c>
      <c r="H469" s="6" t="e">
        <f>VLOOKUP(D469,#REF!,5,)</f>
        <v>#REF!</v>
      </c>
      <c r="I469" s="27">
        <v>2751.48</v>
      </c>
      <c r="J469" s="27">
        <v>864</v>
      </c>
      <c r="K469" s="8">
        <f t="shared" si="40"/>
        <v>0.31401282219023946</v>
      </c>
      <c r="L469" s="27">
        <v>0</v>
      </c>
      <c r="M469" s="21"/>
      <c r="N469" s="27">
        <v>1848</v>
      </c>
      <c r="O469" s="27">
        <v>1848</v>
      </c>
      <c r="P469" s="9">
        <f t="shared" si="41"/>
        <v>39.480000000000018</v>
      </c>
      <c r="Q469" s="9">
        <f>IFERROR(IF(D469=20250,O469/(#REF!/30),O469/(I469/30)),0)</f>
        <v>20.149156090540366</v>
      </c>
      <c r="R469" s="9">
        <f t="shared" si="42"/>
        <v>20.149156090540366</v>
      </c>
    </row>
    <row r="470" spans="1:18" ht="13.15" x14ac:dyDescent="0.45">
      <c r="A470" s="15" t="str">
        <f t="shared" si="38"/>
        <v>440004145</v>
      </c>
      <c r="B470" s="19" t="s">
        <v>75</v>
      </c>
      <c r="C470" s="6" t="e">
        <f>_xlfn.XLOOKUP(B:B,#REF!,#REF!)</f>
        <v>#REF!</v>
      </c>
      <c r="D470" s="19" t="s">
        <v>25</v>
      </c>
      <c r="E470" s="6" t="str">
        <f t="shared" si="39"/>
        <v>440004145</v>
      </c>
      <c r="F470" s="19" t="s">
        <v>26</v>
      </c>
      <c r="G470" s="7" t="e">
        <f>VLOOKUP(D470,#REF!,4,)</f>
        <v>#REF!</v>
      </c>
      <c r="H470" s="6" t="e">
        <f>VLOOKUP(D470,#REF!,5,)</f>
        <v>#REF!</v>
      </c>
      <c r="I470" s="27">
        <v>32.58</v>
      </c>
      <c r="J470" s="27">
        <v>0</v>
      </c>
      <c r="K470" s="8">
        <f t="shared" si="40"/>
        <v>0</v>
      </c>
      <c r="L470" s="27">
        <v>0</v>
      </c>
      <c r="M470" s="21"/>
      <c r="N470" s="27">
        <v>45</v>
      </c>
      <c r="O470" s="27">
        <v>45</v>
      </c>
      <c r="P470" s="9">
        <f t="shared" si="41"/>
        <v>-12.420000000000002</v>
      </c>
      <c r="Q470" s="9">
        <f>IFERROR(IF(D470=20250,O470/(#REF!/30),O470/(I470/30)),0)</f>
        <v>41.436464088397798</v>
      </c>
      <c r="R470" s="9">
        <f t="shared" si="42"/>
        <v>41.436464088397798</v>
      </c>
    </row>
    <row r="471" spans="1:18" ht="13.15" x14ac:dyDescent="0.45">
      <c r="A471" s="15" t="str">
        <f t="shared" si="38"/>
        <v>440014248</v>
      </c>
      <c r="B471" s="19" t="s">
        <v>75</v>
      </c>
      <c r="C471" s="6" t="e">
        <f>_xlfn.XLOOKUP(B:B,#REF!,#REF!)</f>
        <v>#REF!</v>
      </c>
      <c r="D471" s="19" t="s">
        <v>29</v>
      </c>
      <c r="E471" s="6" t="str">
        <f t="shared" si="39"/>
        <v>440014248</v>
      </c>
      <c r="F471" s="19" t="s">
        <v>30</v>
      </c>
      <c r="G471" s="7" t="e">
        <f>VLOOKUP(D471,#REF!,4,)</f>
        <v>#REF!</v>
      </c>
      <c r="H471" s="6" t="e">
        <f>VLOOKUP(D471,#REF!,5,)</f>
        <v>#REF!</v>
      </c>
      <c r="I471" s="27">
        <v>302.8</v>
      </c>
      <c r="J471" s="27">
        <v>180</v>
      </c>
      <c r="K471" s="8">
        <f t="shared" si="40"/>
        <v>0.59445178335535009</v>
      </c>
      <c r="L471" s="27">
        <v>600</v>
      </c>
      <c r="M471" s="21">
        <v>46167</v>
      </c>
      <c r="N471" s="27">
        <v>120</v>
      </c>
      <c r="O471" s="27">
        <v>720</v>
      </c>
      <c r="P471" s="9">
        <f t="shared" si="41"/>
        <v>-597.20000000000005</v>
      </c>
      <c r="Q471" s="9">
        <f>IFERROR(IF(D471=20250,O471/(#REF!/30),O471/(I471/30)),0)</f>
        <v>71.334214002642</v>
      </c>
      <c r="R471" s="9">
        <f t="shared" si="42"/>
        <v>11.889035667107001</v>
      </c>
    </row>
    <row r="472" spans="1:18" ht="13.15" x14ac:dyDescent="0.45">
      <c r="A472" s="15" t="str">
        <f t="shared" si="38"/>
        <v>440015305</v>
      </c>
      <c r="B472" s="19" t="s">
        <v>75</v>
      </c>
      <c r="C472" s="6" t="e">
        <f>_xlfn.XLOOKUP(B:B,#REF!,#REF!)</f>
        <v>#REF!</v>
      </c>
      <c r="D472" s="19" t="s">
        <v>33</v>
      </c>
      <c r="E472" s="6" t="str">
        <f t="shared" si="39"/>
        <v>440015305</v>
      </c>
      <c r="F472" s="19" t="s">
        <v>34</v>
      </c>
      <c r="G472" s="7" t="e">
        <f>VLOOKUP(D472,#REF!,4,)</f>
        <v>#REF!</v>
      </c>
      <c r="H472" s="6" t="e">
        <f>VLOOKUP(D472,#REF!,5,)</f>
        <v>#REF!</v>
      </c>
      <c r="I472" s="27">
        <v>55.35</v>
      </c>
      <c r="J472" s="27">
        <v>36</v>
      </c>
      <c r="K472" s="8">
        <f t="shared" si="40"/>
        <v>0.65040650406504064</v>
      </c>
      <c r="L472" s="27">
        <v>99</v>
      </c>
      <c r="M472" s="21">
        <v>46167</v>
      </c>
      <c r="N472" s="27">
        <v>0</v>
      </c>
      <c r="O472" s="27">
        <v>99</v>
      </c>
      <c r="P472" s="9">
        <f t="shared" si="41"/>
        <v>-79.650000000000006</v>
      </c>
      <c r="Q472" s="9">
        <f>IFERROR(IF(D472=20250,O472/(#REF!/30),O472/(I472/30)),0)</f>
        <v>53.658536585365852</v>
      </c>
      <c r="R472" s="9">
        <f t="shared" si="42"/>
        <v>0</v>
      </c>
    </row>
    <row r="473" spans="1:18" ht="13.15" x14ac:dyDescent="0.45">
      <c r="A473" s="15" t="str">
        <f t="shared" si="38"/>
        <v>440015312</v>
      </c>
      <c r="B473" s="19" t="s">
        <v>75</v>
      </c>
      <c r="C473" s="6" t="e">
        <f>_xlfn.XLOOKUP(B:B,#REF!,#REF!)</f>
        <v>#REF!</v>
      </c>
      <c r="D473" s="19" t="s">
        <v>35</v>
      </c>
      <c r="E473" s="6" t="str">
        <f t="shared" si="39"/>
        <v>440015312</v>
      </c>
      <c r="F473" s="19" t="s">
        <v>36</v>
      </c>
      <c r="G473" s="7" t="e">
        <f>VLOOKUP(D473,#REF!,4,)</f>
        <v>#REF!</v>
      </c>
      <c r="H473" s="6" t="e">
        <f>VLOOKUP(D473,#REF!,5,)</f>
        <v>#REF!</v>
      </c>
      <c r="I473" s="27">
        <v>13.77</v>
      </c>
      <c r="J473" s="27">
        <v>9</v>
      </c>
      <c r="K473" s="8">
        <f t="shared" si="40"/>
        <v>0.65359477124183007</v>
      </c>
      <c r="L473" s="27">
        <v>0</v>
      </c>
      <c r="M473" s="21"/>
      <c r="N473" s="27">
        <v>18</v>
      </c>
      <c r="O473" s="27">
        <v>18</v>
      </c>
      <c r="P473" s="9">
        <f t="shared" si="41"/>
        <v>-13.23</v>
      </c>
      <c r="Q473" s="9">
        <f>IFERROR(IF(D473=20250,O473/(#REF!/30),O473/(I473/30)),0)</f>
        <v>39.215686274509807</v>
      </c>
      <c r="R473" s="9">
        <f t="shared" si="42"/>
        <v>39.215686274509807</v>
      </c>
    </row>
    <row r="474" spans="1:18" ht="13.15" x14ac:dyDescent="0.45">
      <c r="A474" s="15" t="str">
        <f t="shared" si="38"/>
        <v>440016407</v>
      </c>
      <c r="B474" s="19" t="s">
        <v>75</v>
      </c>
      <c r="C474" s="6" t="e">
        <f>_xlfn.XLOOKUP(B:B,#REF!,#REF!)</f>
        <v>#REF!</v>
      </c>
      <c r="D474" s="19" t="s">
        <v>37</v>
      </c>
      <c r="E474" s="6" t="str">
        <f t="shared" si="39"/>
        <v>440016407</v>
      </c>
      <c r="F474" s="19" t="s">
        <v>38</v>
      </c>
      <c r="G474" s="7" t="e">
        <f>VLOOKUP(D474,#REF!,4,)</f>
        <v>#REF!</v>
      </c>
      <c r="H474" s="6" t="e">
        <f>VLOOKUP(D474,#REF!,5,)</f>
        <v>#REF!</v>
      </c>
      <c r="I474" s="27">
        <v>138.51</v>
      </c>
      <c r="J474" s="27">
        <v>54</v>
      </c>
      <c r="K474" s="8">
        <f t="shared" si="40"/>
        <v>0.38986354775828463</v>
      </c>
      <c r="L474" s="27">
        <v>117</v>
      </c>
      <c r="M474" s="21">
        <v>46167</v>
      </c>
      <c r="N474" s="27">
        <v>90</v>
      </c>
      <c r="O474" s="27">
        <v>207</v>
      </c>
      <c r="P474" s="9">
        <f t="shared" si="41"/>
        <v>-122.49000000000001</v>
      </c>
      <c r="Q474" s="9">
        <f>IFERROR(IF(D474=20250,O474/(#REF!/30),O474/(I474/30)),0)</f>
        <v>44.834307992202731</v>
      </c>
      <c r="R474" s="9">
        <f t="shared" si="42"/>
        <v>19.49317738791423</v>
      </c>
    </row>
    <row r="475" spans="1:18" ht="13.15" x14ac:dyDescent="0.45">
      <c r="A475" s="15" t="str">
        <f t="shared" si="38"/>
        <v>440000189</v>
      </c>
      <c r="B475" s="19" t="s">
        <v>75</v>
      </c>
      <c r="C475" s="6" t="e">
        <f>_xlfn.XLOOKUP(B:B,#REF!,#REF!)</f>
        <v>#REF!</v>
      </c>
      <c r="D475" s="19" t="s">
        <v>39</v>
      </c>
      <c r="E475" s="6" t="str">
        <f t="shared" si="39"/>
        <v>440000189</v>
      </c>
      <c r="F475" s="19" t="s">
        <v>109</v>
      </c>
      <c r="G475" s="7" t="e">
        <f>VLOOKUP(D475,#REF!,4,)</f>
        <v>#REF!</v>
      </c>
      <c r="H475" s="6" t="e">
        <f>VLOOKUP(D475,#REF!,5,)</f>
        <v>#REF!</v>
      </c>
      <c r="I475" s="27">
        <v>47499.96</v>
      </c>
      <c r="J475" s="27">
        <v>29316</v>
      </c>
      <c r="K475" s="8">
        <f t="shared" si="40"/>
        <v>0.61717946709849858</v>
      </c>
      <c r="L475" s="27">
        <v>13956</v>
      </c>
      <c r="M475" s="21">
        <v>46169</v>
      </c>
      <c r="N475" s="27">
        <v>33900</v>
      </c>
      <c r="O475" s="27">
        <v>47856</v>
      </c>
      <c r="P475" s="9">
        <f t="shared" si="41"/>
        <v>-29672.04</v>
      </c>
      <c r="Q475" s="9">
        <f>IFERROR(IF(D475=20250,O475/(#REF!/30),O475/(I475/30)),0)</f>
        <v>30.22486755778321</v>
      </c>
      <c r="R475" s="9">
        <f t="shared" si="42"/>
        <v>21.410544345721554</v>
      </c>
    </row>
    <row r="476" spans="1:18" ht="13.15" x14ac:dyDescent="0.45">
      <c r="A476" s="15" t="str">
        <f t="shared" si="38"/>
        <v>440001167</v>
      </c>
      <c r="B476" s="19" t="s">
        <v>75</v>
      </c>
      <c r="C476" s="6" t="e">
        <f>_xlfn.XLOOKUP(B:B,#REF!,#REF!)</f>
        <v>#REF!</v>
      </c>
      <c r="D476" s="19" t="s">
        <v>40</v>
      </c>
      <c r="E476" s="6" t="str">
        <f t="shared" si="39"/>
        <v>440001167</v>
      </c>
      <c r="F476" s="19" t="s">
        <v>41</v>
      </c>
      <c r="G476" s="7" t="e">
        <f>VLOOKUP(D476,#REF!,4,)</f>
        <v>#REF!</v>
      </c>
      <c r="H476" s="6" t="e">
        <f>VLOOKUP(D476,#REF!,5,)</f>
        <v>#REF!</v>
      </c>
      <c r="I476" s="27">
        <v>9108.84</v>
      </c>
      <c r="J476" s="27">
        <v>3996</v>
      </c>
      <c r="K476" s="8">
        <f t="shared" si="40"/>
        <v>0.4386947185371573</v>
      </c>
      <c r="L476" s="27">
        <v>0</v>
      </c>
      <c r="M476" s="21"/>
      <c r="N476" s="27">
        <v>5172</v>
      </c>
      <c r="O476" s="27">
        <v>5172</v>
      </c>
      <c r="P476" s="9">
        <f t="shared" si="41"/>
        <v>-59.159999999999854</v>
      </c>
      <c r="Q476" s="9">
        <f>IFERROR(IF(D476=20250,O476/(#REF!/30),O476/(I476/30)),0)</f>
        <v>17.034002134190523</v>
      </c>
      <c r="R476" s="9">
        <f t="shared" si="42"/>
        <v>17.034002134190523</v>
      </c>
    </row>
    <row r="477" spans="1:18" ht="13.15" x14ac:dyDescent="0.45">
      <c r="A477" s="15" t="str">
        <f t="shared" si="38"/>
        <v>440001296</v>
      </c>
      <c r="B477" s="19" t="s">
        <v>75</v>
      </c>
      <c r="C477" s="6" t="e">
        <f>_xlfn.XLOOKUP(B:B,#REF!,#REF!)</f>
        <v>#REF!</v>
      </c>
      <c r="D477" s="19" t="s">
        <v>14</v>
      </c>
      <c r="E477" s="6" t="str">
        <f t="shared" si="39"/>
        <v>440001296</v>
      </c>
      <c r="F477" s="19" t="s">
        <v>15</v>
      </c>
      <c r="G477" s="7" t="e">
        <f>VLOOKUP(D477,#REF!,4,)</f>
        <v>#REF!</v>
      </c>
      <c r="H477" s="6" t="e">
        <f>VLOOKUP(D477,#REF!,5,)</f>
        <v>#REF!</v>
      </c>
      <c r="I477" s="27">
        <v>1107.48</v>
      </c>
      <c r="J477" s="27">
        <v>768</v>
      </c>
      <c r="K477" s="8">
        <f t="shared" si="40"/>
        <v>0.69346624769747534</v>
      </c>
      <c r="L477" s="27">
        <v>0</v>
      </c>
      <c r="M477" s="21"/>
      <c r="N477" s="27">
        <v>1044</v>
      </c>
      <c r="O477" s="27">
        <v>1044</v>
      </c>
      <c r="P477" s="9">
        <f t="shared" si="41"/>
        <v>-704.52</v>
      </c>
      <c r="Q477" s="9">
        <f>IFERROR(IF(D477=20250,O477/(#REF!/30),O477/(I477/30)),0)</f>
        <v>28.280420413912662</v>
      </c>
      <c r="R477" s="9">
        <f t="shared" si="42"/>
        <v>28.280420413912662</v>
      </c>
    </row>
    <row r="478" spans="1:18" ht="13.15" x14ac:dyDescent="0.45">
      <c r="A478" s="15" t="str">
        <f t="shared" si="38"/>
        <v>440002122</v>
      </c>
      <c r="B478" s="19" t="s">
        <v>75</v>
      </c>
      <c r="C478" s="6" t="e">
        <f>_xlfn.XLOOKUP(B:B,#REF!,#REF!)</f>
        <v>#REF!</v>
      </c>
      <c r="D478" s="19" t="s">
        <v>42</v>
      </c>
      <c r="E478" s="6" t="str">
        <f t="shared" si="39"/>
        <v>440002122</v>
      </c>
      <c r="F478" s="19" t="s">
        <v>43</v>
      </c>
      <c r="G478" s="7" t="e">
        <f>VLOOKUP(D478,#REF!,4,)</f>
        <v>#REF!</v>
      </c>
      <c r="H478" s="6" t="e">
        <f>VLOOKUP(D478,#REF!,5,)</f>
        <v>#REF!</v>
      </c>
      <c r="I478" s="27">
        <v>10531.2</v>
      </c>
      <c r="J478" s="27">
        <v>5688</v>
      </c>
      <c r="K478" s="8">
        <f t="shared" si="40"/>
        <v>0.54010938924339102</v>
      </c>
      <c r="L478" s="27">
        <v>1008</v>
      </c>
      <c r="M478" s="21">
        <v>46169</v>
      </c>
      <c r="N478" s="27">
        <v>10236</v>
      </c>
      <c r="O478" s="27">
        <v>11244</v>
      </c>
      <c r="P478" s="9">
        <f t="shared" si="41"/>
        <v>-6400.7999999999993</v>
      </c>
      <c r="Q478" s="9">
        <f>IFERROR(IF(D478=20250,O478/(#REF!/30),O478/(I478/30)),0)</f>
        <v>32.030537830446669</v>
      </c>
      <c r="R478" s="9">
        <f t="shared" si="42"/>
        <v>29.159070191431173</v>
      </c>
    </row>
    <row r="479" spans="1:18" ht="13.15" x14ac:dyDescent="0.45">
      <c r="A479" s="15" t="str">
        <f t="shared" si="38"/>
        <v>440005159</v>
      </c>
      <c r="B479" s="19" t="s">
        <v>75</v>
      </c>
      <c r="C479" s="6" t="e">
        <f>_xlfn.XLOOKUP(B:B,#REF!,#REF!)</f>
        <v>#REF!</v>
      </c>
      <c r="D479" s="19" t="s">
        <v>44</v>
      </c>
      <c r="E479" s="6" t="str">
        <f t="shared" si="39"/>
        <v>440005159</v>
      </c>
      <c r="F479" s="19" t="s">
        <v>45</v>
      </c>
      <c r="G479" s="7" t="e">
        <f>VLOOKUP(D479,#REF!,4,)</f>
        <v>#REF!</v>
      </c>
      <c r="H479" s="6" t="e">
        <f>VLOOKUP(D479,#REF!,5,)</f>
        <v>#REF!</v>
      </c>
      <c r="I479" s="27">
        <v>258.24</v>
      </c>
      <c r="J479" s="27">
        <v>72</v>
      </c>
      <c r="K479" s="8">
        <f t="shared" si="40"/>
        <v>0.27881040892193309</v>
      </c>
      <c r="L479" s="27">
        <v>108</v>
      </c>
      <c r="M479" s="21">
        <v>46169</v>
      </c>
      <c r="N479" s="27">
        <v>252</v>
      </c>
      <c r="O479" s="27">
        <v>360</v>
      </c>
      <c r="P479" s="9">
        <f t="shared" si="41"/>
        <v>-173.76</v>
      </c>
      <c r="Q479" s="9">
        <f>IFERROR(IF(D479=20250,O479/(#REF!/30),O479/(I479/30)),0)</f>
        <v>41.82156133828996</v>
      </c>
      <c r="R479" s="9">
        <f t="shared" si="42"/>
        <v>29.275092936802974</v>
      </c>
    </row>
    <row r="480" spans="1:18" ht="13.15" x14ac:dyDescent="0.45">
      <c r="A480" s="15" t="str">
        <f t="shared" si="38"/>
        <v>440006982</v>
      </c>
      <c r="B480" s="19" t="s">
        <v>75</v>
      </c>
      <c r="C480" s="6" t="e">
        <f>_xlfn.XLOOKUP(B:B,#REF!,#REF!)</f>
        <v>#REF!</v>
      </c>
      <c r="D480" s="19" t="s">
        <v>46</v>
      </c>
      <c r="E480" s="6" t="str">
        <f t="shared" si="39"/>
        <v>440006982</v>
      </c>
      <c r="F480" s="19" t="s">
        <v>47</v>
      </c>
      <c r="G480" s="7" t="e">
        <f>VLOOKUP(D480,#REF!,4,)</f>
        <v>#REF!</v>
      </c>
      <c r="H480" s="6" t="e">
        <f>VLOOKUP(D480,#REF!,5,)</f>
        <v>#REF!</v>
      </c>
      <c r="I480" s="27">
        <v>4603.4399999999996</v>
      </c>
      <c r="J480" s="27">
        <v>2448</v>
      </c>
      <c r="K480" s="8">
        <f t="shared" si="40"/>
        <v>0.5317762369011001</v>
      </c>
      <c r="L480" s="27">
        <v>2400</v>
      </c>
      <c r="M480" s="21">
        <v>46167</v>
      </c>
      <c r="N480" s="27">
        <v>2208</v>
      </c>
      <c r="O480" s="27">
        <v>4608</v>
      </c>
      <c r="P480" s="9">
        <f t="shared" si="41"/>
        <v>-2452.5600000000004</v>
      </c>
      <c r="Q480" s="9">
        <f>IFERROR(IF(D480=20250,O480/(#REF!/30),O480/(I480/30)),0)</f>
        <v>30.029716907356242</v>
      </c>
      <c r="R480" s="9">
        <f t="shared" si="42"/>
        <v>14.389239351441532</v>
      </c>
    </row>
    <row r="481" spans="1:18" ht="13.15" x14ac:dyDescent="0.45">
      <c r="A481" s="15" t="str">
        <f t="shared" si="38"/>
        <v>440007310</v>
      </c>
      <c r="B481" s="19" t="s">
        <v>75</v>
      </c>
      <c r="C481" s="6" t="e">
        <f>_xlfn.XLOOKUP(B:B,#REF!,#REF!)</f>
        <v>#REF!</v>
      </c>
      <c r="D481" s="19" t="s">
        <v>16</v>
      </c>
      <c r="E481" s="6" t="str">
        <f t="shared" si="39"/>
        <v>440007310</v>
      </c>
      <c r="F481" s="19" t="s">
        <v>17</v>
      </c>
      <c r="G481" s="7" t="e">
        <f>VLOOKUP(D481,#REF!,4,)</f>
        <v>#REF!</v>
      </c>
      <c r="H481" s="6" t="e">
        <f>VLOOKUP(D481,#REF!,5,)</f>
        <v>#REF!</v>
      </c>
      <c r="I481" s="27">
        <v>20871.36</v>
      </c>
      <c r="J481" s="27">
        <v>9960</v>
      </c>
      <c r="K481" s="8">
        <f t="shared" si="40"/>
        <v>0.47720896002943747</v>
      </c>
      <c r="L481" s="27">
        <v>0</v>
      </c>
      <c r="M481" s="21"/>
      <c r="N481" s="27">
        <v>25944</v>
      </c>
      <c r="O481" s="27">
        <v>25944</v>
      </c>
      <c r="P481" s="9">
        <f t="shared" si="41"/>
        <v>-15032.64</v>
      </c>
      <c r="Q481" s="9">
        <f>IFERROR(IF(D481=20250,O481/(#REF!/30),O481/(I481/30)),0)</f>
        <v>37.291292948806401</v>
      </c>
      <c r="R481" s="9">
        <f t="shared" si="42"/>
        <v>37.291292948806401</v>
      </c>
    </row>
    <row r="482" spans="1:18" ht="13.15" x14ac:dyDescent="0.45">
      <c r="A482" s="15" t="str">
        <f t="shared" si="38"/>
        <v>440008529</v>
      </c>
      <c r="B482" s="19" t="s">
        <v>75</v>
      </c>
      <c r="C482" s="6" t="e">
        <f>_xlfn.XLOOKUP(B:B,#REF!,#REF!)</f>
        <v>#REF!</v>
      </c>
      <c r="D482" s="19" t="s">
        <v>48</v>
      </c>
      <c r="E482" s="6" t="str">
        <f t="shared" si="39"/>
        <v>440008529</v>
      </c>
      <c r="F482" s="19" t="s">
        <v>49</v>
      </c>
      <c r="G482" s="7" t="e">
        <f>VLOOKUP(D482,#REF!,4,)</f>
        <v>#REF!</v>
      </c>
      <c r="H482" s="6" t="e">
        <f>VLOOKUP(D482,#REF!,5,)</f>
        <v>#REF!</v>
      </c>
      <c r="I482" s="27">
        <v>13233.24</v>
      </c>
      <c r="J482" s="27">
        <v>6948</v>
      </c>
      <c r="K482" s="8">
        <f t="shared" si="40"/>
        <v>0.5250414864386953</v>
      </c>
      <c r="L482" s="27">
        <v>1008</v>
      </c>
      <c r="M482" s="21">
        <v>46169</v>
      </c>
      <c r="N482" s="27">
        <v>13308</v>
      </c>
      <c r="O482" s="27">
        <v>14316</v>
      </c>
      <c r="P482" s="9">
        <f t="shared" si="41"/>
        <v>-8030.76</v>
      </c>
      <c r="Q482" s="9">
        <f>IFERROR(IF(D482=20250,O482/(#REF!/30),O482/(I482/30)),0)</f>
        <v>32.454636959656135</v>
      </c>
      <c r="R482" s="9">
        <f t="shared" si="42"/>
        <v>30.169482303653528</v>
      </c>
    </row>
    <row r="483" spans="1:18" ht="13.15" x14ac:dyDescent="0.45">
      <c r="A483" s="15" t="str">
        <f t="shared" si="38"/>
        <v>440013179</v>
      </c>
      <c r="B483" s="19" t="s">
        <v>75</v>
      </c>
      <c r="C483" s="6" t="e">
        <f>_xlfn.XLOOKUP(B:B,#REF!,#REF!)</f>
        <v>#REF!</v>
      </c>
      <c r="D483" s="19" t="s">
        <v>18</v>
      </c>
      <c r="E483" s="6" t="str">
        <f t="shared" si="39"/>
        <v>440013179</v>
      </c>
      <c r="F483" s="19" t="s">
        <v>19</v>
      </c>
      <c r="G483" s="7" t="e">
        <f>VLOOKUP(D483,#REF!,4,)</f>
        <v>#REF!</v>
      </c>
      <c r="H483" s="6" t="e">
        <f>VLOOKUP(D483,#REF!,5,)</f>
        <v>#REF!</v>
      </c>
      <c r="I483" s="27">
        <v>59037.120000000003</v>
      </c>
      <c r="J483" s="27">
        <v>35292</v>
      </c>
      <c r="K483" s="8">
        <f t="shared" si="40"/>
        <v>0.59779338829536399</v>
      </c>
      <c r="L483" s="27">
        <v>11580</v>
      </c>
      <c r="M483" s="21">
        <v>46169</v>
      </c>
      <c r="N483" s="27">
        <v>34428</v>
      </c>
      <c r="O483" s="27">
        <v>46008</v>
      </c>
      <c r="P483" s="9">
        <f t="shared" si="41"/>
        <v>-22262.879999999997</v>
      </c>
      <c r="Q483" s="9">
        <f>IFERROR(IF(D483=20250,O483/(#REF!/30),O483/(I483/30)),0)</f>
        <v>23.379189228742867</v>
      </c>
      <c r="R483" s="9">
        <f t="shared" si="42"/>
        <v>17.494755841748379</v>
      </c>
    </row>
    <row r="484" spans="1:18" ht="13.15" x14ac:dyDescent="0.45">
      <c r="A484" s="15" t="str">
        <f t="shared" si="38"/>
        <v>440013678</v>
      </c>
      <c r="B484" s="19" t="s">
        <v>75</v>
      </c>
      <c r="C484" s="6" t="e">
        <f>_xlfn.XLOOKUP(B:B,#REF!,#REF!)</f>
        <v>#REF!</v>
      </c>
      <c r="D484" s="19" t="s">
        <v>50</v>
      </c>
      <c r="E484" s="6" t="str">
        <f t="shared" si="39"/>
        <v>440013678</v>
      </c>
      <c r="F484" s="19" t="s">
        <v>51</v>
      </c>
      <c r="G484" s="7" t="e">
        <f>VLOOKUP(D484,#REF!,4,)</f>
        <v>#REF!</v>
      </c>
      <c r="H484" s="6" t="e">
        <f>VLOOKUP(D484,#REF!,5,)</f>
        <v>#REF!</v>
      </c>
      <c r="I484" s="27">
        <v>271.08</v>
      </c>
      <c r="J484" s="27">
        <v>276</v>
      </c>
      <c r="K484" s="8">
        <f t="shared" si="40"/>
        <v>1.0181496237273131</v>
      </c>
      <c r="L484" s="27">
        <v>0</v>
      </c>
      <c r="M484" s="21"/>
      <c r="N484" s="27">
        <v>1488</v>
      </c>
      <c r="O484" s="27">
        <v>1488</v>
      </c>
      <c r="P484" s="9">
        <f t="shared" si="41"/>
        <v>-1492.92</v>
      </c>
      <c r="Q484" s="9">
        <f>IFERROR(IF(D484=20250,O484/(#REF!/30),O484/(I484/30)),0)</f>
        <v>164.6746347941567</v>
      </c>
      <c r="R484" s="9">
        <f t="shared" si="42"/>
        <v>164.6746347941567</v>
      </c>
    </row>
    <row r="485" spans="1:18" ht="13.15" x14ac:dyDescent="0.45">
      <c r="A485" s="15" t="str">
        <f t="shared" si="38"/>
        <v>440014654</v>
      </c>
      <c r="B485" s="19" t="s">
        <v>75</v>
      </c>
      <c r="C485" s="6" t="e">
        <f>_xlfn.XLOOKUP(B:B,#REF!,#REF!)</f>
        <v>#REF!</v>
      </c>
      <c r="D485" s="19" t="s">
        <v>52</v>
      </c>
      <c r="E485" s="6" t="str">
        <f t="shared" si="39"/>
        <v>440014654</v>
      </c>
      <c r="F485" s="19" t="s">
        <v>53</v>
      </c>
      <c r="G485" s="7" t="e">
        <f>VLOOKUP(D485,#REF!,4,)</f>
        <v>#REF!</v>
      </c>
      <c r="H485" s="6" t="e">
        <f>VLOOKUP(D485,#REF!,5,)</f>
        <v>#REF!</v>
      </c>
      <c r="I485" s="27">
        <v>1378.68</v>
      </c>
      <c r="J485" s="27">
        <v>1080</v>
      </c>
      <c r="K485" s="8">
        <f t="shared" si="40"/>
        <v>0.78335799460353372</v>
      </c>
      <c r="L485" s="27">
        <v>1008</v>
      </c>
      <c r="M485" s="21">
        <v>46169</v>
      </c>
      <c r="N485" s="27">
        <v>180</v>
      </c>
      <c r="O485" s="27">
        <v>1188</v>
      </c>
      <c r="P485" s="9">
        <f t="shared" si="41"/>
        <v>-889.31999999999994</v>
      </c>
      <c r="Q485" s="9">
        <f>IFERROR(IF(D485=20250,O485/(#REF!/30),O485/(I485/30)),0)</f>
        <v>25.850813821916613</v>
      </c>
      <c r="R485" s="9">
        <f t="shared" si="42"/>
        <v>3.9167899730176687</v>
      </c>
    </row>
    <row r="486" spans="1:18" ht="13.15" x14ac:dyDescent="0.45">
      <c r="A486" s="15" t="str">
        <f t="shared" si="38"/>
        <v>440014788</v>
      </c>
      <c r="B486" s="19" t="s">
        <v>75</v>
      </c>
      <c r="C486" s="6" t="e">
        <f>_xlfn.XLOOKUP(B:B,#REF!,#REF!)</f>
        <v>#REF!</v>
      </c>
      <c r="D486" s="19" t="s">
        <v>54</v>
      </c>
      <c r="E486" s="6" t="str">
        <f t="shared" si="39"/>
        <v>440014788</v>
      </c>
      <c r="F486" s="19" t="s">
        <v>55</v>
      </c>
      <c r="G486" s="7" t="e">
        <f>VLOOKUP(D486,#REF!,4,)</f>
        <v>#REF!</v>
      </c>
      <c r="H486" s="6" t="e">
        <f>VLOOKUP(D486,#REF!,5,)</f>
        <v>#REF!</v>
      </c>
      <c r="I486" s="27">
        <v>12137.52</v>
      </c>
      <c r="J486" s="27">
        <v>5772</v>
      </c>
      <c r="K486" s="8">
        <f t="shared" si="40"/>
        <v>0.47555019476795918</v>
      </c>
      <c r="L486" s="27">
        <v>3480</v>
      </c>
      <c r="M486" s="21">
        <v>46169</v>
      </c>
      <c r="N486" s="27">
        <v>7776</v>
      </c>
      <c r="O486" s="27">
        <v>11256</v>
      </c>
      <c r="P486" s="9">
        <f t="shared" si="41"/>
        <v>-4890.4799999999996</v>
      </c>
      <c r="Q486" s="9">
        <f>IFERROR(IF(D486=20250,O486/(#REF!/30),O486/(I486/30)),0)</f>
        <v>27.821169398691001</v>
      </c>
      <c r="R486" s="9">
        <f t="shared" si="42"/>
        <v>19.219741759436854</v>
      </c>
    </row>
    <row r="487" spans="1:18" ht="13.15" x14ac:dyDescent="0.45">
      <c r="A487" s="15" t="str">
        <f t="shared" si="38"/>
        <v>440015536</v>
      </c>
      <c r="B487" s="19" t="s">
        <v>75</v>
      </c>
      <c r="C487" s="6" t="e">
        <f>_xlfn.XLOOKUP(B:B,#REF!,#REF!)</f>
        <v>#REF!</v>
      </c>
      <c r="D487" s="19" t="s">
        <v>56</v>
      </c>
      <c r="E487" s="6" t="str">
        <f t="shared" si="39"/>
        <v>440015536</v>
      </c>
      <c r="F487" s="19" t="s">
        <v>57</v>
      </c>
      <c r="G487" s="7" t="e">
        <f>VLOOKUP(D487,#REF!,4,)</f>
        <v>#REF!</v>
      </c>
      <c r="H487" s="6" t="e">
        <f>VLOOKUP(D487,#REF!,5,)</f>
        <v>#REF!</v>
      </c>
      <c r="I487" s="27">
        <v>8506.08</v>
      </c>
      <c r="J487" s="27">
        <v>5316</v>
      </c>
      <c r="K487" s="8">
        <f t="shared" si="40"/>
        <v>0.62496473110998252</v>
      </c>
      <c r="L487" s="27">
        <v>0</v>
      </c>
      <c r="M487" s="21"/>
      <c r="N487" s="27">
        <v>7152</v>
      </c>
      <c r="O487" s="27">
        <v>7152</v>
      </c>
      <c r="P487" s="9">
        <f t="shared" si="41"/>
        <v>-3961.92</v>
      </c>
      <c r="Q487" s="9">
        <f>IFERROR(IF(D487=20250,O487/(#REF!/30),O487/(I487/30)),0)</f>
        <v>25.224310140511257</v>
      </c>
      <c r="R487" s="9">
        <f t="shared" si="42"/>
        <v>25.224310140511257</v>
      </c>
    </row>
    <row r="488" spans="1:18" ht="13.15" x14ac:dyDescent="0.45">
      <c r="A488" s="15" t="str">
        <f t="shared" si="38"/>
        <v>440015906</v>
      </c>
      <c r="B488" s="19" t="s">
        <v>75</v>
      </c>
      <c r="C488" s="6" t="e">
        <f>_xlfn.XLOOKUP(B:B,#REF!,#REF!)</f>
        <v>#REF!</v>
      </c>
      <c r="D488" s="19" t="s">
        <v>58</v>
      </c>
      <c r="E488" s="6" t="str">
        <f t="shared" si="39"/>
        <v>440015906</v>
      </c>
      <c r="F488" s="19" t="s">
        <v>59</v>
      </c>
      <c r="G488" s="7" t="e">
        <f>VLOOKUP(D488,#REF!,4,)</f>
        <v>#REF!</v>
      </c>
      <c r="H488" s="6" t="e">
        <f>VLOOKUP(D488,#REF!,5,)</f>
        <v>#REF!</v>
      </c>
      <c r="I488" s="27">
        <v>405.72</v>
      </c>
      <c r="J488" s="27">
        <v>312</v>
      </c>
      <c r="K488" s="8">
        <f t="shared" si="40"/>
        <v>0.76900325347530307</v>
      </c>
      <c r="L488" s="27">
        <v>0</v>
      </c>
      <c r="M488" s="21"/>
      <c r="N488" s="27">
        <v>504</v>
      </c>
      <c r="O488" s="27">
        <v>504</v>
      </c>
      <c r="P488" s="9">
        <f t="shared" si="41"/>
        <v>-410.28</v>
      </c>
      <c r="Q488" s="9">
        <f>IFERROR(IF(D488=20250,O488/(#REF!/30),O488/(I488/30)),0)</f>
        <v>37.267080745341609</v>
      </c>
      <c r="R488" s="9">
        <f t="shared" si="42"/>
        <v>37.267080745341609</v>
      </c>
    </row>
    <row r="489" spans="1:18" ht="13.15" x14ac:dyDescent="0.45">
      <c r="A489" s="15" t="str">
        <f t="shared" si="38"/>
        <v>440016336</v>
      </c>
      <c r="B489" s="19" t="s">
        <v>75</v>
      </c>
      <c r="C489" s="6" t="e">
        <f>_xlfn.XLOOKUP(B:B,#REF!,#REF!)</f>
        <v>#REF!</v>
      </c>
      <c r="D489" s="19" t="s">
        <v>20</v>
      </c>
      <c r="E489" s="6" t="str">
        <f t="shared" si="39"/>
        <v>440016336</v>
      </c>
      <c r="F489" s="19" t="s">
        <v>21</v>
      </c>
      <c r="G489" s="7" t="e">
        <f>VLOOKUP(D489,#REF!,4,)</f>
        <v>#REF!</v>
      </c>
      <c r="H489" s="6" t="e">
        <f>VLOOKUP(D489,#REF!,5,)</f>
        <v>#REF!</v>
      </c>
      <c r="I489" s="27">
        <v>37882.68</v>
      </c>
      <c r="J489" s="27">
        <v>20736</v>
      </c>
      <c r="K489" s="8">
        <f t="shared" si="40"/>
        <v>0.54737415621070107</v>
      </c>
      <c r="L489" s="27">
        <v>10584</v>
      </c>
      <c r="M489" s="21">
        <v>46167</v>
      </c>
      <c r="N489" s="27">
        <v>22164</v>
      </c>
      <c r="O489" s="27">
        <v>32748</v>
      </c>
      <c r="P489" s="9">
        <f t="shared" si="41"/>
        <v>-15601.32</v>
      </c>
      <c r="Q489" s="9">
        <f>IFERROR(IF(D489=20250,O489/(#REF!/30),O489/(I489/30)),0)</f>
        <v>25.933751255191027</v>
      </c>
      <c r="R489" s="9">
        <f t="shared" si="42"/>
        <v>17.552084488214664</v>
      </c>
    </row>
    <row r="490" spans="1:18" ht="13.15" x14ac:dyDescent="0.45">
      <c r="A490" s="15" t="str">
        <f t="shared" si="38"/>
        <v>440016984</v>
      </c>
      <c r="B490" s="19" t="s">
        <v>75</v>
      </c>
      <c r="C490" s="6" t="e">
        <f>_xlfn.XLOOKUP(B:B,#REF!,#REF!)</f>
        <v>#REF!</v>
      </c>
      <c r="D490" s="19" t="s">
        <v>60</v>
      </c>
      <c r="E490" s="6" t="str">
        <f t="shared" si="39"/>
        <v>440016984</v>
      </c>
      <c r="F490" s="19" t="s">
        <v>61</v>
      </c>
      <c r="G490" s="7" t="e">
        <f>VLOOKUP(D490,#REF!,4,)</f>
        <v>#REF!</v>
      </c>
      <c r="H490" s="6" t="e">
        <f>VLOOKUP(D490,#REF!,5,)</f>
        <v>#REF!</v>
      </c>
      <c r="I490" s="27">
        <v>1495.44</v>
      </c>
      <c r="J490" s="27">
        <v>1092</v>
      </c>
      <c r="K490" s="8">
        <f t="shared" si="40"/>
        <v>0.7302198683999358</v>
      </c>
      <c r="L490" s="27">
        <v>0</v>
      </c>
      <c r="M490" s="21"/>
      <c r="N490" s="27">
        <v>1020</v>
      </c>
      <c r="O490" s="27">
        <v>1020</v>
      </c>
      <c r="P490" s="9">
        <f t="shared" si="41"/>
        <v>-616.55999999999995</v>
      </c>
      <c r="Q490" s="9">
        <f>IFERROR(IF(D490=20250,O490/(#REF!/30),O490/(I490/30)),0)</f>
        <v>20.462205103514684</v>
      </c>
      <c r="R490" s="9">
        <f t="shared" si="42"/>
        <v>20.462205103514684</v>
      </c>
    </row>
    <row r="491" spans="1:18" ht="13.15" x14ac:dyDescent="0.45">
      <c r="A491" s="15" t="str">
        <f t="shared" si="38"/>
        <v>440016998</v>
      </c>
      <c r="B491" s="19" t="s">
        <v>75</v>
      </c>
      <c r="C491" s="6" t="e">
        <f>_xlfn.XLOOKUP(B:B,#REF!,#REF!)</f>
        <v>#REF!</v>
      </c>
      <c r="D491" s="19" t="s">
        <v>62</v>
      </c>
      <c r="E491" s="6" t="str">
        <f t="shared" si="39"/>
        <v>440016998</v>
      </c>
      <c r="F491" s="19" t="s">
        <v>63</v>
      </c>
      <c r="G491" s="7" t="e">
        <f>VLOOKUP(D491,#REF!,4,)</f>
        <v>#REF!</v>
      </c>
      <c r="H491" s="6" t="e">
        <f>VLOOKUP(D491,#REF!,5,)</f>
        <v>#REF!</v>
      </c>
      <c r="I491" s="27">
        <v>104.88</v>
      </c>
      <c r="J491" s="27">
        <v>60</v>
      </c>
      <c r="K491" s="8">
        <f t="shared" si="40"/>
        <v>0.57208237986270027</v>
      </c>
      <c r="L491" s="27">
        <v>120</v>
      </c>
      <c r="M491" s="21">
        <v>46167</v>
      </c>
      <c r="N491" s="27">
        <v>48</v>
      </c>
      <c r="O491" s="27">
        <v>168</v>
      </c>
      <c r="P491" s="9">
        <f t="shared" si="41"/>
        <v>-123.12</v>
      </c>
      <c r="Q491" s="9">
        <f>IFERROR(IF(D491=20250,O491/(#REF!/30),O491/(I491/30)),0)</f>
        <v>48.054919908466822</v>
      </c>
      <c r="R491" s="9">
        <f t="shared" si="42"/>
        <v>13.729977116704806</v>
      </c>
    </row>
    <row r="492" spans="1:18" ht="13.15" x14ac:dyDescent="0.45">
      <c r="A492" s="15" t="str">
        <f t="shared" si="38"/>
        <v>440018098</v>
      </c>
      <c r="B492" s="19" t="s">
        <v>75</v>
      </c>
      <c r="C492" s="6" t="e">
        <f>_xlfn.XLOOKUP(B:B,#REF!,#REF!)</f>
        <v>#REF!</v>
      </c>
      <c r="D492" s="19" t="s">
        <v>64</v>
      </c>
      <c r="E492" s="6" t="str">
        <f t="shared" si="39"/>
        <v>440018098</v>
      </c>
      <c r="F492" s="19" t="s">
        <v>131</v>
      </c>
      <c r="G492" s="7" t="e">
        <f>VLOOKUP(D492,#REF!,4,)</f>
        <v>#REF!</v>
      </c>
      <c r="H492" s="6" t="e">
        <f>VLOOKUP(D492,#REF!,5,)</f>
        <v>#REF!</v>
      </c>
      <c r="I492" s="27">
        <v>0</v>
      </c>
      <c r="J492" s="27">
        <v>24</v>
      </c>
      <c r="K492" s="8">
        <f t="shared" si="40"/>
        <v>0</v>
      </c>
      <c r="L492" s="27">
        <v>0</v>
      </c>
      <c r="M492" s="21"/>
      <c r="N492" s="27">
        <v>96</v>
      </c>
      <c r="O492" s="27">
        <v>96</v>
      </c>
      <c r="P492" s="9">
        <f t="shared" si="41"/>
        <v>-120</v>
      </c>
      <c r="Q492" s="9">
        <f>IFERROR(IF(D492=20250,O492/(#REF!/30),O492/(I492/30)),0)</f>
        <v>0</v>
      </c>
      <c r="R492" s="9">
        <f t="shared" si="42"/>
        <v>0</v>
      </c>
    </row>
    <row r="493" spans="1:18" ht="13.15" x14ac:dyDescent="0.45">
      <c r="A493" s="15" t="str">
        <f t="shared" si="38"/>
        <v>440020308</v>
      </c>
      <c r="B493" s="19" t="s">
        <v>75</v>
      </c>
      <c r="C493" s="6" t="e">
        <f>_xlfn.XLOOKUP(B:B,#REF!,#REF!)</f>
        <v>#REF!</v>
      </c>
      <c r="D493" s="19" t="s">
        <v>84</v>
      </c>
      <c r="E493" s="6" t="str">
        <f t="shared" si="39"/>
        <v>440020308</v>
      </c>
      <c r="F493" s="19" t="s">
        <v>108</v>
      </c>
      <c r="G493" s="7" t="e">
        <f>VLOOKUP(D493,#REF!,4,)</f>
        <v>#REF!</v>
      </c>
      <c r="H493" s="6" t="e">
        <f>VLOOKUP(D493,#REF!,5,)</f>
        <v>#REF!</v>
      </c>
      <c r="I493" s="27">
        <v>10173.84</v>
      </c>
      <c r="J493" s="27">
        <v>1272</v>
      </c>
      <c r="K493" s="8">
        <f t="shared" si="40"/>
        <v>0.12502653865207236</v>
      </c>
      <c r="L493" s="27">
        <v>0</v>
      </c>
      <c r="M493" s="21"/>
      <c r="N493" s="27">
        <v>11832</v>
      </c>
      <c r="O493" s="27">
        <v>11832</v>
      </c>
      <c r="P493" s="9">
        <f t="shared" si="41"/>
        <v>-2930.16</v>
      </c>
      <c r="Q493" s="9">
        <f>IFERROR(IF(D493=20250,O493/(#REF!/30),O493/(I493/30)),0)</f>
        <v>34.889481257814161</v>
      </c>
      <c r="R493" s="9">
        <f t="shared" si="42"/>
        <v>34.889481257814161</v>
      </c>
    </row>
    <row r="494" spans="1:18" ht="13.15" x14ac:dyDescent="0.45">
      <c r="A494" s="15" t="str">
        <f t="shared" si="38"/>
        <v>440020827</v>
      </c>
      <c r="B494" s="19" t="s">
        <v>75</v>
      </c>
      <c r="C494" s="6" t="e">
        <f>_xlfn.XLOOKUP(B:B,#REF!,#REF!)</f>
        <v>#REF!</v>
      </c>
      <c r="D494" s="19" t="s">
        <v>85</v>
      </c>
      <c r="E494" s="6" t="str">
        <f t="shared" si="39"/>
        <v>440020827</v>
      </c>
      <c r="F494" s="19" t="s">
        <v>86</v>
      </c>
      <c r="G494" s="7" t="e">
        <f>VLOOKUP(D494,#REF!,4,)</f>
        <v>#REF!</v>
      </c>
      <c r="H494" s="6" t="e">
        <f>VLOOKUP(D494,#REF!,5,)</f>
        <v>#REF!</v>
      </c>
      <c r="I494" s="27">
        <v>1520.28</v>
      </c>
      <c r="J494" s="27">
        <v>936</v>
      </c>
      <c r="K494" s="8">
        <f t="shared" si="40"/>
        <v>0.61567605967321815</v>
      </c>
      <c r="L494" s="27">
        <v>600</v>
      </c>
      <c r="M494" s="21">
        <v>46167</v>
      </c>
      <c r="N494" s="27">
        <v>912</v>
      </c>
      <c r="O494" s="27">
        <v>1512</v>
      </c>
      <c r="P494" s="9">
        <f t="shared" si="41"/>
        <v>-927.72</v>
      </c>
      <c r="Q494" s="9">
        <f>IFERROR(IF(D494=20250,O494/(#REF!/30),O494/(I494/30)),0)</f>
        <v>29.836609045702108</v>
      </c>
      <c r="R494" s="9">
        <f t="shared" si="42"/>
        <v>17.996684821217144</v>
      </c>
    </row>
    <row r="495" spans="1:18" ht="13.15" x14ac:dyDescent="0.45">
      <c r="A495" s="15" t="str">
        <f t="shared" si="38"/>
        <v>440021910</v>
      </c>
      <c r="B495" s="19" t="s">
        <v>75</v>
      </c>
      <c r="C495" s="6" t="e">
        <f>_xlfn.XLOOKUP(B:B,#REF!,#REF!)</f>
        <v>#REF!</v>
      </c>
      <c r="D495" s="19" t="s">
        <v>91</v>
      </c>
      <c r="E495" s="6" t="str">
        <f t="shared" si="39"/>
        <v>440021910</v>
      </c>
      <c r="F495" s="19" t="s">
        <v>92</v>
      </c>
      <c r="G495" s="7" t="e">
        <f>VLOOKUP(D495,#REF!,4,)</f>
        <v>#REF!</v>
      </c>
      <c r="H495" s="6" t="e">
        <f>VLOOKUP(D495,#REF!,5,)</f>
        <v>#REF!</v>
      </c>
      <c r="I495" s="27">
        <v>92.04</v>
      </c>
      <c r="J495" s="27">
        <v>180</v>
      </c>
      <c r="K495" s="8">
        <f t="shared" si="40"/>
        <v>1.9556714471968708</v>
      </c>
      <c r="L495" s="27">
        <v>0</v>
      </c>
      <c r="M495" s="21"/>
      <c r="N495" s="27">
        <v>696</v>
      </c>
      <c r="O495" s="27">
        <v>696</v>
      </c>
      <c r="P495" s="9">
        <f t="shared" si="41"/>
        <v>-783.96</v>
      </c>
      <c r="Q495" s="9">
        <f>IFERROR(IF(D495=20250,O495/(#REF!/30),O495/(I495/30)),0)</f>
        <v>226.85788787483702</v>
      </c>
      <c r="R495" s="9">
        <f t="shared" si="42"/>
        <v>226.85788787483702</v>
      </c>
    </row>
    <row r="496" spans="1:18" ht="13.15" x14ac:dyDescent="0.45">
      <c r="A496" s="15" t="str">
        <f t="shared" si="38"/>
        <v>440023081</v>
      </c>
      <c r="B496" s="19" t="s">
        <v>75</v>
      </c>
      <c r="C496" s="6" t="e">
        <f>_xlfn.XLOOKUP(B:B,#REF!,#REF!)</f>
        <v>#REF!</v>
      </c>
      <c r="D496" s="19" t="s">
        <v>96</v>
      </c>
      <c r="E496" s="6" t="str">
        <f t="shared" si="39"/>
        <v>440023081</v>
      </c>
      <c r="F496" s="19" t="s">
        <v>97</v>
      </c>
      <c r="G496" s="7" t="e">
        <f>VLOOKUP(D496,#REF!,4,)</f>
        <v>#REF!</v>
      </c>
      <c r="H496" s="6" t="e">
        <f>VLOOKUP(D496,#REF!,5,)</f>
        <v>#REF!</v>
      </c>
      <c r="I496" s="27">
        <v>215.76</v>
      </c>
      <c r="J496" s="27">
        <v>144</v>
      </c>
      <c r="K496" s="8">
        <f t="shared" si="40"/>
        <v>0.66740823136818694</v>
      </c>
      <c r="L496" s="27">
        <v>0</v>
      </c>
      <c r="M496" s="21"/>
      <c r="N496" s="27">
        <v>264</v>
      </c>
      <c r="O496" s="27">
        <v>264</v>
      </c>
      <c r="P496" s="9">
        <f t="shared" si="41"/>
        <v>-192.24</v>
      </c>
      <c r="Q496" s="9">
        <f>IFERROR(IF(D496=20250,O496/(#REF!/30),O496/(I496/30)),0)</f>
        <v>36.707452725250285</v>
      </c>
      <c r="R496" s="9">
        <f t="shared" si="42"/>
        <v>36.707452725250285</v>
      </c>
    </row>
    <row r="497" spans="1:18" ht="13.15" x14ac:dyDescent="0.45">
      <c r="A497" s="15" t="str">
        <f t="shared" si="38"/>
        <v>440023401</v>
      </c>
      <c r="B497" s="19" t="s">
        <v>75</v>
      </c>
      <c r="C497" s="6" t="e">
        <f>_xlfn.XLOOKUP(B:B,#REF!,#REF!)</f>
        <v>#REF!</v>
      </c>
      <c r="D497" s="19" t="s">
        <v>98</v>
      </c>
      <c r="E497" s="6" t="str">
        <f t="shared" si="39"/>
        <v>440023401</v>
      </c>
      <c r="F497" s="19" t="s">
        <v>99</v>
      </c>
      <c r="G497" s="7" t="e">
        <f>VLOOKUP(D497,#REF!,4,)</f>
        <v>#REF!</v>
      </c>
      <c r="H497" s="6" t="e">
        <f>VLOOKUP(D497,#REF!,5,)</f>
        <v>#REF!</v>
      </c>
      <c r="I497" s="27">
        <v>5957.4</v>
      </c>
      <c r="J497" s="27">
        <v>2808</v>
      </c>
      <c r="K497" s="8">
        <f t="shared" si="40"/>
        <v>0.47134656058011887</v>
      </c>
      <c r="L497" s="27">
        <v>4800</v>
      </c>
      <c r="M497" s="21">
        <v>46167</v>
      </c>
      <c r="N497" s="27">
        <v>3168</v>
      </c>
      <c r="O497" s="27">
        <v>7968</v>
      </c>
      <c r="P497" s="9">
        <f t="shared" si="41"/>
        <v>-4818.6000000000004</v>
      </c>
      <c r="Q497" s="9">
        <f>IFERROR(IF(D497=20250,O497/(#REF!/30),O497/(I497/30)),0)</f>
        <v>40.124886695538322</v>
      </c>
      <c r="R497" s="9">
        <f t="shared" si="42"/>
        <v>15.953268204250177</v>
      </c>
    </row>
    <row r="498" spans="1:18" ht="13.15" x14ac:dyDescent="0.45">
      <c r="A498" s="15" t="str">
        <f t="shared" si="38"/>
        <v>440024768</v>
      </c>
      <c r="B498" s="19" t="s">
        <v>75</v>
      </c>
      <c r="C498" s="6" t="e">
        <f>_xlfn.XLOOKUP(B:B,#REF!,#REF!)</f>
        <v>#REF!</v>
      </c>
      <c r="D498" s="19" t="s">
        <v>111</v>
      </c>
      <c r="E498" s="6" t="str">
        <f t="shared" si="39"/>
        <v>440024768</v>
      </c>
      <c r="F498" s="19" t="s">
        <v>112</v>
      </c>
      <c r="G498" s="7" t="e">
        <f>VLOOKUP(D498,#REF!,4,)</f>
        <v>#REF!</v>
      </c>
      <c r="H498" s="6" t="e">
        <f>VLOOKUP(D498,#REF!,5,)</f>
        <v>#REF!</v>
      </c>
      <c r="I498" s="27">
        <v>3348.36</v>
      </c>
      <c r="J498" s="27">
        <v>1152</v>
      </c>
      <c r="K498" s="8">
        <f t="shared" si="40"/>
        <v>0.34404902698634554</v>
      </c>
      <c r="L498" s="27">
        <v>0</v>
      </c>
      <c r="M498" s="21"/>
      <c r="N498" s="27">
        <v>3336</v>
      </c>
      <c r="O498" s="27">
        <v>3336</v>
      </c>
      <c r="P498" s="9">
        <f t="shared" si="41"/>
        <v>-1139.6399999999999</v>
      </c>
      <c r="Q498" s="9">
        <f>IFERROR(IF(D498=20250,O498/(#REF!/30),O498/(I498/30)),0)</f>
        <v>29.889259219438767</v>
      </c>
      <c r="R498" s="9">
        <f t="shared" si="42"/>
        <v>29.889259219438767</v>
      </c>
    </row>
    <row r="499" spans="1:18" ht="13.15" x14ac:dyDescent="0.45">
      <c r="A499" s="15" t="str">
        <f t="shared" si="38"/>
        <v>440025570</v>
      </c>
      <c r="B499" s="19" t="s">
        <v>75</v>
      </c>
      <c r="C499" s="6" t="e">
        <f>_xlfn.XLOOKUP(B:B,#REF!,#REF!)</f>
        <v>#REF!</v>
      </c>
      <c r="D499" s="19" t="s">
        <v>116</v>
      </c>
      <c r="E499" s="6" t="str">
        <f t="shared" si="39"/>
        <v>440025570</v>
      </c>
      <c r="F499" s="19" t="s">
        <v>118</v>
      </c>
      <c r="G499" s="7" t="e">
        <f>VLOOKUP(D499,#REF!,4,)</f>
        <v>#REF!</v>
      </c>
      <c r="H499" s="6" t="e">
        <f>VLOOKUP(D499,#REF!,5,)</f>
        <v>#REF!</v>
      </c>
      <c r="I499" s="27">
        <v>2178.48</v>
      </c>
      <c r="J499" s="27">
        <v>1296</v>
      </c>
      <c r="K499" s="8">
        <f t="shared" si="40"/>
        <v>0.59491021262531674</v>
      </c>
      <c r="L499" s="27">
        <v>1008</v>
      </c>
      <c r="M499" s="21">
        <v>46169</v>
      </c>
      <c r="N499" s="27">
        <v>2220</v>
      </c>
      <c r="O499" s="27">
        <v>3228</v>
      </c>
      <c r="P499" s="9">
        <f t="shared" si="41"/>
        <v>-2345.52</v>
      </c>
      <c r="Q499" s="9">
        <f>IFERROR(IF(D499=20250,O499/(#REF!/30),O499/(I499/30)),0)</f>
        <v>44.453013110058393</v>
      </c>
      <c r="R499" s="9">
        <f t="shared" si="42"/>
        <v>30.571774815467666</v>
      </c>
    </row>
    <row r="500" spans="1:18" ht="13.15" x14ac:dyDescent="0.45">
      <c r="A500" s="15" t="str">
        <f t="shared" si="38"/>
        <v>440025598</v>
      </c>
      <c r="B500" s="19" t="s">
        <v>75</v>
      </c>
      <c r="C500" s="6" t="e">
        <f>_xlfn.XLOOKUP(B:B,#REF!,#REF!)</f>
        <v>#REF!</v>
      </c>
      <c r="D500" s="19" t="s">
        <v>117</v>
      </c>
      <c r="E500" s="6" t="str">
        <f t="shared" si="39"/>
        <v>440025598</v>
      </c>
      <c r="F500" s="19" t="s">
        <v>119</v>
      </c>
      <c r="G500" s="7" t="e">
        <f>VLOOKUP(D500,#REF!,4,)</f>
        <v>#REF!</v>
      </c>
      <c r="H500" s="6" t="e">
        <f>VLOOKUP(D500,#REF!,5,)</f>
        <v>#REF!</v>
      </c>
      <c r="I500" s="27">
        <v>1846.92</v>
      </c>
      <c r="J500" s="27">
        <v>972</v>
      </c>
      <c r="K500" s="8">
        <f t="shared" si="40"/>
        <v>0.52628159313884737</v>
      </c>
      <c r="L500" s="27">
        <v>1200</v>
      </c>
      <c r="M500" s="21">
        <v>46169</v>
      </c>
      <c r="N500" s="27">
        <v>156</v>
      </c>
      <c r="O500" s="27">
        <v>1356</v>
      </c>
      <c r="P500" s="9">
        <f t="shared" si="41"/>
        <v>-481.07999999999993</v>
      </c>
      <c r="Q500" s="9">
        <f>IFERROR(IF(D500=20250,O500/(#REF!/30),O500/(I500/30)),0)</f>
        <v>22.025859268403611</v>
      </c>
      <c r="R500" s="9">
        <f t="shared" si="42"/>
        <v>2.533948411409265</v>
      </c>
    </row>
    <row r="501" spans="1:18" ht="13.15" x14ac:dyDescent="0.45">
      <c r="A501" s="15" t="str">
        <f t="shared" si="38"/>
        <v>440025616</v>
      </c>
      <c r="B501" s="19" t="s">
        <v>75</v>
      </c>
      <c r="C501" s="6" t="e">
        <f>_xlfn.XLOOKUP(B:B,#REF!,#REF!)</f>
        <v>#REF!</v>
      </c>
      <c r="D501" s="19" t="s">
        <v>114</v>
      </c>
      <c r="E501" s="6" t="str">
        <f t="shared" si="39"/>
        <v>440025616</v>
      </c>
      <c r="F501" s="19" t="s">
        <v>115</v>
      </c>
      <c r="G501" s="7" t="e">
        <f>VLOOKUP(D501,#REF!,4,)</f>
        <v>#REF!</v>
      </c>
      <c r="H501" s="6" t="e">
        <f>VLOOKUP(D501,#REF!,5,)</f>
        <v>#REF!</v>
      </c>
      <c r="I501" s="27">
        <v>35359.699999999997</v>
      </c>
      <c r="J501" s="27">
        <v>4200</v>
      </c>
      <c r="K501" s="8">
        <f t="shared" si="40"/>
        <v>0.11877928828581691</v>
      </c>
      <c r="L501" s="27">
        <v>0</v>
      </c>
      <c r="M501" s="21"/>
      <c r="N501" s="27">
        <v>34680</v>
      </c>
      <c r="O501" s="27">
        <v>34680</v>
      </c>
      <c r="P501" s="9">
        <f t="shared" si="41"/>
        <v>-3520.3000000000029</v>
      </c>
      <c r="Q501" s="9">
        <f>IFERROR(IF(D501=20250,O501/(#REF!/30),O501/(I501/30)),0)</f>
        <v>29.423326555372363</v>
      </c>
      <c r="R501" s="9">
        <f t="shared" si="42"/>
        <v>29.423326555372363</v>
      </c>
    </row>
    <row r="502" spans="1:18" ht="13.15" x14ac:dyDescent="0.45">
      <c r="A502" s="15" t="str">
        <f t="shared" si="38"/>
        <v>440106151</v>
      </c>
      <c r="B502" s="19" t="s">
        <v>76</v>
      </c>
      <c r="C502" s="6" t="e">
        <f>_xlfn.XLOOKUP(B:B,#REF!,#REF!)</f>
        <v>#REF!</v>
      </c>
      <c r="D502" s="19" t="s">
        <v>23</v>
      </c>
      <c r="E502" s="6" t="str">
        <f t="shared" si="39"/>
        <v>440106151</v>
      </c>
      <c r="F502" s="19" t="s">
        <v>24</v>
      </c>
      <c r="G502" s="7" t="e">
        <f>VLOOKUP(D502,#REF!,4,)</f>
        <v>#REF!</v>
      </c>
      <c r="H502" s="6" t="e">
        <f>VLOOKUP(D502,#REF!,5,)</f>
        <v>#REF!</v>
      </c>
      <c r="I502" s="27">
        <v>49792.56</v>
      </c>
      <c r="J502" s="27">
        <v>35676</v>
      </c>
      <c r="K502" s="8">
        <f t="shared" si="40"/>
        <v>0.71649258443430108</v>
      </c>
      <c r="L502" s="27">
        <v>11076</v>
      </c>
      <c r="M502" s="21">
        <v>46164</v>
      </c>
      <c r="N502" s="27">
        <v>2340</v>
      </c>
      <c r="O502" s="27">
        <v>13416</v>
      </c>
      <c r="P502" s="9">
        <f t="shared" si="41"/>
        <v>700.55999999999767</v>
      </c>
      <c r="Q502" s="9">
        <f>IFERROR(IF(D502=20250,O502/(#REF!/30),O502/(I502/30)),0)</f>
        <v>8.0831353117815201</v>
      </c>
      <c r="R502" s="9">
        <f t="shared" si="42"/>
        <v>1.4098491822874744</v>
      </c>
    </row>
    <row r="503" spans="1:18" ht="13.15" x14ac:dyDescent="0.45">
      <c r="A503" s="15" t="str">
        <f t="shared" si="38"/>
        <v>440113490</v>
      </c>
      <c r="B503" s="19" t="s">
        <v>76</v>
      </c>
      <c r="C503" s="6" t="e">
        <f>_xlfn.XLOOKUP(B:B,#REF!,#REF!)</f>
        <v>#REF!</v>
      </c>
      <c r="D503" s="19" t="s">
        <v>27</v>
      </c>
      <c r="E503" s="6" t="str">
        <f t="shared" si="39"/>
        <v>440113490</v>
      </c>
      <c r="F503" s="19" t="s">
        <v>28</v>
      </c>
      <c r="G503" s="7" t="e">
        <f>VLOOKUP(D503,#REF!,4,)</f>
        <v>#REF!</v>
      </c>
      <c r="H503" s="6" t="e">
        <f>VLOOKUP(D503,#REF!,5,)</f>
        <v>#REF!</v>
      </c>
      <c r="I503" s="27">
        <v>8175.4</v>
      </c>
      <c r="J503" s="27">
        <v>7220</v>
      </c>
      <c r="K503" s="8">
        <f t="shared" si="40"/>
        <v>0.88313721652763166</v>
      </c>
      <c r="L503" s="27">
        <v>0</v>
      </c>
      <c r="M503" s="21"/>
      <c r="N503" s="27">
        <v>5750</v>
      </c>
      <c r="O503" s="27">
        <v>5750</v>
      </c>
      <c r="P503" s="9">
        <f t="shared" si="41"/>
        <v>-4794.6000000000004</v>
      </c>
      <c r="Q503" s="9">
        <f>IFERROR(IF(D503=20250,O503/(#REF!/30),O503/(I503/30)),0)</f>
        <v>21.09988502091641</v>
      </c>
      <c r="R503" s="9">
        <f t="shared" si="42"/>
        <v>21.09988502091641</v>
      </c>
    </row>
    <row r="504" spans="1:18" ht="13.15" x14ac:dyDescent="0.45">
      <c r="A504" s="15" t="str">
        <f t="shared" si="38"/>
        <v>440115300</v>
      </c>
      <c r="B504" s="19" t="s">
        <v>76</v>
      </c>
      <c r="C504" s="6" t="e">
        <f>_xlfn.XLOOKUP(B:B,#REF!,#REF!)</f>
        <v>#REF!</v>
      </c>
      <c r="D504" s="19" t="s">
        <v>31</v>
      </c>
      <c r="E504" s="6" t="str">
        <f t="shared" si="39"/>
        <v>440115300</v>
      </c>
      <c r="F504" s="19" t="s">
        <v>32</v>
      </c>
      <c r="G504" s="7" t="e">
        <f>VLOOKUP(D504,#REF!,4,)</f>
        <v>#REF!</v>
      </c>
      <c r="H504" s="6" t="e">
        <f>VLOOKUP(D504,#REF!,5,)</f>
        <v>#REF!</v>
      </c>
      <c r="I504" s="27">
        <v>221.58</v>
      </c>
      <c r="J504" s="27">
        <v>207</v>
      </c>
      <c r="K504" s="8">
        <f t="shared" si="40"/>
        <v>0.93419983753046298</v>
      </c>
      <c r="L504" s="27">
        <v>0</v>
      </c>
      <c r="M504" s="21"/>
      <c r="N504" s="27">
        <v>252</v>
      </c>
      <c r="O504" s="27">
        <v>252</v>
      </c>
      <c r="P504" s="9">
        <f t="shared" si="41"/>
        <v>-237.42</v>
      </c>
      <c r="Q504" s="9">
        <f>IFERROR(IF(D504=20250,O504/(#REF!/30),O504/(I504/30)),0)</f>
        <v>34.118602761982125</v>
      </c>
      <c r="R504" s="9">
        <f t="shared" si="42"/>
        <v>34.118602761982125</v>
      </c>
    </row>
    <row r="505" spans="1:18" ht="13.15" x14ac:dyDescent="0.45">
      <c r="A505" s="15" t="str">
        <f t="shared" si="38"/>
        <v>440119690</v>
      </c>
      <c r="B505" s="19" t="s">
        <v>76</v>
      </c>
      <c r="C505" s="6" t="e">
        <f>_xlfn.XLOOKUP(B:B,#REF!,#REF!)</f>
        <v>#REF!</v>
      </c>
      <c r="D505" s="19" t="s">
        <v>66</v>
      </c>
      <c r="E505" s="6" t="str">
        <f t="shared" si="39"/>
        <v>440119690</v>
      </c>
      <c r="F505" s="19" t="s">
        <v>67</v>
      </c>
      <c r="G505" s="7" t="e">
        <f>VLOOKUP(D505,#REF!,4,)</f>
        <v>#REF!</v>
      </c>
      <c r="H505" s="6" t="e">
        <f>VLOOKUP(D505,#REF!,5,)</f>
        <v>#REF!</v>
      </c>
      <c r="I505" s="27">
        <v>209.76</v>
      </c>
      <c r="J505" s="27">
        <v>252</v>
      </c>
      <c r="K505" s="8">
        <f t="shared" si="40"/>
        <v>1.2013729977116705</v>
      </c>
      <c r="L505" s="27">
        <v>0</v>
      </c>
      <c r="M505" s="21"/>
      <c r="N505" s="27">
        <v>816</v>
      </c>
      <c r="O505" s="27">
        <v>816</v>
      </c>
      <c r="P505" s="9">
        <f t="shared" si="41"/>
        <v>-858.24</v>
      </c>
      <c r="Q505" s="9">
        <f>IFERROR(IF(D505=20250,O505/(#REF!/30),O505/(I505/30)),0)</f>
        <v>116.70480549199085</v>
      </c>
      <c r="R505" s="9">
        <f t="shared" si="42"/>
        <v>116.70480549199085</v>
      </c>
    </row>
    <row r="506" spans="1:18" ht="13.15" x14ac:dyDescent="0.45">
      <c r="A506" s="15" t="str">
        <f t="shared" si="38"/>
        <v>440120661</v>
      </c>
      <c r="B506" s="19" t="s">
        <v>76</v>
      </c>
      <c r="C506" s="6" t="e">
        <f>_xlfn.XLOOKUP(B:B,#REF!,#REF!)</f>
        <v>#REF!</v>
      </c>
      <c r="D506" s="19" t="s">
        <v>88</v>
      </c>
      <c r="E506" s="6" t="str">
        <f t="shared" si="39"/>
        <v>440120661</v>
      </c>
      <c r="F506" s="19" t="s">
        <v>89</v>
      </c>
      <c r="G506" s="7" t="e">
        <f>VLOOKUP(D506,#REF!,4,)</f>
        <v>#REF!</v>
      </c>
      <c r="H506" s="6" t="e">
        <f>VLOOKUP(D506,#REF!,5,)</f>
        <v>#REF!</v>
      </c>
      <c r="I506" s="27">
        <v>8843.4</v>
      </c>
      <c r="J506" s="27">
        <v>7176</v>
      </c>
      <c r="K506" s="8">
        <f t="shared" si="40"/>
        <v>0.81145260872515101</v>
      </c>
      <c r="L506" s="27">
        <v>0</v>
      </c>
      <c r="M506" s="21"/>
      <c r="N506" s="27">
        <v>3972</v>
      </c>
      <c r="O506" s="27">
        <v>3972</v>
      </c>
      <c r="P506" s="9">
        <f t="shared" si="41"/>
        <v>-2304.6000000000004</v>
      </c>
      <c r="Q506" s="9">
        <f>IFERROR(IF(D506=20250,O506/(#REF!/30),O506/(I506/30)),0)</f>
        <v>13.474455526155101</v>
      </c>
      <c r="R506" s="9">
        <f t="shared" si="42"/>
        <v>13.474455526155101</v>
      </c>
    </row>
    <row r="507" spans="1:18" ht="13.15" x14ac:dyDescent="0.45">
      <c r="A507" s="15" t="str">
        <f t="shared" si="38"/>
        <v>440123638</v>
      </c>
      <c r="B507" s="19" t="s">
        <v>76</v>
      </c>
      <c r="C507" s="6" t="e">
        <f>_xlfn.XLOOKUP(B:B,#REF!,#REF!)</f>
        <v>#REF!</v>
      </c>
      <c r="D507" s="19" t="s">
        <v>100</v>
      </c>
      <c r="E507" s="6" t="str">
        <f t="shared" si="39"/>
        <v>440123638</v>
      </c>
      <c r="F507" s="19" t="s">
        <v>101</v>
      </c>
      <c r="G507" s="7" t="e">
        <f>VLOOKUP(D507,#REF!,4,)</f>
        <v>#REF!</v>
      </c>
      <c r="H507" s="6" t="e">
        <f>VLOOKUP(D507,#REF!,5,)</f>
        <v>#REF!</v>
      </c>
      <c r="I507" s="27">
        <v>7398.48</v>
      </c>
      <c r="J507" s="27">
        <v>4296</v>
      </c>
      <c r="K507" s="8">
        <f t="shared" si="40"/>
        <v>0.58065981120446364</v>
      </c>
      <c r="L507" s="27">
        <v>0</v>
      </c>
      <c r="M507" s="21"/>
      <c r="N507" s="27">
        <v>12396</v>
      </c>
      <c r="O507" s="27">
        <v>12396</v>
      </c>
      <c r="P507" s="9">
        <f t="shared" si="41"/>
        <v>-9293.52</v>
      </c>
      <c r="Q507" s="9">
        <f>IFERROR(IF(D507=20250,O507/(#REF!/30),O507/(I507/30)),0)</f>
        <v>50.264378629123826</v>
      </c>
      <c r="R507" s="9">
        <f t="shared" si="42"/>
        <v>50.264378629123826</v>
      </c>
    </row>
    <row r="508" spans="1:18" ht="13.15" x14ac:dyDescent="0.45">
      <c r="A508" s="15" t="str">
        <f t="shared" si="38"/>
        <v>440125885</v>
      </c>
      <c r="B508" s="19" t="s">
        <v>76</v>
      </c>
      <c r="C508" s="6" t="e">
        <f>_xlfn.XLOOKUP(B:B,#REF!,#REF!)</f>
        <v>#REF!</v>
      </c>
      <c r="D508" s="19" t="s">
        <v>122</v>
      </c>
      <c r="E508" s="6" t="str">
        <f t="shared" si="39"/>
        <v>440125885</v>
      </c>
      <c r="F508" s="19" t="s">
        <v>123</v>
      </c>
      <c r="G508" s="7" t="e">
        <f>VLOOKUP(D508,#REF!,4,)</f>
        <v>#REF!</v>
      </c>
      <c r="H508" s="6" t="e">
        <f>VLOOKUP(D508,#REF!,5,)</f>
        <v>#REF!</v>
      </c>
      <c r="I508" s="27">
        <v>2799.96</v>
      </c>
      <c r="J508" s="27">
        <v>2472</v>
      </c>
      <c r="K508" s="8">
        <f t="shared" si="40"/>
        <v>0.88286975528221834</v>
      </c>
      <c r="L508" s="27">
        <v>2796</v>
      </c>
      <c r="M508" s="21">
        <v>46167</v>
      </c>
      <c r="N508" s="27">
        <v>360</v>
      </c>
      <c r="O508" s="27">
        <v>3156</v>
      </c>
      <c r="P508" s="9">
        <f t="shared" si="41"/>
        <v>-2828.04</v>
      </c>
      <c r="Q508" s="9">
        <f>IFERROR(IF(D508=20250,O508/(#REF!/30),O508/(I508/30)),0)</f>
        <v>33.814768782411171</v>
      </c>
      <c r="R508" s="9">
        <f t="shared" si="42"/>
        <v>3.8571979599708563</v>
      </c>
    </row>
    <row r="509" spans="1:18" ht="13.15" x14ac:dyDescent="0.45">
      <c r="A509" s="15" t="str">
        <f t="shared" si="38"/>
        <v>440126192</v>
      </c>
      <c r="B509" s="19" t="s">
        <v>76</v>
      </c>
      <c r="C509" s="6" t="e">
        <f>_xlfn.XLOOKUP(B:B,#REF!,#REF!)</f>
        <v>#REF!</v>
      </c>
      <c r="D509" s="19" t="s">
        <v>129</v>
      </c>
      <c r="E509" s="6" t="str">
        <f t="shared" si="39"/>
        <v>440126192</v>
      </c>
      <c r="F509" s="19" t="s">
        <v>132</v>
      </c>
      <c r="G509" s="7" t="e">
        <f>VLOOKUP(D509,#REF!,4,)</f>
        <v>#REF!</v>
      </c>
      <c r="H509" s="6" t="e">
        <f>VLOOKUP(D509,#REF!,5,)</f>
        <v>#REF!</v>
      </c>
      <c r="I509" s="27">
        <v>1979.52</v>
      </c>
      <c r="J509" s="27">
        <v>0</v>
      </c>
      <c r="K509" s="8">
        <f t="shared" si="40"/>
        <v>0</v>
      </c>
      <c r="L509" s="27">
        <v>0</v>
      </c>
      <c r="M509" s="21"/>
      <c r="N509" s="27">
        <v>0</v>
      </c>
      <c r="O509" s="27">
        <v>0</v>
      </c>
      <c r="P509" s="9">
        <f t="shared" si="41"/>
        <v>1979.52</v>
      </c>
      <c r="Q509" s="9">
        <f>IFERROR(IF(D509=20250,O509/(#REF!/30),O509/(I509/30)),0)</f>
        <v>0</v>
      </c>
      <c r="R509" s="9">
        <f t="shared" si="42"/>
        <v>0</v>
      </c>
    </row>
    <row r="510" spans="1:18" ht="13.15" x14ac:dyDescent="0.45">
      <c r="A510" s="15" t="str">
        <f t="shared" si="38"/>
        <v>440126193</v>
      </c>
      <c r="B510" s="19" t="s">
        <v>76</v>
      </c>
      <c r="C510" s="6" t="e">
        <f>_xlfn.XLOOKUP(B:B,#REF!,#REF!)</f>
        <v>#REF!</v>
      </c>
      <c r="D510" s="19" t="s">
        <v>130</v>
      </c>
      <c r="E510" s="6" t="str">
        <f t="shared" si="39"/>
        <v>440126193</v>
      </c>
      <c r="F510" s="19" t="s">
        <v>134</v>
      </c>
      <c r="G510" s="7" t="e">
        <f>VLOOKUP(D510,#REF!,4,)</f>
        <v>#REF!</v>
      </c>
      <c r="H510" s="6" t="e">
        <f>VLOOKUP(D510,#REF!,5,)</f>
        <v>#REF!</v>
      </c>
      <c r="I510" s="27">
        <v>0</v>
      </c>
      <c r="J510" s="27">
        <v>2292</v>
      </c>
      <c r="K510" s="8">
        <f t="shared" si="40"/>
        <v>0</v>
      </c>
      <c r="L510" s="27">
        <v>0</v>
      </c>
      <c r="M510" s="21"/>
      <c r="N510" s="27">
        <v>0</v>
      </c>
      <c r="O510" s="27">
        <v>0</v>
      </c>
      <c r="P510" s="9">
        <f t="shared" si="41"/>
        <v>-2292</v>
      </c>
      <c r="Q510" s="9">
        <f>IFERROR(IF(D510=20250,O510/(#REF!/30),O510/(I510/30)),0)</f>
        <v>0</v>
      </c>
      <c r="R510" s="9">
        <f t="shared" si="42"/>
        <v>0</v>
      </c>
    </row>
    <row r="511" spans="1:18" ht="13.15" x14ac:dyDescent="0.45">
      <c r="A511" s="15" t="str">
        <f t="shared" si="38"/>
        <v>440126234</v>
      </c>
      <c r="B511" s="19" t="s">
        <v>76</v>
      </c>
      <c r="C511" s="6" t="e">
        <f>_xlfn.XLOOKUP(B:B,#REF!,#REF!)</f>
        <v>#REF!</v>
      </c>
      <c r="D511" s="19" t="s">
        <v>126</v>
      </c>
      <c r="E511" s="6" t="str">
        <f t="shared" si="39"/>
        <v>440126234</v>
      </c>
      <c r="F511" s="19" t="s">
        <v>127</v>
      </c>
      <c r="G511" s="7" t="e">
        <f>VLOOKUP(D511,#REF!,4,)</f>
        <v>#REF!</v>
      </c>
      <c r="H511" s="6" t="e">
        <f>VLOOKUP(D511,#REF!,5,)</f>
        <v>#REF!</v>
      </c>
      <c r="I511" s="27">
        <v>0</v>
      </c>
      <c r="J511" s="27">
        <v>0</v>
      </c>
      <c r="K511" s="8">
        <f t="shared" si="40"/>
        <v>0</v>
      </c>
      <c r="L511" s="27">
        <v>0</v>
      </c>
      <c r="M511" s="21"/>
      <c r="N511" s="27">
        <v>924</v>
      </c>
      <c r="O511" s="27">
        <v>924</v>
      </c>
      <c r="P511" s="9">
        <f t="shared" si="41"/>
        <v>-924</v>
      </c>
      <c r="Q511" s="9">
        <f>IFERROR(IF(D511=20250,O511/(#REF!/30),O511/(I511/30)),0)</f>
        <v>0</v>
      </c>
      <c r="R511" s="9">
        <f t="shared" si="42"/>
        <v>0</v>
      </c>
    </row>
    <row r="512" spans="1:18" ht="13.15" x14ac:dyDescent="0.45">
      <c r="A512" s="15" t="str">
        <f t="shared" si="38"/>
        <v>440126744</v>
      </c>
      <c r="B512" s="19" t="s">
        <v>76</v>
      </c>
      <c r="C512" s="6" t="e">
        <f>_xlfn.XLOOKUP(B:B,#REF!,#REF!)</f>
        <v>#REF!</v>
      </c>
      <c r="D512" s="19" t="s">
        <v>135</v>
      </c>
      <c r="E512" s="6" t="str">
        <f t="shared" si="39"/>
        <v>440126744</v>
      </c>
      <c r="F512" s="19" t="s">
        <v>137</v>
      </c>
      <c r="G512" s="7" t="e">
        <f>VLOOKUP(D512,#REF!,4,)</f>
        <v>#REF!</v>
      </c>
      <c r="H512" s="6" t="e">
        <f>VLOOKUP(D512,#REF!,5,)</f>
        <v>#REF!</v>
      </c>
      <c r="I512" s="27">
        <v>0</v>
      </c>
      <c r="J512" s="27">
        <v>0</v>
      </c>
      <c r="K512" s="8">
        <f t="shared" si="40"/>
        <v>0</v>
      </c>
      <c r="L512" s="27">
        <v>0</v>
      </c>
      <c r="M512" s="21"/>
      <c r="N512" s="27">
        <v>96</v>
      </c>
      <c r="O512" s="27">
        <v>96</v>
      </c>
      <c r="P512" s="9">
        <f t="shared" si="41"/>
        <v>-96</v>
      </c>
      <c r="Q512" s="9">
        <f>IFERROR(IF(D512=20250,O512/(#REF!/30),O512/(I512/30)),0)</f>
        <v>0</v>
      </c>
      <c r="R512" s="9">
        <f t="shared" si="42"/>
        <v>0</v>
      </c>
    </row>
    <row r="513" spans="1:18" ht="13.15" x14ac:dyDescent="0.45">
      <c r="A513" s="15" t="str">
        <f t="shared" si="38"/>
        <v>440126745</v>
      </c>
      <c r="B513" s="19" t="s">
        <v>76</v>
      </c>
      <c r="C513" s="6" t="e">
        <f>_xlfn.XLOOKUP(B:B,#REF!,#REF!)</f>
        <v>#REF!</v>
      </c>
      <c r="D513" s="19" t="s">
        <v>136</v>
      </c>
      <c r="E513" s="6" t="str">
        <f t="shared" si="39"/>
        <v>440126745</v>
      </c>
      <c r="F513" s="19" t="s">
        <v>138</v>
      </c>
      <c r="G513" s="7" t="e">
        <f>VLOOKUP(D513,#REF!,4,)</f>
        <v>#REF!</v>
      </c>
      <c r="H513" s="6" t="e">
        <f>VLOOKUP(D513,#REF!,5,)</f>
        <v>#REF!</v>
      </c>
      <c r="I513" s="27">
        <v>0</v>
      </c>
      <c r="J513" s="27">
        <v>0</v>
      </c>
      <c r="K513" s="8">
        <f t="shared" si="40"/>
        <v>0</v>
      </c>
      <c r="L513" s="27">
        <v>0</v>
      </c>
      <c r="M513" s="21"/>
      <c r="N513" s="27">
        <v>492</v>
      </c>
      <c r="O513" s="27">
        <v>492</v>
      </c>
      <c r="P513" s="9">
        <f t="shared" si="41"/>
        <v>-492</v>
      </c>
      <c r="Q513" s="9">
        <f>IFERROR(IF(D513=20250,O513/(#REF!/30),O513/(I513/30)),0)</f>
        <v>0</v>
      </c>
      <c r="R513" s="9">
        <f t="shared" si="42"/>
        <v>0</v>
      </c>
    </row>
    <row r="514" spans="1:18" ht="13.15" x14ac:dyDescent="0.45">
      <c r="A514" s="15" t="str">
        <f t="shared" si="38"/>
        <v>440104145</v>
      </c>
      <c r="B514" s="19" t="s">
        <v>76</v>
      </c>
      <c r="C514" s="6" t="e">
        <f>_xlfn.XLOOKUP(B:B,#REF!,#REF!)</f>
        <v>#REF!</v>
      </c>
      <c r="D514" s="19" t="s">
        <v>25</v>
      </c>
      <c r="E514" s="6" t="str">
        <f t="shared" si="39"/>
        <v>440104145</v>
      </c>
      <c r="F514" s="19" t="s">
        <v>26</v>
      </c>
      <c r="G514" s="7" t="e">
        <f>VLOOKUP(D514,#REF!,4,)</f>
        <v>#REF!</v>
      </c>
      <c r="H514" s="6" t="e">
        <f>VLOOKUP(D514,#REF!,5,)</f>
        <v>#REF!</v>
      </c>
      <c r="I514" s="27">
        <v>299.79000000000002</v>
      </c>
      <c r="J514" s="27">
        <v>306</v>
      </c>
      <c r="K514" s="8">
        <f t="shared" si="40"/>
        <v>1.020714500150105</v>
      </c>
      <c r="L514" s="27">
        <v>0</v>
      </c>
      <c r="M514" s="21"/>
      <c r="N514" s="27">
        <v>288</v>
      </c>
      <c r="O514" s="27">
        <v>288</v>
      </c>
      <c r="P514" s="9">
        <f t="shared" si="41"/>
        <v>-294.20999999999998</v>
      </c>
      <c r="Q514" s="9">
        <f>IFERROR(IF(D514=20250,O514/(#REF!/30),O514/(I514/30)),0)</f>
        <v>28.820174121885319</v>
      </c>
      <c r="R514" s="9">
        <f t="shared" si="42"/>
        <v>28.820174121885319</v>
      </c>
    </row>
    <row r="515" spans="1:18" ht="13.15" x14ac:dyDescent="0.45">
      <c r="A515" s="15" t="str">
        <f t="shared" si="38"/>
        <v>440114248</v>
      </c>
      <c r="B515" s="19" t="s">
        <v>76</v>
      </c>
      <c r="C515" s="6" t="e">
        <f>_xlfn.XLOOKUP(B:B,#REF!,#REF!)</f>
        <v>#REF!</v>
      </c>
      <c r="D515" s="19" t="s">
        <v>29</v>
      </c>
      <c r="E515" s="6" t="str">
        <f t="shared" si="39"/>
        <v>440114248</v>
      </c>
      <c r="F515" s="19" t="s">
        <v>30</v>
      </c>
      <c r="G515" s="7" t="e">
        <f>VLOOKUP(D515,#REF!,4,)</f>
        <v>#REF!</v>
      </c>
      <c r="H515" s="6" t="e">
        <f>VLOOKUP(D515,#REF!,5,)</f>
        <v>#REF!</v>
      </c>
      <c r="I515" s="27">
        <v>1226.2</v>
      </c>
      <c r="J515" s="27">
        <v>780</v>
      </c>
      <c r="K515" s="8">
        <f t="shared" si="40"/>
        <v>0.63611156418202575</v>
      </c>
      <c r="L515" s="27">
        <v>0</v>
      </c>
      <c r="M515" s="21"/>
      <c r="N515" s="27">
        <v>1700</v>
      </c>
      <c r="O515" s="27">
        <v>1700</v>
      </c>
      <c r="P515" s="9">
        <f t="shared" si="41"/>
        <v>-1253.8</v>
      </c>
      <c r="Q515" s="9">
        <f>IFERROR(IF(D515=20250,O515/(#REF!/30),O515/(I515/30)),0)</f>
        <v>41.591909965747838</v>
      </c>
      <c r="R515" s="9">
        <f t="shared" si="42"/>
        <v>41.591909965747838</v>
      </c>
    </row>
    <row r="516" spans="1:18" ht="13.15" x14ac:dyDescent="0.45">
      <c r="A516" s="15" t="str">
        <f t="shared" ref="A516:A579" si="43">B516&amp;D516</f>
        <v>440115305</v>
      </c>
      <c r="B516" s="19" t="s">
        <v>76</v>
      </c>
      <c r="C516" s="6" t="e">
        <f>_xlfn.XLOOKUP(B:B,#REF!,#REF!)</f>
        <v>#REF!</v>
      </c>
      <c r="D516" s="19" t="s">
        <v>33</v>
      </c>
      <c r="E516" s="6" t="str">
        <f t="shared" ref="E516:E579" si="44">B516&amp;D516</f>
        <v>440115305</v>
      </c>
      <c r="F516" s="19" t="s">
        <v>34</v>
      </c>
      <c r="G516" s="7" t="e">
        <f>VLOOKUP(D516,#REF!,4,)</f>
        <v>#REF!</v>
      </c>
      <c r="H516" s="6" t="e">
        <f>VLOOKUP(D516,#REF!,5,)</f>
        <v>#REF!</v>
      </c>
      <c r="I516" s="27">
        <v>78.03</v>
      </c>
      <c r="J516" s="27">
        <v>108</v>
      </c>
      <c r="K516" s="8">
        <f t="shared" ref="K516:K579" si="45">IFERROR(J516/I516,0)</f>
        <v>1.3840830449826989</v>
      </c>
      <c r="L516" s="27">
        <v>0</v>
      </c>
      <c r="M516" s="21"/>
      <c r="N516" s="27">
        <v>72</v>
      </c>
      <c r="O516" s="27">
        <v>72</v>
      </c>
      <c r="P516" s="9">
        <f t="shared" ref="P516:P579" si="46">I516-J516-O516</f>
        <v>-101.97</v>
      </c>
      <c r="Q516" s="9">
        <f>IFERROR(IF(D516=20250,O516/(#REF!/30),O516/(I516/30)),0)</f>
        <v>27.681660899653981</v>
      </c>
      <c r="R516" s="9">
        <f t="shared" ref="R516:R579" si="47">IFERROR(N516/(I516/30),0)</f>
        <v>27.681660899653981</v>
      </c>
    </row>
    <row r="517" spans="1:18" ht="13.15" x14ac:dyDescent="0.45">
      <c r="A517" s="15" t="str">
        <f t="shared" si="43"/>
        <v>440115312</v>
      </c>
      <c r="B517" s="19" t="s">
        <v>76</v>
      </c>
      <c r="C517" s="6" t="e">
        <f>_xlfn.XLOOKUP(B:B,#REF!,#REF!)</f>
        <v>#REF!</v>
      </c>
      <c r="D517" s="19" t="s">
        <v>35</v>
      </c>
      <c r="E517" s="6" t="str">
        <f t="shared" si="44"/>
        <v>440115312</v>
      </c>
      <c r="F517" s="19" t="s">
        <v>36</v>
      </c>
      <c r="G517" s="7" t="e">
        <f>VLOOKUP(D517,#REF!,4,)</f>
        <v>#REF!</v>
      </c>
      <c r="H517" s="6" t="e">
        <f>VLOOKUP(D517,#REF!,5,)</f>
        <v>#REF!</v>
      </c>
      <c r="I517" s="27">
        <v>91.89</v>
      </c>
      <c r="J517" s="27">
        <v>153</v>
      </c>
      <c r="K517" s="8">
        <f t="shared" si="45"/>
        <v>1.6650342801175317</v>
      </c>
      <c r="L517" s="27">
        <v>0</v>
      </c>
      <c r="M517" s="21"/>
      <c r="N517" s="27">
        <v>18</v>
      </c>
      <c r="O517" s="27">
        <v>18</v>
      </c>
      <c r="P517" s="9">
        <f t="shared" si="46"/>
        <v>-79.11</v>
      </c>
      <c r="Q517" s="9">
        <f>IFERROR(IF(D517=20250,O517/(#REF!/30),O517/(I517/30)),0)</f>
        <v>5.8765915768854065</v>
      </c>
      <c r="R517" s="9">
        <f t="shared" si="47"/>
        <v>5.8765915768854065</v>
      </c>
    </row>
    <row r="518" spans="1:18" ht="13.15" x14ac:dyDescent="0.45">
      <c r="A518" s="15" t="str">
        <f t="shared" si="43"/>
        <v>440116407</v>
      </c>
      <c r="B518" s="19" t="s">
        <v>76</v>
      </c>
      <c r="C518" s="6" t="e">
        <f>_xlfn.XLOOKUP(B:B,#REF!,#REF!)</f>
        <v>#REF!</v>
      </c>
      <c r="D518" s="19" t="s">
        <v>37</v>
      </c>
      <c r="E518" s="6" t="str">
        <f t="shared" si="44"/>
        <v>440116407</v>
      </c>
      <c r="F518" s="19" t="s">
        <v>38</v>
      </c>
      <c r="G518" s="7" t="e">
        <f>VLOOKUP(D518,#REF!,4,)</f>
        <v>#REF!</v>
      </c>
      <c r="H518" s="6" t="e">
        <f>VLOOKUP(D518,#REF!,5,)</f>
        <v>#REF!</v>
      </c>
      <c r="I518" s="27">
        <v>415.62</v>
      </c>
      <c r="J518" s="27">
        <v>378</v>
      </c>
      <c r="K518" s="8">
        <f t="shared" si="45"/>
        <v>0.90948462537895192</v>
      </c>
      <c r="L518" s="27">
        <v>0</v>
      </c>
      <c r="M518" s="21"/>
      <c r="N518" s="27">
        <v>558</v>
      </c>
      <c r="O518" s="27">
        <v>558</v>
      </c>
      <c r="P518" s="9">
        <f t="shared" si="46"/>
        <v>-520.38</v>
      </c>
      <c r="Q518" s="9">
        <f>IFERROR(IF(D518=20250,O518/(#REF!/30),O518/(I518/30)),0)</f>
        <v>40.277176266782156</v>
      </c>
      <c r="R518" s="9">
        <f t="shared" si="47"/>
        <v>40.277176266782156</v>
      </c>
    </row>
    <row r="519" spans="1:18" ht="13.15" x14ac:dyDescent="0.45">
      <c r="A519" s="15" t="str">
        <f t="shared" si="43"/>
        <v>440100189</v>
      </c>
      <c r="B519" s="19" t="s">
        <v>76</v>
      </c>
      <c r="C519" s="6" t="e">
        <f>_xlfn.XLOOKUP(B:B,#REF!,#REF!)</f>
        <v>#REF!</v>
      </c>
      <c r="D519" s="19" t="s">
        <v>39</v>
      </c>
      <c r="E519" s="6" t="str">
        <f t="shared" si="44"/>
        <v>440100189</v>
      </c>
      <c r="F519" s="19" t="s">
        <v>109</v>
      </c>
      <c r="G519" s="7" t="e">
        <f>VLOOKUP(D519,#REF!,4,)</f>
        <v>#REF!</v>
      </c>
      <c r="H519" s="6" t="e">
        <f>VLOOKUP(D519,#REF!,5,)</f>
        <v>#REF!</v>
      </c>
      <c r="I519" s="27">
        <v>146227.20000000001</v>
      </c>
      <c r="J519" s="27">
        <v>101484</v>
      </c>
      <c r="K519" s="8">
        <f t="shared" si="45"/>
        <v>0.69401588760504196</v>
      </c>
      <c r="L519" s="27">
        <v>25008</v>
      </c>
      <c r="M519" s="21">
        <v>46168</v>
      </c>
      <c r="N519" s="27">
        <v>16728</v>
      </c>
      <c r="O519" s="27">
        <v>41736</v>
      </c>
      <c r="P519" s="9">
        <f t="shared" si="46"/>
        <v>3007.2000000000116</v>
      </c>
      <c r="Q519" s="9">
        <f>IFERROR(IF(D519=20250,O519/(#REF!/30),O519/(I519/30)),0)</f>
        <v>8.5625656512605026</v>
      </c>
      <c r="R519" s="9">
        <f t="shared" si="47"/>
        <v>3.4319196428571423</v>
      </c>
    </row>
    <row r="520" spans="1:18" ht="13.15" x14ac:dyDescent="0.45">
      <c r="A520" s="15" t="str">
        <f t="shared" si="43"/>
        <v>440101167</v>
      </c>
      <c r="B520" s="19" t="s">
        <v>76</v>
      </c>
      <c r="C520" s="6" t="e">
        <f>_xlfn.XLOOKUP(B:B,#REF!,#REF!)</f>
        <v>#REF!</v>
      </c>
      <c r="D520" s="19" t="s">
        <v>40</v>
      </c>
      <c r="E520" s="6" t="str">
        <f t="shared" si="44"/>
        <v>440101167</v>
      </c>
      <c r="F520" s="19" t="s">
        <v>41</v>
      </c>
      <c r="G520" s="7" t="e">
        <f>VLOOKUP(D520,#REF!,4,)</f>
        <v>#REF!</v>
      </c>
      <c r="H520" s="6" t="e">
        <f>VLOOKUP(D520,#REF!,5,)</f>
        <v>#REF!</v>
      </c>
      <c r="I520" s="27">
        <v>20976.84</v>
      </c>
      <c r="J520" s="27">
        <v>14400</v>
      </c>
      <c r="K520" s="8">
        <f t="shared" si="45"/>
        <v>0.6864713655631639</v>
      </c>
      <c r="L520" s="27">
        <v>600</v>
      </c>
      <c r="M520" s="21">
        <v>46167</v>
      </c>
      <c r="N520" s="27">
        <v>10104</v>
      </c>
      <c r="O520" s="27">
        <v>10704</v>
      </c>
      <c r="P520" s="9">
        <f t="shared" si="46"/>
        <v>-4127.16</v>
      </c>
      <c r="Q520" s="9">
        <f>IFERROR(IF(D520=20250,O520/(#REF!/30),O520/(I520/30)),0)</f>
        <v>15.308311452058557</v>
      </c>
      <c r="R520" s="9">
        <f t="shared" si="47"/>
        <v>14.450222245104602</v>
      </c>
    </row>
    <row r="521" spans="1:18" ht="13.15" x14ac:dyDescent="0.45">
      <c r="A521" s="15" t="str">
        <f t="shared" si="43"/>
        <v>440101296</v>
      </c>
      <c r="B521" s="19" t="s">
        <v>76</v>
      </c>
      <c r="C521" s="6" t="e">
        <f>_xlfn.XLOOKUP(B:B,#REF!,#REF!)</f>
        <v>#REF!</v>
      </c>
      <c r="D521" s="19" t="s">
        <v>14</v>
      </c>
      <c r="E521" s="6" t="str">
        <f t="shared" si="44"/>
        <v>440101296</v>
      </c>
      <c r="F521" s="19" t="s">
        <v>15</v>
      </c>
      <c r="G521" s="7" t="e">
        <f>VLOOKUP(D521,#REF!,4,)</f>
        <v>#REF!</v>
      </c>
      <c r="H521" s="6" t="e">
        <f>VLOOKUP(D521,#REF!,5,)</f>
        <v>#REF!</v>
      </c>
      <c r="I521" s="27">
        <v>7576.68</v>
      </c>
      <c r="J521" s="27">
        <v>3564</v>
      </c>
      <c r="K521" s="8">
        <f t="shared" si="45"/>
        <v>0.47039072522529657</v>
      </c>
      <c r="L521" s="27">
        <v>1008</v>
      </c>
      <c r="M521" s="21">
        <v>46161</v>
      </c>
      <c r="N521" s="27">
        <v>4056</v>
      </c>
      <c r="O521" s="27">
        <v>5064</v>
      </c>
      <c r="P521" s="9">
        <f t="shared" si="46"/>
        <v>-1051.3199999999997</v>
      </c>
      <c r="Q521" s="9">
        <f>IFERROR(IF(D521=20250,O521/(#REF!/30),O521/(I521/30)),0)</f>
        <v>20.050998590411631</v>
      </c>
      <c r="R521" s="9">
        <f t="shared" si="47"/>
        <v>16.059804558196994</v>
      </c>
    </row>
    <row r="522" spans="1:18" ht="13.15" x14ac:dyDescent="0.45">
      <c r="A522" s="15" t="str">
        <f t="shared" si="43"/>
        <v>440102122</v>
      </c>
      <c r="B522" s="19" t="s">
        <v>76</v>
      </c>
      <c r="C522" s="6" t="e">
        <f>_xlfn.XLOOKUP(B:B,#REF!,#REF!)</f>
        <v>#REF!</v>
      </c>
      <c r="D522" s="19" t="s">
        <v>42</v>
      </c>
      <c r="E522" s="6" t="str">
        <f t="shared" si="44"/>
        <v>440102122</v>
      </c>
      <c r="F522" s="19" t="s">
        <v>43</v>
      </c>
      <c r="G522" s="7" t="e">
        <f>VLOOKUP(D522,#REF!,4,)</f>
        <v>#REF!</v>
      </c>
      <c r="H522" s="6" t="e">
        <f>VLOOKUP(D522,#REF!,5,)</f>
        <v>#REF!</v>
      </c>
      <c r="I522" s="27">
        <v>64853.04</v>
      </c>
      <c r="J522" s="27">
        <v>47208</v>
      </c>
      <c r="K522" s="8">
        <f t="shared" si="45"/>
        <v>0.72792270030826622</v>
      </c>
      <c r="L522" s="27">
        <v>20028</v>
      </c>
      <c r="M522" s="21">
        <v>46168</v>
      </c>
      <c r="N522" s="27">
        <v>32796</v>
      </c>
      <c r="O522" s="27">
        <v>52824</v>
      </c>
      <c r="P522" s="9">
        <f t="shared" si="46"/>
        <v>-35178.959999999999</v>
      </c>
      <c r="Q522" s="9">
        <f>IFERROR(IF(D522=20250,O522/(#REF!/30),O522/(I522/30)),0)</f>
        <v>24.435554601603872</v>
      </c>
      <c r="R522" s="9">
        <f t="shared" si="47"/>
        <v>15.170915657924439</v>
      </c>
    </row>
    <row r="523" spans="1:18" ht="13.15" x14ac:dyDescent="0.45">
      <c r="A523" s="15" t="str">
        <f t="shared" si="43"/>
        <v>440105159</v>
      </c>
      <c r="B523" s="19" t="s">
        <v>76</v>
      </c>
      <c r="C523" s="6" t="e">
        <f>_xlfn.XLOOKUP(B:B,#REF!,#REF!)</f>
        <v>#REF!</v>
      </c>
      <c r="D523" s="19" t="s">
        <v>44</v>
      </c>
      <c r="E523" s="6" t="str">
        <f t="shared" si="44"/>
        <v>440105159</v>
      </c>
      <c r="F523" s="19" t="s">
        <v>45</v>
      </c>
      <c r="G523" s="7" t="e">
        <f>VLOOKUP(D523,#REF!,4,)</f>
        <v>#REF!</v>
      </c>
      <c r="H523" s="6" t="e">
        <f>VLOOKUP(D523,#REF!,5,)</f>
        <v>#REF!</v>
      </c>
      <c r="I523" s="27">
        <v>898.56</v>
      </c>
      <c r="J523" s="27">
        <v>408</v>
      </c>
      <c r="K523" s="8">
        <f t="shared" si="45"/>
        <v>0.45405982905982911</v>
      </c>
      <c r="L523" s="27">
        <v>672</v>
      </c>
      <c r="M523" s="21">
        <v>46168</v>
      </c>
      <c r="N523" s="27">
        <v>336</v>
      </c>
      <c r="O523" s="27">
        <v>1008</v>
      </c>
      <c r="P523" s="9">
        <f t="shared" si="46"/>
        <v>-517.44000000000005</v>
      </c>
      <c r="Q523" s="9">
        <f>IFERROR(IF(D523=20250,O523/(#REF!/30),O523/(I523/30)),0)</f>
        <v>33.653846153846153</v>
      </c>
      <c r="R523" s="9">
        <f t="shared" si="47"/>
        <v>11.217948717948719</v>
      </c>
    </row>
    <row r="524" spans="1:18" ht="13.15" x14ac:dyDescent="0.45">
      <c r="A524" s="15" t="str">
        <f t="shared" si="43"/>
        <v>440106982</v>
      </c>
      <c r="B524" s="19" t="s">
        <v>76</v>
      </c>
      <c r="C524" s="6" t="e">
        <f>_xlfn.XLOOKUP(B:B,#REF!,#REF!)</f>
        <v>#REF!</v>
      </c>
      <c r="D524" s="19" t="s">
        <v>46</v>
      </c>
      <c r="E524" s="6" t="str">
        <f t="shared" si="44"/>
        <v>440106982</v>
      </c>
      <c r="F524" s="19" t="s">
        <v>47</v>
      </c>
      <c r="G524" s="7" t="e">
        <f>VLOOKUP(D524,#REF!,4,)</f>
        <v>#REF!</v>
      </c>
      <c r="H524" s="6" t="e">
        <f>VLOOKUP(D524,#REF!,5,)</f>
        <v>#REF!</v>
      </c>
      <c r="I524" s="27">
        <v>12305.4</v>
      </c>
      <c r="J524" s="27">
        <v>7956</v>
      </c>
      <c r="K524" s="8">
        <f t="shared" si="45"/>
        <v>0.64654541908430452</v>
      </c>
      <c r="L524" s="27">
        <v>2400</v>
      </c>
      <c r="M524" s="21">
        <v>46167</v>
      </c>
      <c r="N524" s="27">
        <v>6144</v>
      </c>
      <c r="O524" s="27">
        <v>8544</v>
      </c>
      <c r="P524" s="9">
        <f t="shared" si="46"/>
        <v>-4194.6000000000004</v>
      </c>
      <c r="Q524" s="9">
        <f>IFERROR(IF(D524=20250,O524/(#REF!/30),O524/(I524/30)),0)</f>
        <v>20.829879565068993</v>
      </c>
      <c r="R524" s="9">
        <f t="shared" si="47"/>
        <v>14.978789799600175</v>
      </c>
    </row>
    <row r="525" spans="1:18" ht="13.15" x14ac:dyDescent="0.45">
      <c r="A525" s="15" t="str">
        <f t="shared" si="43"/>
        <v>440107310</v>
      </c>
      <c r="B525" s="19" t="s">
        <v>76</v>
      </c>
      <c r="C525" s="6" t="e">
        <f>_xlfn.XLOOKUP(B:B,#REF!,#REF!)</f>
        <v>#REF!</v>
      </c>
      <c r="D525" s="19" t="s">
        <v>16</v>
      </c>
      <c r="E525" s="6" t="str">
        <f t="shared" si="44"/>
        <v>440107310</v>
      </c>
      <c r="F525" s="19" t="s">
        <v>17</v>
      </c>
      <c r="G525" s="7" t="e">
        <f>VLOOKUP(D525,#REF!,4,)</f>
        <v>#REF!</v>
      </c>
      <c r="H525" s="6" t="e">
        <f>VLOOKUP(D525,#REF!,5,)</f>
        <v>#REF!</v>
      </c>
      <c r="I525" s="27">
        <v>85860</v>
      </c>
      <c r="J525" s="27">
        <v>52776</v>
      </c>
      <c r="K525" s="8">
        <f t="shared" si="45"/>
        <v>0.61467505241090148</v>
      </c>
      <c r="L525" s="27">
        <v>13092</v>
      </c>
      <c r="M525" s="21">
        <v>46168</v>
      </c>
      <c r="N525" s="27">
        <v>49368</v>
      </c>
      <c r="O525" s="27">
        <v>62460</v>
      </c>
      <c r="P525" s="9">
        <f t="shared" si="46"/>
        <v>-29376</v>
      </c>
      <c r="Q525" s="9">
        <f>IFERROR(IF(D525=20250,O525/(#REF!/30),O525/(I525/30)),0)</f>
        <v>21.823899371069182</v>
      </c>
      <c r="R525" s="9">
        <f t="shared" si="47"/>
        <v>17.249475890985323</v>
      </c>
    </row>
    <row r="526" spans="1:18" ht="13.15" x14ac:dyDescent="0.45">
      <c r="A526" s="15" t="str">
        <f t="shared" si="43"/>
        <v>440108529</v>
      </c>
      <c r="B526" s="19" t="s">
        <v>76</v>
      </c>
      <c r="C526" s="6" t="e">
        <f>_xlfn.XLOOKUP(B:B,#REF!,#REF!)</f>
        <v>#REF!</v>
      </c>
      <c r="D526" s="19" t="s">
        <v>48</v>
      </c>
      <c r="E526" s="6" t="str">
        <f t="shared" si="44"/>
        <v>440108529</v>
      </c>
      <c r="F526" s="19" t="s">
        <v>49</v>
      </c>
      <c r="G526" s="7" t="e">
        <f>VLOOKUP(D526,#REF!,4,)</f>
        <v>#REF!</v>
      </c>
      <c r="H526" s="6" t="e">
        <f>VLOOKUP(D526,#REF!,5,)</f>
        <v>#REF!</v>
      </c>
      <c r="I526" s="27">
        <v>20045.88</v>
      </c>
      <c r="J526" s="27">
        <v>14640</v>
      </c>
      <c r="K526" s="8">
        <f t="shared" si="45"/>
        <v>0.73032463528665237</v>
      </c>
      <c r="L526" s="27">
        <v>7008</v>
      </c>
      <c r="M526" s="21">
        <v>46165</v>
      </c>
      <c r="N526" s="27">
        <v>13740</v>
      </c>
      <c r="O526" s="27">
        <v>20748</v>
      </c>
      <c r="P526" s="9">
        <f t="shared" si="46"/>
        <v>-15342.119999999999</v>
      </c>
      <c r="Q526" s="9">
        <f>IFERROR(IF(D526=20250,O526/(#REF!/30),O526/(I526/30)),0)</f>
        <v>31.050769534687426</v>
      </c>
      <c r="R526" s="9">
        <f t="shared" si="47"/>
        <v>20.562828870570911</v>
      </c>
    </row>
    <row r="527" spans="1:18" ht="13.15" x14ac:dyDescent="0.45">
      <c r="A527" s="15" t="str">
        <f t="shared" si="43"/>
        <v>440113179</v>
      </c>
      <c r="B527" s="19" t="s">
        <v>76</v>
      </c>
      <c r="C527" s="6" t="e">
        <f>_xlfn.XLOOKUP(B:B,#REF!,#REF!)</f>
        <v>#REF!</v>
      </c>
      <c r="D527" s="19" t="s">
        <v>18</v>
      </c>
      <c r="E527" s="6" t="str">
        <f t="shared" si="44"/>
        <v>440113179</v>
      </c>
      <c r="F527" s="19" t="s">
        <v>19</v>
      </c>
      <c r="G527" s="7" t="e">
        <f>VLOOKUP(D527,#REF!,4,)</f>
        <v>#REF!</v>
      </c>
      <c r="H527" s="6" t="e">
        <f>VLOOKUP(D527,#REF!,5,)</f>
        <v>#REF!</v>
      </c>
      <c r="I527" s="27">
        <v>94490.64</v>
      </c>
      <c r="J527" s="27">
        <v>69444</v>
      </c>
      <c r="K527" s="8">
        <f t="shared" si="45"/>
        <v>0.73492993591746225</v>
      </c>
      <c r="L527" s="27">
        <v>39084</v>
      </c>
      <c r="M527" s="21">
        <v>46168</v>
      </c>
      <c r="N527" s="27">
        <v>33324</v>
      </c>
      <c r="O527" s="27">
        <v>72408</v>
      </c>
      <c r="P527" s="9">
        <f t="shared" si="46"/>
        <v>-47361.36</v>
      </c>
      <c r="Q527" s="9">
        <f>IFERROR(IF(D527=20250,O527/(#REF!/30),O527/(I527/30)),0)</f>
        <v>22.988943666801283</v>
      </c>
      <c r="R527" s="9">
        <f t="shared" si="47"/>
        <v>10.580095552321373</v>
      </c>
    </row>
    <row r="528" spans="1:18" ht="13.15" x14ac:dyDescent="0.45">
      <c r="A528" s="15" t="str">
        <f t="shared" si="43"/>
        <v>440113678</v>
      </c>
      <c r="B528" s="19" t="s">
        <v>76</v>
      </c>
      <c r="C528" s="6" t="e">
        <f>_xlfn.XLOOKUP(B:B,#REF!,#REF!)</f>
        <v>#REF!</v>
      </c>
      <c r="D528" s="19" t="s">
        <v>50</v>
      </c>
      <c r="E528" s="6" t="str">
        <f t="shared" si="44"/>
        <v>440113678</v>
      </c>
      <c r="F528" s="19" t="s">
        <v>51</v>
      </c>
      <c r="G528" s="7" t="e">
        <f>VLOOKUP(D528,#REF!,4,)</f>
        <v>#REF!</v>
      </c>
      <c r="H528" s="6" t="e">
        <f>VLOOKUP(D528,#REF!,5,)</f>
        <v>#REF!</v>
      </c>
      <c r="I528" s="27">
        <v>3686.76</v>
      </c>
      <c r="J528" s="27">
        <v>1956</v>
      </c>
      <c r="K528" s="8">
        <f t="shared" si="45"/>
        <v>0.53054714708850048</v>
      </c>
      <c r="L528" s="27">
        <v>1104</v>
      </c>
      <c r="M528" s="21">
        <v>46165</v>
      </c>
      <c r="N528" s="27">
        <v>2196</v>
      </c>
      <c r="O528" s="27">
        <v>3300</v>
      </c>
      <c r="P528" s="9">
        <f t="shared" si="46"/>
        <v>-1569.2399999999998</v>
      </c>
      <c r="Q528" s="9">
        <f>IFERROR(IF(D528=20250,O528/(#REF!/30),O528/(I528/30)),0)</f>
        <v>26.85284640171858</v>
      </c>
      <c r="R528" s="9">
        <f t="shared" si="47"/>
        <v>17.869348696416363</v>
      </c>
    </row>
    <row r="529" spans="1:18" ht="13.15" x14ac:dyDescent="0.45">
      <c r="A529" s="15" t="str">
        <f t="shared" si="43"/>
        <v>440114654</v>
      </c>
      <c r="B529" s="19" t="s">
        <v>76</v>
      </c>
      <c r="C529" s="6" t="e">
        <f>_xlfn.XLOOKUP(B:B,#REF!,#REF!)</f>
        <v>#REF!</v>
      </c>
      <c r="D529" s="19" t="s">
        <v>52</v>
      </c>
      <c r="E529" s="6" t="str">
        <f t="shared" si="44"/>
        <v>440114654</v>
      </c>
      <c r="F529" s="19" t="s">
        <v>53</v>
      </c>
      <c r="G529" s="7" t="e">
        <f>VLOOKUP(D529,#REF!,4,)</f>
        <v>#REF!</v>
      </c>
      <c r="H529" s="6" t="e">
        <f>VLOOKUP(D529,#REF!,5,)</f>
        <v>#REF!</v>
      </c>
      <c r="I529" s="27">
        <v>7152.12</v>
      </c>
      <c r="J529" s="27">
        <v>6168</v>
      </c>
      <c r="K529" s="8">
        <f t="shared" si="45"/>
        <v>0.86240163755641686</v>
      </c>
      <c r="L529" s="27">
        <v>4248</v>
      </c>
      <c r="M529" s="21">
        <v>46168</v>
      </c>
      <c r="N529" s="27">
        <v>1020</v>
      </c>
      <c r="O529" s="27">
        <v>5268</v>
      </c>
      <c r="P529" s="9">
        <f t="shared" si="46"/>
        <v>-4283.88</v>
      </c>
      <c r="Q529" s="9">
        <f>IFERROR(IF(D529=20250,O529/(#REF!/30),O529/(I529/30)),0)</f>
        <v>22.096944682136208</v>
      </c>
      <c r="R529" s="9">
        <f t="shared" si="47"/>
        <v>4.2784517038304726</v>
      </c>
    </row>
    <row r="530" spans="1:18" ht="13.15" x14ac:dyDescent="0.45">
      <c r="A530" s="15" t="str">
        <f t="shared" si="43"/>
        <v>440114788</v>
      </c>
      <c r="B530" s="19" t="s">
        <v>76</v>
      </c>
      <c r="C530" s="6" t="e">
        <f>_xlfn.XLOOKUP(B:B,#REF!,#REF!)</f>
        <v>#REF!</v>
      </c>
      <c r="D530" s="19" t="s">
        <v>54</v>
      </c>
      <c r="E530" s="6" t="str">
        <f t="shared" si="44"/>
        <v>440114788</v>
      </c>
      <c r="F530" s="19" t="s">
        <v>55</v>
      </c>
      <c r="G530" s="7" t="e">
        <f>VLOOKUP(D530,#REF!,4,)</f>
        <v>#REF!</v>
      </c>
      <c r="H530" s="6" t="e">
        <f>VLOOKUP(D530,#REF!,5,)</f>
        <v>#REF!</v>
      </c>
      <c r="I530" s="27">
        <v>14711.52</v>
      </c>
      <c r="J530" s="27">
        <v>10368</v>
      </c>
      <c r="K530" s="8">
        <f t="shared" si="45"/>
        <v>0.70475382557342814</v>
      </c>
      <c r="L530" s="27">
        <v>1200</v>
      </c>
      <c r="M530" s="21">
        <v>46167</v>
      </c>
      <c r="N530" s="27">
        <v>7296</v>
      </c>
      <c r="O530" s="27">
        <v>8496</v>
      </c>
      <c r="P530" s="9">
        <f t="shared" si="46"/>
        <v>-4152.4799999999996</v>
      </c>
      <c r="Q530" s="9">
        <f>IFERROR(IF(D530=20250,O530/(#REF!/30),O530/(I530/30)),0)</f>
        <v>17.325198212013444</v>
      </c>
      <c r="R530" s="9">
        <f t="shared" si="47"/>
        <v>14.87813631766126</v>
      </c>
    </row>
    <row r="531" spans="1:18" ht="13.15" x14ac:dyDescent="0.45">
      <c r="A531" s="15" t="str">
        <f t="shared" si="43"/>
        <v>440115536</v>
      </c>
      <c r="B531" s="19" t="s">
        <v>76</v>
      </c>
      <c r="C531" s="6" t="e">
        <f>_xlfn.XLOOKUP(B:B,#REF!,#REF!)</f>
        <v>#REF!</v>
      </c>
      <c r="D531" s="19" t="s">
        <v>56</v>
      </c>
      <c r="E531" s="6" t="str">
        <f t="shared" si="44"/>
        <v>440115536</v>
      </c>
      <c r="F531" s="19" t="s">
        <v>57</v>
      </c>
      <c r="G531" s="7" t="e">
        <f>VLOOKUP(D531,#REF!,4,)</f>
        <v>#REF!</v>
      </c>
      <c r="H531" s="6" t="e">
        <f>VLOOKUP(D531,#REF!,5,)</f>
        <v>#REF!</v>
      </c>
      <c r="I531" s="27">
        <v>31130.400000000001</v>
      </c>
      <c r="J531" s="27">
        <v>19764</v>
      </c>
      <c r="K531" s="8">
        <f t="shared" si="45"/>
        <v>0.63487780433274221</v>
      </c>
      <c r="L531" s="27">
        <v>10560</v>
      </c>
      <c r="M531" s="21">
        <v>46167</v>
      </c>
      <c r="N531" s="27">
        <v>22752</v>
      </c>
      <c r="O531" s="27">
        <v>33312</v>
      </c>
      <c r="P531" s="9">
        <f t="shared" si="46"/>
        <v>-21945.599999999999</v>
      </c>
      <c r="Q531" s="9">
        <f>IFERROR(IF(D531=20250,O531/(#REF!/30),O531/(I531/30)),0)</f>
        <v>32.102382237298585</v>
      </c>
      <c r="R531" s="9">
        <f t="shared" si="47"/>
        <v>21.925834554005085</v>
      </c>
    </row>
    <row r="532" spans="1:18" ht="13.15" x14ac:dyDescent="0.45">
      <c r="A532" s="15" t="str">
        <f t="shared" si="43"/>
        <v>440115906</v>
      </c>
      <c r="B532" s="19" t="s">
        <v>76</v>
      </c>
      <c r="C532" s="6" t="e">
        <f>_xlfn.XLOOKUP(B:B,#REF!,#REF!)</f>
        <v>#REF!</v>
      </c>
      <c r="D532" s="19" t="s">
        <v>58</v>
      </c>
      <c r="E532" s="6" t="str">
        <f t="shared" si="44"/>
        <v>440115906</v>
      </c>
      <c r="F532" s="19" t="s">
        <v>59</v>
      </c>
      <c r="G532" s="7" t="e">
        <f>VLOOKUP(D532,#REF!,4,)</f>
        <v>#REF!</v>
      </c>
      <c r="H532" s="6" t="e">
        <f>VLOOKUP(D532,#REF!,5,)</f>
        <v>#REF!</v>
      </c>
      <c r="I532" s="27">
        <v>4264.8</v>
      </c>
      <c r="J532" s="27">
        <v>6852</v>
      </c>
      <c r="K532" s="8">
        <f t="shared" si="45"/>
        <v>1.6066404051772649</v>
      </c>
      <c r="L532" s="27">
        <v>0</v>
      </c>
      <c r="M532" s="21"/>
      <c r="N532" s="27">
        <v>12960</v>
      </c>
      <c r="O532" s="27">
        <v>12960</v>
      </c>
      <c r="P532" s="9">
        <f t="shared" si="46"/>
        <v>-15547.2</v>
      </c>
      <c r="Q532" s="9">
        <f>IFERROR(IF(D532=20250,O532/(#REF!/30),O532/(I532/30)),0)</f>
        <v>91.164884637028706</v>
      </c>
      <c r="R532" s="9">
        <f t="shared" si="47"/>
        <v>91.164884637028706</v>
      </c>
    </row>
    <row r="533" spans="1:18" ht="13.15" x14ac:dyDescent="0.45">
      <c r="A533" s="15" t="str">
        <f t="shared" si="43"/>
        <v>440116336</v>
      </c>
      <c r="B533" s="19" t="s">
        <v>76</v>
      </c>
      <c r="C533" s="6" t="e">
        <f>_xlfn.XLOOKUP(B:B,#REF!,#REF!)</f>
        <v>#REF!</v>
      </c>
      <c r="D533" s="19" t="s">
        <v>20</v>
      </c>
      <c r="E533" s="6" t="str">
        <f t="shared" si="44"/>
        <v>440116336</v>
      </c>
      <c r="F533" s="19" t="s">
        <v>21</v>
      </c>
      <c r="G533" s="7" t="e">
        <f>VLOOKUP(D533,#REF!,4,)</f>
        <v>#REF!</v>
      </c>
      <c r="H533" s="6" t="e">
        <f>VLOOKUP(D533,#REF!,5,)</f>
        <v>#REF!</v>
      </c>
      <c r="I533" s="27">
        <v>80240.28</v>
      </c>
      <c r="J533" s="27">
        <v>56616</v>
      </c>
      <c r="K533" s="8">
        <f t="shared" si="45"/>
        <v>0.7055807881029329</v>
      </c>
      <c r="L533" s="27">
        <v>6960</v>
      </c>
      <c r="M533" s="21">
        <v>46165</v>
      </c>
      <c r="N533" s="27">
        <v>50472</v>
      </c>
      <c r="O533" s="27">
        <v>57432</v>
      </c>
      <c r="P533" s="9">
        <f t="shared" si="46"/>
        <v>-33807.72</v>
      </c>
      <c r="Q533" s="9">
        <f>IFERROR(IF(D533=20250,O533/(#REF!/30),O533/(I533/30)),0)</f>
        <v>21.472507324251612</v>
      </c>
      <c r="R533" s="9">
        <f t="shared" si="47"/>
        <v>18.870322984914807</v>
      </c>
    </row>
    <row r="534" spans="1:18" ht="13.15" x14ac:dyDescent="0.45">
      <c r="A534" s="15" t="str">
        <f t="shared" si="43"/>
        <v>440116984</v>
      </c>
      <c r="B534" s="19" t="s">
        <v>76</v>
      </c>
      <c r="C534" s="6" t="e">
        <f>_xlfn.XLOOKUP(B:B,#REF!,#REF!)</f>
        <v>#REF!</v>
      </c>
      <c r="D534" s="19" t="s">
        <v>60</v>
      </c>
      <c r="E534" s="6" t="str">
        <f t="shared" si="44"/>
        <v>440116984</v>
      </c>
      <c r="F534" s="19" t="s">
        <v>61</v>
      </c>
      <c r="G534" s="7" t="e">
        <f>VLOOKUP(D534,#REF!,4,)</f>
        <v>#REF!</v>
      </c>
      <c r="H534" s="6" t="e">
        <f>VLOOKUP(D534,#REF!,5,)</f>
        <v>#REF!</v>
      </c>
      <c r="I534" s="27">
        <v>578.88</v>
      </c>
      <c r="J534" s="27">
        <v>708</v>
      </c>
      <c r="K534" s="8">
        <f t="shared" si="45"/>
        <v>1.2230514096185738</v>
      </c>
      <c r="L534" s="27">
        <v>0</v>
      </c>
      <c r="M534" s="21"/>
      <c r="N534" s="27">
        <v>432</v>
      </c>
      <c r="O534" s="27">
        <v>432</v>
      </c>
      <c r="P534" s="9">
        <f t="shared" si="46"/>
        <v>-561.12</v>
      </c>
      <c r="Q534" s="9">
        <f>IFERROR(IF(D534=20250,O534/(#REF!/30),O534/(I534/30)),0)</f>
        <v>22.388059701492537</v>
      </c>
      <c r="R534" s="9">
        <f t="shared" si="47"/>
        <v>22.388059701492537</v>
      </c>
    </row>
    <row r="535" spans="1:18" ht="13.15" x14ac:dyDescent="0.45">
      <c r="A535" s="15" t="str">
        <f t="shared" si="43"/>
        <v>440116998</v>
      </c>
      <c r="B535" s="19" t="s">
        <v>76</v>
      </c>
      <c r="C535" s="6" t="e">
        <f>_xlfn.XLOOKUP(B:B,#REF!,#REF!)</f>
        <v>#REF!</v>
      </c>
      <c r="D535" s="19" t="s">
        <v>62</v>
      </c>
      <c r="E535" s="6" t="str">
        <f t="shared" si="44"/>
        <v>440116998</v>
      </c>
      <c r="F535" s="19" t="s">
        <v>63</v>
      </c>
      <c r="G535" s="7" t="e">
        <f>VLOOKUP(D535,#REF!,4,)</f>
        <v>#REF!</v>
      </c>
      <c r="H535" s="6" t="e">
        <f>VLOOKUP(D535,#REF!,5,)</f>
        <v>#REF!</v>
      </c>
      <c r="I535" s="27">
        <v>1200.48</v>
      </c>
      <c r="J535" s="27">
        <v>840</v>
      </c>
      <c r="K535" s="8">
        <f t="shared" si="45"/>
        <v>0.69972011195521788</v>
      </c>
      <c r="L535" s="27">
        <v>0</v>
      </c>
      <c r="M535" s="21"/>
      <c r="N535" s="27">
        <v>1572</v>
      </c>
      <c r="O535" s="27">
        <v>1572</v>
      </c>
      <c r="P535" s="9">
        <f t="shared" si="46"/>
        <v>-1211.52</v>
      </c>
      <c r="Q535" s="9">
        <f>IFERROR(IF(D535=20250,O535/(#REF!/30),O535/(I535/30)),0)</f>
        <v>39.284286285485805</v>
      </c>
      <c r="R535" s="9">
        <f t="shared" si="47"/>
        <v>39.284286285485805</v>
      </c>
    </row>
    <row r="536" spans="1:18" ht="13.15" x14ac:dyDescent="0.45">
      <c r="A536" s="15" t="str">
        <f t="shared" si="43"/>
        <v>440118098</v>
      </c>
      <c r="B536" s="19" t="s">
        <v>76</v>
      </c>
      <c r="C536" s="6" t="e">
        <f>_xlfn.XLOOKUP(B:B,#REF!,#REF!)</f>
        <v>#REF!</v>
      </c>
      <c r="D536" s="19" t="s">
        <v>64</v>
      </c>
      <c r="E536" s="6" t="str">
        <f t="shared" si="44"/>
        <v>440118098</v>
      </c>
      <c r="F536" s="19" t="s">
        <v>131</v>
      </c>
      <c r="G536" s="7" t="e">
        <f>VLOOKUP(D536,#REF!,4,)</f>
        <v>#REF!</v>
      </c>
      <c r="H536" s="6" t="e">
        <f>VLOOKUP(D536,#REF!,5,)</f>
        <v>#REF!</v>
      </c>
      <c r="I536" s="27">
        <v>2922.6</v>
      </c>
      <c r="J536" s="27">
        <v>2748</v>
      </c>
      <c r="K536" s="8">
        <f t="shared" si="45"/>
        <v>0.94025867378361738</v>
      </c>
      <c r="L536" s="27">
        <v>2400</v>
      </c>
      <c r="M536" s="21">
        <v>46164</v>
      </c>
      <c r="N536" s="27">
        <v>1020</v>
      </c>
      <c r="O536" s="27">
        <v>3420</v>
      </c>
      <c r="P536" s="9">
        <f t="shared" si="46"/>
        <v>-3245.4</v>
      </c>
      <c r="Q536" s="9">
        <f>IFERROR(IF(D536=20250,O536/(#REF!/30),O536/(I536/30)),0)</f>
        <v>35.105727776637238</v>
      </c>
      <c r="R536" s="9">
        <f t="shared" si="47"/>
        <v>10.470129336891809</v>
      </c>
    </row>
    <row r="537" spans="1:18" ht="13.15" x14ac:dyDescent="0.45">
      <c r="A537" s="15" t="str">
        <f t="shared" si="43"/>
        <v>440120308</v>
      </c>
      <c r="B537" s="19" t="s">
        <v>76</v>
      </c>
      <c r="C537" s="6" t="e">
        <f>_xlfn.XLOOKUP(B:B,#REF!,#REF!)</f>
        <v>#REF!</v>
      </c>
      <c r="D537" s="19" t="s">
        <v>84</v>
      </c>
      <c r="E537" s="6" t="str">
        <f t="shared" si="44"/>
        <v>440120308</v>
      </c>
      <c r="F537" s="19" t="s">
        <v>108</v>
      </c>
      <c r="G537" s="7" t="e">
        <f>VLOOKUP(D537,#REF!,4,)</f>
        <v>#REF!</v>
      </c>
      <c r="H537" s="6" t="e">
        <f>VLOOKUP(D537,#REF!,5,)</f>
        <v>#REF!</v>
      </c>
      <c r="I537" s="27">
        <v>9355.32</v>
      </c>
      <c r="J537" s="27">
        <v>6636</v>
      </c>
      <c r="K537" s="8">
        <f t="shared" si="45"/>
        <v>0.70932902348610205</v>
      </c>
      <c r="L537" s="27">
        <v>6996</v>
      </c>
      <c r="M537" s="21">
        <v>46164</v>
      </c>
      <c r="N537" s="27">
        <v>4560</v>
      </c>
      <c r="O537" s="27">
        <v>11556</v>
      </c>
      <c r="P537" s="9">
        <f t="shared" si="46"/>
        <v>-8836.68</v>
      </c>
      <c r="Q537" s="9">
        <f>IFERROR(IF(D537=20250,O537/(#REF!/30),O537/(I537/30)),0)</f>
        <v>37.056990033478279</v>
      </c>
      <c r="R537" s="9">
        <f t="shared" si="47"/>
        <v>14.622695963366299</v>
      </c>
    </row>
    <row r="538" spans="1:18" ht="13.15" x14ac:dyDescent="0.45">
      <c r="A538" s="15" t="str">
        <f t="shared" si="43"/>
        <v>440120827</v>
      </c>
      <c r="B538" s="19" t="s">
        <v>76</v>
      </c>
      <c r="C538" s="6" t="e">
        <f>_xlfn.XLOOKUP(B:B,#REF!,#REF!)</f>
        <v>#REF!</v>
      </c>
      <c r="D538" s="19" t="s">
        <v>85</v>
      </c>
      <c r="E538" s="6" t="str">
        <f t="shared" si="44"/>
        <v>440120827</v>
      </c>
      <c r="F538" s="19" t="s">
        <v>86</v>
      </c>
      <c r="G538" s="7" t="e">
        <f>VLOOKUP(D538,#REF!,4,)</f>
        <v>#REF!</v>
      </c>
      <c r="H538" s="6" t="e">
        <f>VLOOKUP(D538,#REF!,5,)</f>
        <v>#REF!</v>
      </c>
      <c r="I538" s="27">
        <v>8601.1200000000008</v>
      </c>
      <c r="J538" s="27">
        <v>7068</v>
      </c>
      <c r="K538" s="8">
        <f t="shared" si="45"/>
        <v>0.82175344606283829</v>
      </c>
      <c r="L538" s="27">
        <v>3600</v>
      </c>
      <c r="M538" s="21">
        <v>46167</v>
      </c>
      <c r="N538" s="27">
        <v>0</v>
      </c>
      <c r="O538" s="27">
        <v>3600</v>
      </c>
      <c r="P538" s="9">
        <f t="shared" si="46"/>
        <v>-2066.8799999999992</v>
      </c>
      <c r="Q538" s="9">
        <f>IFERROR(IF(D538=20250,O538/(#REF!/30),O538/(I538/30)),0)</f>
        <v>12.556504269211452</v>
      </c>
      <c r="R538" s="9">
        <f t="shared" si="47"/>
        <v>0</v>
      </c>
    </row>
    <row r="539" spans="1:18" ht="13.15" x14ac:dyDescent="0.45">
      <c r="A539" s="15" t="str">
        <f t="shared" si="43"/>
        <v>440121910</v>
      </c>
      <c r="B539" s="19" t="s">
        <v>76</v>
      </c>
      <c r="C539" s="6" t="e">
        <f>_xlfn.XLOOKUP(B:B,#REF!,#REF!)</f>
        <v>#REF!</v>
      </c>
      <c r="D539" s="19" t="s">
        <v>91</v>
      </c>
      <c r="E539" s="6" t="str">
        <f t="shared" si="44"/>
        <v>440121910</v>
      </c>
      <c r="F539" s="19" t="s">
        <v>92</v>
      </c>
      <c r="G539" s="7" t="e">
        <f>VLOOKUP(D539,#REF!,4,)</f>
        <v>#REF!</v>
      </c>
      <c r="H539" s="6" t="e">
        <f>VLOOKUP(D539,#REF!,5,)</f>
        <v>#REF!</v>
      </c>
      <c r="I539" s="27">
        <v>104.76</v>
      </c>
      <c r="J539" s="27">
        <v>0</v>
      </c>
      <c r="K539" s="8">
        <f t="shared" si="45"/>
        <v>0</v>
      </c>
      <c r="L539" s="27">
        <v>0</v>
      </c>
      <c r="M539" s="21"/>
      <c r="N539" s="27">
        <v>108</v>
      </c>
      <c r="O539" s="27">
        <v>108</v>
      </c>
      <c r="P539" s="9">
        <f t="shared" si="46"/>
        <v>-3.2399999999999949</v>
      </c>
      <c r="Q539" s="9">
        <f>IFERROR(IF(D539=20250,O539/(#REF!/30),O539/(I539/30)),0)</f>
        <v>30.927835051546392</v>
      </c>
      <c r="R539" s="9">
        <f t="shared" si="47"/>
        <v>30.927835051546392</v>
      </c>
    </row>
    <row r="540" spans="1:18" ht="13.15" x14ac:dyDescent="0.45">
      <c r="A540" s="15" t="str">
        <f t="shared" si="43"/>
        <v>440123081</v>
      </c>
      <c r="B540" s="19" t="s">
        <v>76</v>
      </c>
      <c r="C540" s="6" t="e">
        <f>_xlfn.XLOOKUP(B:B,#REF!,#REF!)</f>
        <v>#REF!</v>
      </c>
      <c r="D540" s="19" t="s">
        <v>96</v>
      </c>
      <c r="E540" s="6" t="str">
        <f t="shared" si="44"/>
        <v>440123081</v>
      </c>
      <c r="F540" s="19" t="s">
        <v>97</v>
      </c>
      <c r="G540" s="7" t="e">
        <f>VLOOKUP(D540,#REF!,4,)</f>
        <v>#REF!</v>
      </c>
      <c r="H540" s="6" t="e">
        <f>VLOOKUP(D540,#REF!,5,)</f>
        <v>#REF!</v>
      </c>
      <c r="I540" s="27">
        <v>3353.16</v>
      </c>
      <c r="J540" s="27">
        <v>636</v>
      </c>
      <c r="K540" s="8">
        <f t="shared" si="45"/>
        <v>0.18967183194359949</v>
      </c>
      <c r="L540" s="27">
        <v>0</v>
      </c>
      <c r="M540" s="21"/>
      <c r="N540" s="27">
        <v>2736</v>
      </c>
      <c r="O540" s="27">
        <v>2736</v>
      </c>
      <c r="P540" s="9">
        <f t="shared" si="46"/>
        <v>-18.840000000000146</v>
      </c>
      <c r="Q540" s="9">
        <f>IFERROR(IF(D540=20250,O540/(#REF!/30),O540/(I540/30)),0)</f>
        <v>24.478402462155103</v>
      </c>
      <c r="R540" s="9">
        <f t="shared" si="47"/>
        <v>24.478402462155103</v>
      </c>
    </row>
    <row r="541" spans="1:18" ht="13.15" x14ac:dyDescent="0.45">
      <c r="A541" s="15" t="str">
        <f t="shared" si="43"/>
        <v>440123401</v>
      </c>
      <c r="B541" s="19" t="s">
        <v>76</v>
      </c>
      <c r="C541" s="6" t="e">
        <f>_xlfn.XLOOKUP(B:B,#REF!,#REF!)</f>
        <v>#REF!</v>
      </c>
      <c r="D541" s="19" t="s">
        <v>98</v>
      </c>
      <c r="E541" s="6" t="str">
        <f t="shared" si="44"/>
        <v>440123401</v>
      </c>
      <c r="F541" s="19" t="s">
        <v>99</v>
      </c>
      <c r="G541" s="7" t="e">
        <f>VLOOKUP(D541,#REF!,4,)</f>
        <v>#REF!</v>
      </c>
      <c r="H541" s="6" t="e">
        <f>VLOOKUP(D541,#REF!,5,)</f>
        <v>#REF!</v>
      </c>
      <c r="I541" s="27">
        <v>16713.96</v>
      </c>
      <c r="J541" s="27">
        <v>9060</v>
      </c>
      <c r="K541" s="8">
        <f t="shared" si="45"/>
        <v>0.5420618453077547</v>
      </c>
      <c r="L541" s="27">
        <v>9600</v>
      </c>
      <c r="M541" s="21">
        <v>46167</v>
      </c>
      <c r="N541" s="27">
        <v>5424</v>
      </c>
      <c r="O541" s="27">
        <v>15024</v>
      </c>
      <c r="P541" s="9">
        <f t="shared" si="46"/>
        <v>-7370.0400000000009</v>
      </c>
      <c r="Q541" s="9">
        <f>IFERROR(IF(D541=20250,O541/(#REF!/30),O541/(I541/30)),0)</f>
        <v>26.966679350674529</v>
      </c>
      <c r="R541" s="9">
        <f t="shared" si="47"/>
        <v>9.7355743342690797</v>
      </c>
    </row>
    <row r="542" spans="1:18" ht="13.15" x14ac:dyDescent="0.45">
      <c r="A542" s="15" t="str">
        <f t="shared" si="43"/>
        <v>440123890</v>
      </c>
      <c r="B542" s="19" t="s">
        <v>76</v>
      </c>
      <c r="C542" s="6" t="e">
        <f>_xlfn.XLOOKUP(B:B,#REF!,#REF!)</f>
        <v>#REF!</v>
      </c>
      <c r="D542" s="19" t="s">
        <v>103</v>
      </c>
      <c r="E542" s="6" t="str">
        <f t="shared" si="44"/>
        <v>440123890</v>
      </c>
      <c r="F542" s="19" t="s">
        <v>104</v>
      </c>
      <c r="G542" s="7" t="e">
        <f>VLOOKUP(D542,#REF!,4,)</f>
        <v>#REF!</v>
      </c>
      <c r="H542" s="6" t="e">
        <f>VLOOKUP(D542,#REF!,5,)</f>
        <v>#REF!</v>
      </c>
      <c r="I542" s="27">
        <v>0</v>
      </c>
      <c r="J542" s="27">
        <v>0</v>
      </c>
      <c r="K542" s="8">
        <f t="shared" si="45"/>
        <v>0</v>
      </c>
      <c r="L542" s="27">
        <v>0</v>
      </c>
      <c r="M542" s="21"/>
      <c r="N542" s="27">
        <v>1020</v>
      </c>
      <c r="O542" s="27">
        <v>1020</v>
      </c>
      <c r="P542" s="9">
        <f t="shared" si="46"/>
        <v>-1020</v>
      </c>
      <c r="Q542" s="9">
        <f>IFERROR(IF(D542=20250,O542/(#REF!/30),O542/(I542/30)),0)</f>
        <v>0</v>
      </c>
      <c r="R542" s="9">
        <f t="shared" si="47"/>
        <v>0</v>
      </c>
    </row>
    <row r="543" spans="1:18" ht="13.15" x14ac:dyDescent="0.45">
      <c r="A543" s="15" t="str">
        <f t="shared" si="43"/>
        <v>440124768</v>
      </c>
      <c r="B543" s="19" t="s">
        <v>76</v>
      </c>
      <c r="C543" s="6" t="e">
        <f>_xlfn.XLOOKUP(B:B,#REF!,#REF!)</f>
        <v>#REF!</v>
      </c>
      <c r="D543" s="19" t="s">
        <v>111</v>
      </c>
      <c r="E543" s="6" t="str">
        <f t="shared" si="44"/>
        <v>440124768</v>
      </c>
      <c r="F543" s="19" t="s">
        <v>112</v>
      </c>
      <c r="G543" s="7" t="e">
        <f>VLOOKUP(D543,#REF!,4,)</f>
        <v>#REF!</v>
      </c>
      <c r="H543" s="6" t="e">
        <f>VLOOKUP(D543,#REF!,5,)</f>
        <v>#REF!</v>
      </c>
      <c r="I543" s="27">
        <v>7213.32</v>
      </c>
      <c r="J543" s="27">
        <v>9984</v>
      </c>
      <c r="K543" s="8">
        <f t="shared" si="45"/>
        <v>1.3841060704363595</v>
      </c>
      <c r="L543" s="27">
        <v>0</v>
      </c>
      <c r="M543" s="21"/>
      <c r="N543" s="27">
        <v>22440</v>
      </c>
      <c r="O543" s="27">
        <v>22440</v>
      </c>
      <c r="P543" s="9">
        <f t="shared" si="46"/>
        <v>-25210.68</v>
      </c>
      <c r="Q543" s="9">
        <f>IFERROR(IF(D543=20250,O543/(#REF!/30),O543/(I543/30)),0)</f>
        <v>93.327344412836254</v>
      </c>
      <c r="R543" s="9">
        <f t="shared" si="47"/>
        <v>93.327344412836254</v>
      </c>
    </row>
    <row r="544" spans="1:18" ht="13.15" x14ac:dyDescent="0.45">
      <c r="A544" s="15" t="str">
        <f t="shared" si="43"/>
        <v>440125570</v>
      </c>
      <c r="B544" s="19" t="s">
        <v>76</v>
      </c>
      <c r="C544" s="6" t="e">
        <f>_xlfn.XLOOKUP(B:B,#REF!,#REF!)</f>
        <v>#REF!</v>
      </c>
      <c r="D544" s="19" t="s">
        <v>116</v>
      </c>
      <c r="E544" s="6" t="str">
        <f t="shared" si="44"/>
        <v>440125570</v>
      </c>
      <c r="F544" s="19" t="s">
        <v>118</v>
      </c>
      <c r="G544" s="7" t="e">
        <f>VLOOKUP(D544,#REF!,4,)</f>
        <v>#REF!</v>
      </c>
      <c r="H544" s="6" t="e">
        <f>VLOOKUP(D544,#REF!,5,)</f>
        <v>#REF!</v>
      </c>
      <c r="I544" s="27">
        <v>5834.52</v>
      </c>
      <c r="J544" s="27">
        <v>4260</v>
      </c>
      <c r="K544" s="8">
        <f t="shared" si="45"/>
        <v>0.73013718352152357</v>
      </c>
      <c r="L544" s="27">
        <v>2604</v>
      </c>
      <c r="M544" s="21">
        <v>46164</v>
      </c>
      <c r="N544" s="27">
        <v>3540</v>
      </c>
      <c r="O544" s="27">
        <v>6144</v>
      </c>
      <c r="P544" s="9">
        <f t="shared" si="46"/>
        <v>-4569.4799999999996</v>
      </c>
      <c r="Q544" s="9">
        <f>IFERROR(IF(D544=20250,O544/(#REF!/30),O544/(I544/30)),0)</f>
        <v>31.591287715184794</v>
      </c>
      <c r="R544" s="9">
        <f t="shared" si="47"/>
        <v>18.20201147652249</v>
      </c>
    </row>
    <row r="545" spans="1:18" ht="13.15" x14ac:dyDescent="0.45">
      <c r="A545" s="15" t="str">
        <f t="shared" si="43"/>
        <v>440125598</v>
      </c>
      <c r="B545" s="19" t="s">
        <v>76</v>
      </c>
      <c r="C545" s="6" t="e">
        <f>_xlfn.XLOOKUP(B:B,#REF!,#REF!)</f>
        <v>#REF!</v>
      </c>
      <c r="D545" s="19" t="s">
        <v>117</v>
      </c>
      <c r="E545" s="6" t="str">
        <f t="shared" si="44"/>
        <v>440125598</v>
      </c>
      <c r="F545" s="19" t="s">
        <v>119</v>
      </c>
      <c r="G545" s="7" t="e">
        <f>VLOOKUP(D545,#REF!,4,)</f>
        <v>#REF!</v>
      </c>
      <c r="H545" s="6" t="e">
        <f>VLOOKUP(D545,#REF!,5,)</f>
        <v>#REF!</v>
      </c>
      <c r="I545" s="27">
        <v>5959.92</v>
      </c>
      <c r="J545" s="27">
        <v>2280</v>
      </c>
      <c r="K545" s="8">
        <f t="shared" si="45"/>
        <v>0.38255547054322875</v>
      </c>
      <c r="L545" s="27">
        <v>3708</v>
      </c>
      <c r="M545" s="21">
        <v>46168</v>
      </c>
      <c r="N545" s="27">
        <v>0</v>
      </c>
      <c r="O545" s="27">
        <v>3708</v>
      </c>
      <c r="P545" s="9">
        <f t="shared" si="46"/>
        <v>-28.079999999999927</v>
      </c>
      <c r="Q545" s="9">
        <f>IFERROR(IF(D545=20250,O545/(#REF!/30),O545/(I545/30)),0)</f>
        <v>18.664680062819635</v>
      </c>
      <c r="R545" s="9">
        <f t="shared" si="47"/>
        <v>0</v>
      </c>
    </row>
    <row r="546" spans="1:18" ht="13.15" x14ac:dyDescent="0.45">
      <c r="A546" s="15" t="str">
        <f t="shared" si="43"/>
        <v>440306151</v>
      </c>
      <c r="B546" s="19" t="s">
        <v>77</v>
      </c>
      <c r="C546" s="6" t="e">
        <f>_xlfn.XLOOKUP(B:B,#REF!,#REF!)</f>
        <v>#REF!</v>
      </c>
      <c r="D546" s="19" t="s">
        <v>23</v>
      </c>
      <c r="E546" s="6" t="str">
        <f t="shared" si="44"/>
        <v>440306151</v>
      </c>
      <c r="F546" s="19" t="s">
        <v>24</v>
      </c>
      <c r="G546" s="7" t="e">
        <f>VLOOKUP(D546,#REF!,4,)</f>
        <v>#REF!</v>
      </c>
      <c r="H546" s="6" t="e">
        <f>VLOOKUP(D546,#REF!,5,)</f>
        <v>#REF!</v>
      </c>
      <c r="I546" s="27">
        <v>43755</v>
      </c>
      <c r="J546" s="27">
        <v>23196</v>
      </c>
      <c r="K546" s="8">
        <f t="shared" si="45"/>
        <v>0.53013369900582785</v>
      </c>
      <c r="L546" s="27">
        <v>0</v>
      </c>
      <c r="M546" s="21"/>
      <c r="N546" s="27">
        <v>14340</v>
      </c>
      <c r="O546" s="27">
        <v>14340</v>
      </c>
      <c r="P546" s="9">
        <f t="shared" si="46"/>
        <v>6219</v>
      </c>
      <c r="Q546" s="9">
        <f>IFERROR(IF(D546=20250,O546/(#REF!/30),O546/(I546/30)),0)</f>
        <v>9.8320191978059643</v>
      </c>
      <c r="R546" s="9">
        <f t="shared" si="47"/>
        <v>9.8320191978059643</v>
      </c>
    </row>
    <row r="547" spans="1:18" ht="13.15" x14ac:dyDescent="0.45">
      <c r="A547" s="15" t="str">
        <f t="shared" si="43"/>
        <v>440313490</v>
      </c>
      <c r="B547" s="19" t="s">
        <v>77</v>
      </c>
      <c r="C547" s="6" t="e">
        <f>_xlfn.XLOOKUP(B:B,#REF!,#REF!)</f>
        <v>#REF!</v>
      </c>
      <c r="D547" s="19" t="s">
        <v>27</v>
      </c>
      <c r="E547" s="6" t="str">
        <f t="shared" si="44"/>
        <v>440313490</v>
      </c>
      <c r="F547" s="19" t="s">
        <v>28</v>
      </c>
      <c r="G547" s="7" t="e">
        <f>VLOOKUP(D547,#REF!,4,)</f>
        <v>#REF!</v>
      </c>
      <c r="H547" s="6" t="e">
        <f>VLOOKUP(D547,#REF!,5,)</f>
        <v>#REF!</v>
      </c>
      <c r="I547" s="27">
        <v>8406</v>
      </c>
      <c r="J547" s="27">
        <v>7080</v>
      </c>
      <c r="K547" s="8">
        <f t="shared" si="45"/>
        <v>0.84225553176302637</v>
      </c>
      <c r="L547" s="27">
        <v>1200</v>
      </c>
      <c r="M547" s="21">
        <v>46167</v>
      </c>
      <c r="N547" s="27">
        <v>7420</v>
      </c>
      <c r="O547" s="27">
        <v>8620</v>
      </c>
      <c r="P547" s="9">
        <f t="shared" si="46"/>
        <v>-7294</v>
      </c>
      <c r="Q547" s="9">
        <f>IFERROR(IF(D547=20250,O547/(#REF!/30),O547/(I547/30)),0)</f>
        <v>30.763740185581728</v>
      </c>
      <c r="R547" s="9">
        <f t="shared" si="47"/>
        <v>26.481084939329051</v>
      </c>
    </row>
    <row r="548" spans="1:18" ht="13.15" x14ac:dyDescent="0.45">
      <c r="A548" s="15" t="str">
        <f t="shared" si="43"/>
        <v>440315300</v>
      </c>
      <c r="B548" s="19" t="s">
        <v>77</v>
      </c>
      <c r="C548" s="6" t="e">
        <f>_xlfn.XLOOKUP(B:B,#REF!,#REF!)</f>
        <v>#REF!</v>
      </c>
      <c r="D548" s="19" t="s">
        <v>31</v>
      </c>
      <c r="E548" s="6" t="str">
        <f t="shared" si="44"/>
        <v>440315300</v>
      </c>
      <c r="F548" s="19" t="s">
        <v>32</v>
      </c>
      <c r="G548" s="7" t="e">
        <f>VLOOKUP(D548,#REF!,4,)</f>
        <v>#REF!</v>
      </c>
      <c r="H548" s="6" t="e">
        <f>VLOOKUP(D548,#REF!,5,)</f>
        <v>#REF!</v>
      </c>
      <c r="I548" s="27">
        <v>36.450000000000003</v>
      </c>
      <c r="J548" s="27">
        <v>18</v>
      </c>
      <c r="K548" s="8">
        <f t="shared" si="45"/>
        <v>0.49382716049382713</v>
      </c>
      <c r="L548" s="27">
        <v>0</v>
      </c>
      <c r="M548" s="21"/>
      <c r="N548" s="27">
        <v>72</v>
      </c>
      <c r="O548" s="27">
        <v>72</v>
      </c>
      <c r="P548" s="9">
        <f t="shared" si="46"/>
        <v>-53.55</v>
      </c>
      <c r="Q548" s="9">
        <f>IFERROR(IF(D548=20250,O548/(#REF!/30),O548/(I548/30)),0)</f>
        <v>59.259259259259252</v>
      </c>
      <c r="R548" s="9">
        <f t="shared" si="47"/>
        <v>59.259259259259252</v>
      </c>
    </row>
    <row r="549" spans="1:18" ht="13.15" x14ac:dyDescent="0.45">
      <c r="A549" s="15" t="str">
        <f t="shared" si="43"/>
        <v>440319690</v>
      </c>
      <c r="B549" s="19" t="s">
        <v>77</v>
      </c>
      <c r="C549" s="6" t="e">
        <f>_xlfn.XLOOKUP(B:B,#REF!,#REF!)</f>
        <v>#REF!</v>
      </c>
      <c r="D549" s="19" t="s">
        <v>66</v>
      </c>
      <c r="E549" s="6" t="str">
        <f t="shared" si="44"/>
        <v>440319690</v>
      </c>
      <c r="F549" s="19" t="s">
        <v>67</v>
      </c>
      <c r="G549" s="7" t="e">
        <f>VLOOKUP(D549,#REF!,4,)</f>
        <v>#REF!</v>
      </c>
      <c r="H549" s="6" t="e">
        <f>VLOOKUP(D549,#REF!,5,)</f>
        <v>#REF!</v>
      </c>
      <c r="I549" s="27">
        <v>166.2</v>
      </c>
      <c r="J549" s="27">
        <v>12</v>
      </c>
      <c r="K549" s="8">
        <f t="shared" si="45"/>
        <v>7.2202166064981949E-2</v>
      </c>
      <c r="L549" s="27">
        <v>0</v>
      </c>
      <c r="M549" s="21"/>
      <c r="N549" s="27">
        <v>84</v>
      </c>
      <c r="O549" s="27">
        <v>84</v>
      </c>
      <c r="P549" s="9">
        <f t="shared" si="46"/>
        <v>70.199999999999989</v>
      </c>
      <c r="Q549" s="9">
        <f>IFERROR(IF(D549=20250,O549/(#REF!/30),O549/(I549/30)),0)</f>
        <v>15.16245487364621</v>
      </c>
      <c r="R549" s="9">
        <f t="shared" si="47"/>
        <v>15.16245487364621</v>
      </c>
    </row>
    <row r="550" spans="1:18" ht="13.15" x14ac:dyDescent="0.45">
      <c r="A550" s="15" t="str">
        <f t="shared" si="43"/>
        <v>440320661</v>
      </c>
      <c r="B550" s="19" t="s">
        <v>77</v>
      </c>
      <c r="C550" s="6" t="e">
        <f>_xlfn.XLOOKUP(B:B,#REF!,#REF!)</f>
        <v>#REF!</v>
      </c>
      <c r="D550" s="19" t="s">
        <v>88</v>
      </c>
      <c r="E550" s="6" t="str">
        <f t="shared" si="44"/>
        <v>440320661</v>
      </c>
      <c r="F550" s="19" t="s">
        <v>89</v>
      </c>
      <c r="G550" s="7" t="e">
        <f>VLOOKUP(D550,#REF!,4,)</f>
        <v>#REF!</v>
      </c>
      <c r="H550" s="6" t="e">
        <f>VLOOKUP(D550,#REF!,5,)</f>
        <v>#REF!</v>
      </c>
      <c r="I550" s="27">
        <v>5362.56</v>
      </c>
      <c r="J550" s="27">
        <v>2640</v>
      </c>
      <c r="K550" s="8">
        <f t="shared" si="45"/>
        <v>0.49230218403150733</v>
      </c>
      <c r="L550" s="27">
        <v>0</v>
      </c>
      <c r="M550" s="21"/>
      <c r="N550" s="27">
        <v>5352</v>
      </c>
      <c r="O550" s="27">
        <v>5352</v>
      </c>
      <c r="P550" s="9">
        <f t="shared" si="46"/>
        <v>-2629.4399999999996</v>
      </c>
      <c r="Q550" s="9">
        <f>IFERROR(IF(D550=20250,O550/(#REF!/30),O550/(I550/30)),0)</f>
        <v>29.940923737916219</v>
      </c>
      <c r="R550" s="9">
        <f t="shared" si="47"/>
        <v>29.940923737916219</v>
      </c>
    </row>
    <row r="551" spans="1:18" ht="13.15" x14ac:dyDescent="0.45">
      <c r="A551" s="15" t="str">
        <f t="shared" si="43"/>
        <v>440323638</v>
      </c>
      <c r="B551" s="19" t="s">
        <v>77</v>
      </c>
      <c r="C551" s="6" t="e">
        <f>_xlfn.XLOOKUP(B:B,#REF!,#REF!)</f>
        <v>#REF!</v>
      </c>
      <c r="D551" s="19" t="s">
        <v>100</v>
      </c>
      <c r="E551" s="6" t="str">
        <f t="shared" si="44"/>
        <v>440323638</v>
      </c>
      <c r="F551" s="19" t="s">
        <v>101</v>
      </c>
      <c r="G551" s="7" t="e">
        <f>VLOOKUP(D551,#REF!,4,)</f>
        <v>#REF!</v>
      </c>
      <c r="H551" s="6" t="e">
        <f>VLOOKUP(D551,#REF!,5,)</f>
        <v>#REF!</v>
      </c>
      <c r="I551" s="27">
        <v>8247.7199999999993</v>
      </c>
      <c r="J551" s="27">
        <v>4596</v>
      </c>
      <c r="K551" s="8">
        <f t="shared" si="45"/>
        <v>0.55724491132094689</v>
      </c>
      <c r="L551" s="27">
        <v>0</v>
      </c>
      <c r="M551" s="21"/>
      <c r="N551" s="27">
        <v>11832</v>
      </c>
      <c r="O551" s="27">
        <v>11832</v>
      </c>
      <c r="P551" s="9">
        <f t="shared" si="46"/>
        <v>-8180.2800000000007</v>
      </c>
      <c r="Q551" s="9">
        <f>IFERROR(IF(D551=20250,O551/(#REF!/30),O551/(I551/30)),0)</f>
        <v>43.03734850358645</v>
      </c>
      <c r="R551" s="9">
        <f t="shared" si="47"/>
        <v>43.03734850358645</v>
      </c>
    </row>
    <row r="552" spans="1:18" ht="13.15" x14ac:dyDescent="0.45">
      <c r="A552" s="15" t="str">
        <f t="shared" si="43"/>
        <v>440325885</v>
      </c>
      <c r="B552" s="19" t="s">
        <v>77</v>
      </c>
      <c r="C552" s="6" t="e">
        <f>_xlfn.XLOOKUP(B:B,#REF!,#REF!)</f>
        <v>#REF!</v>
      </c>
      <c r="D552" s="19" t="s">
        <v>122</v>
      </c>
      <c r="E552" s="6" t="str">
        <f t="shared" si="44"/>
        <v>440325885</v>
      </c>
      <c r="F552" s="19" t="s">
        <v>123</v>
      </c>
      <c r="G552" s="7" t="e">
        <f>VLOOKUP(D552,#REF!,4,)</f>
        <v>#REF!</v>
      </c>
      <c r="H552" s="6" t="e">
        <f>VLOOKUP(D552,#REF!,5,)</f>
        <v>#REF!</v>
      </c>
      <c r="I552" s="27">
        <v>1600.32</v>
      </c>
      <c r="J552" s="27">
        <v>1536</v>
      </c>
      <c r="K552" s="8">
        <f t="shared" si="45"/>
        <v>0.95980803839232154</v>
      </c>
      <c r="L552" s="27">
        <v>1596</v>
      </c>
      <c r="M552" s="21">
        <v>46167</v>
      </c>
      <c r="N552" s="27">
        <v>72</v>
      </c>
      <c r="O552" s="27">
        <v>1668</v>
      </c>
      <c r="P552" s="9">
        <f t="shared" si="46"/>
        <v>-1603.68</v>
      </c>
      <c r="Q552" s="9">
        <f>IFERROR(IF(D552=20250,O552/(#REF!/30),O552/(I552/30)),0)</f>
        <v>31.268746250749849</v>
      </c>
      <c r="R552" s="9">
        <f t="shared" si="47"/>
        <v>1.3497300539892021</v>
      </c>
    </row>
    <row r="553" spans="1:18" ht="13.15" x14ac:dyDescent="0.45">
      <c r="A553" s="15" t="str">
        <f t="shared" si="43"/>
        <v>440326234</v>
      </c>
      <c r="B553" s="19" t="s">
        <v>77</v>
      </c>
      <c r="C553" s="6" t="e">
        <f>_xlfn.XLOOKUP(B:B,#REF!,#REF!)</f>
        <v>#REF!</v>
      </c>
      <c r="D553" s="19" t="s">
        <v>126</v>
      </c>
      <c r="E553" s="6" t="str">
        <f t="shared" si="44"/>
        <v>440326234</v>
      </c>
      <c r="F553" s="19" t="s">
        <v>127</v>
      </c>
      <c r="G553" s="7" t="e">
        <f>VLOOKUP(D553,#REF!,4,)</f>
        <v>#REF!</v>
      </c>
      <c r="H553" s="6" t="e">
        <f>VLOOKUP(D553,#REF!,5,)</f>
        <v>#REF!</v>
      </c>
      <c r="I553" s="27">
        <v>0</v>
      </c>
      <c r="J553" s="27">
        <v>0</v>
      </c>
      <c r="K553" s="8">
        <f t="shared" si="45"/>
        <v>0</v>
      </c>
      <c r="L553" s="27">
        <v>0</v>
      </c>
      <c r="M553" s="21"/>
      <c r="N553" s="27">
        <v>876</v>
      </c>
      <c r="O553" s="27">
        <v>876</v>
      </c>
      <c r="P553" s="9">
        <f t="shared" si="46"/>
        <v>-876</v>
      </c>
      <c r="Q553" s="9">
        <f>IFERROR(IF(D553=20250,O553/(#REF!/30),O553/(I553/30)),0)</f>
        <v>0</v>
      </c>
      <c r="R553" s="9">
        <f t="shared" si="47"/>
        <v>0</v>
      </c>
    </row>
    <row r="554" spans="1:18" ht="13.15" x14ac:dyDescent="0.45">
      <c r="A554" s="15" t="str">
        <f t="shared" si="43"/>
        <v>440327021</v>
      </c>
      <c r="B554" s="19" t="s">
        <v>77</v>
      </c>
      <c r="C554" s="6" t="e">
        <f>_xlfn.XLOOKUP(B:B,#REF!,#REF!)</f>
        <v>#REF!</v>
      </c>
      <c r="D554" s="19" t="s">
        <v>140</v>
      </c>
      <c r="E554" s="6" t="str">
        <f t="shared" si="44"/>
        <v>440327021</v>
      </c>
      <c r="F554" s="19" t="s">
        <v>141</v>
      </c>
      <c r="G554" s="7" t="e">
        <f>VLOOKUP(D554,#REF!,4,)</f>
        <v>#REF!</v>
      </c>
      <c r="H554" s="6" t="e">
        <f>VLOOKUP(D554,#REF!,5,)</f>
        <v>#REF!</v>
      </c>
      <c r="I554" s="27">
        <v>0</v>
      </c>
      <c r="J554" s="27">
        <v>0</v>
      </c>
      <c r="K554" s="8">
        <f t="shared" si="45"/>
        <v>0</v>
      </c>
      <c r="L554" s="27">
        <v>0</v>
      </c>
      <c r="M554" s="21"/>
      <c r="N554" s="27">
        <v>96</v>
      </c>
      <c r="O554" s="27">
        <v>96</v>
      </c>
      <c r="P554" s="9">
        <f t="shared" si="46"/>
        <v>-96</v>
      </c>
      <c r="Q554" s="9">
        <f>IFERROR(IF(D554=20250,O554/(#REF!/30),O554/(I554/30)),0)</f>
        <v>0</v>
      </c>
      <c r="R554" s="9">
        <f t="shared" si="47"/>
        <v>0</v>
      </c>
    </row>
    <row r="555" spans="1:18" ht="13.15" x14ac:dyDescent="0.45">
      <c r="A555" s="15" t="str">
        <f t="shared" si="43"/>
        <v>440304145</v>
      </c>
      <c r="B555" s="19" t="s">
        <v>77</v>
      </c>
      <c r="C555" s="6" t="e">
        <f>_xlfn.XLOOKUP(B:B,#REF!,#REF!)</f>
        <v>#REF!</v>
      </c>
      <c r="D555" s="19" t="s">
        <v>25</v>
      </c>
      <c r="E555" s="6" t="str">
        <f t="shared" si="44"/>
        <v>440304145</v>
      </c>
      <c r="F555" s="19" t="s">
        <v>26</v>
      </c>
      <c r="G555" s="7" t="e">
        <f>VLOOKUP(D555,#REF!,4,)</f>
        <v>#REF!</v>
      </c>
      <c r="H555" s="6" t="e">
        <f>VLOOKUP(D555,#REF!,5,)</f>
        <v>#REF!</v>
      </c>
      <c r="I555" s="27">
        <v>96.93</v>
      </c>
      <c r="J555" s="27">
        <v>27</v>
      </c>
      <c r="K555" s="8">
        <f t="shared" si="45"/>
        <v>0.27855153203342614</v>
      </c>
      <c r="L555" s="27">
        <v>0</v>
      </c>
      <c r="M555" s="21"/>
      <c r="N555" s="27">
        <v>171</v>
      </c>
      <c r="O555" s="27">
        <v>171</v>
      </c>
      <c r="P555" s="9">
        <f t="shared" si="46"/>
        <v>-101.07</v>
      </c>
      <c r="Q555" s="9">
        <f>IFERROR(IF(D555=20250,O555/(#REF!/30),O555/(I555/30)),0)</f>
        <v>52.924791086350972</v>
      </c>
      <c r="R555" s="9">
        <f t="shared" si="47"/>
        <v>52.924791086350972</v>
      </c>
    </row>
    <row r="556" spans="1:18" ht="13.15" x14ac:dyDescent="0.45">
      <c r="A556" s="15" t="str">
        <f t="shared" si="43"/>
        <v>440314248</v>
      </c>
      <c r="B556" s="19" t="s">
        <v>77</v>
      </c>
      <c r="C556" s="6" t="e">
        <f>_xlfn.XLOOKUP(B:B,#REF!,#REF!)</f>
        <v>#REF!</v>
      </c>
      <c r="D556" s="19" t="s">
        <v>29</v>
      </c>
      <c r="E556" s="6" t="str">
        <f t="shared" si="44"/>
        <v>440314248</v>
      </c>
      <c r="F556" s="19" t="s">
        <v>30</v>
      </c>
      <c r="G556" s="7" t="e">
        <f>VLOOKUP(D556,#REF!,4,)</f>
        <v>#REF!</v>
      </c>
      <c r="H556" s="6" t="e">
        <f>VLOOKUP(D556,#REF!,5,)</f>
        <v>#REF!</v>
      </c>
      <c r="I556" s="27">
        <v>968.9</v>
      </c>
      <c r="J556" s="27">
        <v>700</v>
      </c>
      <c r="K556" s="8">
        <f t="shared" si="45"/>
        <v>0.72246877902776341</v>
      </c>
      <c r="L556" s="27">
        <v>0</v>
      </c>
      <c r="M556" s="21"/>
      <c r="N556" s="27">
        <v>1160</v>
      </c>
      <c r="O556" s="27">
        <v>1160</v>
      </c>
      <c r="P556" s="9">
        <f t="shared" si="46"/>
        <v>-891.1</v>
      </c>
      <c r="Q556" s="9">
        <f>IFERROR(IF(D556=20250,O556/(#REF!/30),O556/(I556/30)),0)</f>
        <v>35.917019300237385</v>
      </c>
      <c r="R556" s="9">
        <f t="shared" si="47"/>
        <v>35.917019300237385</v>
      </c>
    </row>
    <row r="557" spans="1:18" ht="13.15" x14ac:dyDescent="0.45">
      <c r="A557" s="15" t="str">
        <f t="shared" si="43"/>
        <v>440316407</v>
      </c>
      <c r="B557" s="19" t="s">
        <v>77</v>
      </c>
      <c r="C557" s="6" t="e">
        <f>_xlfn.XLOOKUP(B:B,#REF!,#REF!)</f>
        <v>#REF!</v>
      </c>
      <c r="D557" s="19" t="s">
        <v>37</v>
      </c>
      <c r="E557" s="6" t="str">
        <f t="shared" si="44"/>
        <v>440316407</v>
      </c>
      <c r="F557" s="19" t="s">
        <v>38</v>
      </c>
      <c r="G557" s="7" t="e">
        <f>VLOOKUP(D557,#REF!,4,)</f>
        <v>#REF!</v>
      </c>
      <c r="H557" s="6" t="e">
        <f>VLOOKUP(D557,#REF!,5,)</f>
        <v>#REF!</v>
      </c>
      <c r="I557" s="27">
        <v>239.4</v>
      </c>
      <c r="J557" s="27">
        <v>243</v>
      </c>
      <c r="K557" s="8">
        <f t="shared" si="45"/>
        <v>1.0150375939849623</v>
      </c>
      <c r="L557" s="27">
        <v>0</v>
      </c>
      <c r="M557" s="21"/>
      <c r="N557" s="27">
        <v>207</v>
      </c>
      <c r="O557" s="27">
        <v>207</v>
      </c>
      <c r="P557" s="9">
        <f t="shared" si="46"/>
        <v>-210.6</v>
      </c>
      <c r="Q557" s="9">
        <f>IFERROR(IF(D557=20250,O557/(#REF!/30),O557/(I557/30)),0)</f>
        <v>25.939849624060148</v>
      </c>
      <c r="R557" s="9">
        <f t="shared" si="47"/>
        <v>25.939849624060148</v>
      </c>
    </row>
    <row r="558" spans="1:18" ht="13.15" x14ac:dyDescent="0.45">
      <c r="A558" s="15" t="str">
        <f t="shared" si="43"/>
        <v>440300189</v>
      </c>
      <c r="B558" s="19" t="s">
        <v>77</v>
      </c>
      <c r="C558" s="6" t="e">
        <f>_xlfn.XLOOKUP(B:B,#REF!,#REF!)</f>
        <v>#REF!</v>
      </c>
      <c r="D558" s="19" t="s">
        <v>39</v>
      </c>
      <c r="E558" s="6" t="str">
        <f t="shared" si="44"/>
        <v>440300189</v>
      </c>
      <c r="F558" s="19" t="s">
        <v>109</v>
      </c>
      <c r="G558" s="7" t="e">
        <f>VLOOKUP(D558,#REF!,4,)</f>
        <v>#REF!</v>
      </c>
      <c r="H558" s="6" t="e">
        <f>VLOOKUP(D558,#REF!,5,)</f>
        <v>#REF!</v>
      </c>
      <c r="I558" s="27">
        <v>146828.04</v>
      </c>
      <c r="J558" s="27">
        <v>109644</v>
      </c>
      <c r="K558" s="8">
        <f t="shared" si="45"/>
        <v>0.74675109740619017</v>
      </c>
      <c r="L558" s="27">
        <v>16608</v>
      </c>
      <c r="M558" s="21">
        <v>46168</v>
      </c>
      <c r="N558" s="27">
        <v>25728</v>
      </c>
      <c r="O558" s="27">
        <v>42336</v>
      </c>
      <c r="P558" s="9">
        <f t="shared" si="46"/>
        <v>-5151.9599999999919</v>
      </c>
      <c r="Q558" s="9">
        <f>IFERROR(IF(D558=20250,O558/(#REF!/30),O558/(I558/30)),0)</f>
        <v>8.6501188737519072</v>
      </c>
      <c r="R558" s="9">
        <f t="shared" si="47"/>
        <v>5.2567615831417482</v>
      </c>
    </row>
    <row r="559" spans="1:18" ht="13.15" x14ac:dyDescent="0.45">
      <c r="A559" s="15" t="str">
        <f t="shared" si="43"/>
        <v>440301167</v>
      </c>
      <c r="B559" s="19" t="s">
        <v>77</v>
      </c>
      <c r="C559" s="6" t="e">
        <f>_xlfn.XLOOKUP(B:B,#REF!,#REF!)</f>
        <v>#REF!</v>
      </c>
      <c r="D559" s="19" t="s">
        <v>40</v>
      </c>
      <c r="E559" s="6" t="str">
        <f t="shared" si="44"/>
        <v>440301167</v>
      </c>
      <c r="F559" s="19" t="s">
        <v>41</v>
      </c>
      <c r="G559" s="7" t="e">
        <f>VLOOKUP(D559,#REF!,4,)</f>
        <v>#REF!</v>
      </c>
      <c r="H559" s="6" t="e">
        <f>VLOOKUP(D559,#REF!,5,)</f>
        <v>#REF!</v>
      </c>
      <c r="I559" s="27">
        <v>29326.44</v>
      </c>
      <c r="J559" s="27">
        <v>22632</v>
      </c>
      <c r="K559" s="8">
        <f t="shared" si="45"/>
        <v>0.77172681034588586</v>
      </c>
      <c r="L559" s="27">
        <v>0</v>
      </c>
      <c r="M559" s="21"/>
      <c r="N559" s="27">
        <v>13608</v>
      </c>
      <c r="O559" s="27">
        <v>13608</v>
      </c>
      <c r="P559" s="9">
        <f t="shared" si="46"/>
        <v>-6913.5600000000013</v>
      </c>
      <c r="Q559" s="9">
        <f>IFERROR(IF(D559=20250,O559/(#REF!/30),O559/(I559/30)),0)</f>
        <v>13.920544055125681</v>
      </c>
      <c r="R559" s="9">
        <f t="shared" si="47"/>
        <v>13.920544055125681</v>
      </c>
    </row>
    <row r="560" spans="1:18" ht="13.15" x14ac:dyDescent="0.45">
      <c r="A560" s="15" t="str">
        <f t="shared" si="43"/>
        <v>440301296</v>
      </c>
      <c r="B560" s="19" t="s">
        <v>77</v>
      </c>
      <c r="C560" s="6" t="e">
        <f>_xlfn.XLOOKUP(B:B,#REF!,#REF!)</f>
        <v>#REF!</v>
      </c>
      <c r="D560" s="19" t="s">
        <v>14</v>
      </c>
      <c r="E560" s="6" t="str">
        <f t="shared" si="44"/>
        <v>440301296</v>
      </c>
      <c r="F560" s="19" t="s">
        <v>15</v>
      </c>
      <c r="G560" s="7" t="e">
        <f>VLOOKUP(D560,#REF!,4,)</f>
        <v>#REF!</v>
      </c>
      <c r="H560" s="6" t="e">
        <f>VLOOKUP(D560,#REF!,5,)</f>
        <v>#REF!</v>
      </c>
      <c r="I560" s="27">
        <v>1649.88</v>
      </c>
      <c r="J560" s="27">
        <v>1356</v>
      </c>
      <c r="K560" s="8">
        <f t="shared" si="45"/>
        <v>0.8218779547603462</v>
      </c>
      <c r="L560" s="27">
        <v>192</v>
      </c>
      <c r="M560" s="21">
        <v>46167</v>
      </c>
      <c r="N560" s="27">
        <v>1212</v>
      </c>
      <c r="O560" s="27">
        <v>1404</v>
      </c>
      <c r="P560" s="9">
        <f t="shared" si="46"/>
        <v>-1110.1199999999999</v>
      </c>
      <c r="Q560" s="9">
        <f>IFERROR(IF(D560=20250,O560/(#REF!/30),O560/(I560/30)),0)</f>
        <v>25.529129391228452</v>
      </c>
      <c r="R560" s="9">
        <f t="shared" si="47"/>
        <v>22.037966397556186</v>
      </c>
    </row>
    <row r="561" spans="1:18" ht="13.15" x14ac:dyDescent="0.45">
      <c r="A561" s="15" t="str">
        <f t="shared" si="43"/>
        <v>440302122</v>
      </c>
      <c r="B561" s="19" t="s">
        <v>77</v>
      </c>
      <c r="C561" s="6" t="e">
        <f>_xlfn.XLOOKUP(B:B,#REF!,#REF!)</f>
        <v>#REF!</v>
      </c>
      <c r="D561" s="19" t="s">
        <v>42</v>
      </c>
      <c r="E561" s="6" t="str">
        <f t="shared" si="44"/>
        <v>440302122</v>
      </c>
      <c r="F561" s="19" t="s">
        <v>43</v>
      </c>
      <c r="G561" s="7" t="e">
        <f>VLOOKUP(D561,#REF!,4,)</f>
        <v>#REF!</v>
      </c>
      <c r="H561" s="6" t="e">
        <f>VLOOKUP(D561,#REF!,5,)</f>
        <v>#REF!</v>
      </c>
      <c r="I561" s="27">
        <v>20126.04</v>
      </c>
      <c r="J561" s="27">
        <v>12588</v>
      </c>
      <c r="K561" s="8">
        <f t="shared" si="45"/>
        <v>0.62545836140641675</v>
      </c>
      <c r="L561" s="27">
        <v>1992</v>
      </c>
      <c r="M561" s="21">
        <v>46167</v>
      </c>
      <c r="N561" s="27">
        <v>9948</v>
      </c>
      <c r="O561" s="27">
        <v>11940</v>
      </c>
      <c r="P561" s="9">
        <f t="shared" si="46"/>
        <v>-4401.9599999999991</v>
      </c>
      <c r="Q561" s="9">
        <f>IFERROR(IF(D561=20250,O561/(#REF!/30),O561/(I561/30)),0)</f>
        <v>17.797838024767913</v>
      </c>
      <c r="R561" s="9">
        <f t="shared" si="47"/>
        <v>14.828550474907134</v>
      </c>
    </row>
    <row r="562" spans="1:18" ht="13.15" x14ac:dyDescent="0.45">
      <c r="A562" s="15" t="str">
        <f t="shared" si="43"/>
        <v>440305159</v>
      </c>
      <c r="B562" s="19" t="s">
        <v>77</v>
      </c>
      <c r="C562" s="6" t="e">
        <f>_xlfn.XLOOKUP(B:B,#REF!,#REF!)</f>
        <v>#REF!</v>
      </c>
      <c r="D562" s="19" t="s">
        <v>44</v>
      </c>
      <c r="E562" s="6" t="str">
        <f t="shared" si="44"/>
        <v>440305159</v>
      </c>
      <c r="F562" s="19" t="s">
        <v>45</v>
      </c>
      <c r="G562" s="7" t="e">
        <f>VLOOKUP(D562,#REF!,4,)</f>
        <v>#REF!</v>
      </c>
      <c r="H562" s="6" t="e">
        <f>VLOOKUP(D562,#REF!,5,)</f>
        <v>#REF!</v>
      </c>
      <c r="I562" s="27">
        <v>43.44</v>
      </c>
      <c r="J562" s="27">
        <v>36</v>
      </c>
      <c r="K562" s="8">
        <f t="shared" si="45"/>
        <v>0.82872928176795579</v>
      </c>
      <c r="L562" s="27">
        <v>0</v>
      </c>
      <c r="M562" s="21"/>
      <c r="N562" s="27">
        <v>36</v>
      </c>
      <c r="O562" s="27">
        <v>36</v>
      </c>
      <c r="P562" s="9">
        <f t="shared" si="46"/>
        <v>-28.560000000000002</v>
      </c>
      <c r="Q562" s="9">
        <f>IFERROR(IF(D562=20250,O562/(#REF!/30),O562/(I562/30)),0)</f>
        <v>24.861878453038674</v>
      </c>
      <c r="R562" s="9">
        <f t="shared" si="47"/>
        <v>24.861878453038674</v>
      </c>
    </row>
    <row r="563" spans="1:18" ht="13.15" x14ac:dyDescent="0.45">
      <c r="A563" s="15" t="str">
        <f t="shared" si="43"/>
        <v>440306982</v>
      </c>
      <c r="B563" s="19" t="s">
        <v>77</v>
      </c>
      <c r="C563" s="6" t="e">
        <f>_xlfn.XLOOKUP(B:B,#REF!,#REF!)</f>
        <v>#REF!</v>
      </c>
      <c r="D563" s="19" t="s">
        <v>46</v>
      </c>
      <c r="E563" s="6" t="str">
        <f t="shared" si="44"/>
        <v>440306982</v>
      </c>
      <c r="F563" s="19" t="s">
        <v>47</v>
      </c>
      <c r="G563" s="7" t="e">
        <f>VLOOKUP(D563,#REF!,4,)</f>
        <v>#REF!</v>
      </c>
      <c r="H563" s="6" t="e">
        <f>VLOOKUP(D563,#REF!,5,)</f>
        <v>#REF!</v>
      </c>
      <c r="I563" s="27">
        <v>3396.72</v>
      </c>
      <c r="J563" s="27">
        <v>2724</v>
      </c>
      <c r="K563" s="8">
        <f t="shared" si="45"/>
        <v>0.80195011658305659</v>
      </c>
      <c r="L563" s="27">
        <v>0</v>
      </c>
      <c r="M563" s="21"/>
      <c r="N563" s="27">
        <v>4356</v>
      </c>
      <c r="O563" s="27">
        <v>4356</v>
      </c>
      <c r="P563" s="9">
        <f t="shared" si="46"/>
        <v>-3683.28</v>
      </c>
      <c r="Q563" s="9">
        <f>IFERROR(IF(D563=20250,O563/(#REF!/30),O563/(I563/30)),0)</f>
        <v>38.472408676605667</v>
      </c>
      <c r="R563" s="9">
        <f t="shared" si="47"/>
        <v>38.472408676605667</v>
      </c>
    </row>
    <row r="564" spans="1:18" ht="13.15" x14ac:dyDescent="0.45">
      <c r="A564" s="15" t="str">
        <f t="shared" si="43"/>
        <v>440307310</v>
      </c>
      <c r="B564" s="19" t="s">
        <v>77</v>
      </c>
      <c r="C564" s="6" t="e">
        <f>_xlfn.XLOOKUP(B:B,#REF!,#REF!)</f>
        <v>#REF!</v>
      </c>
      <c r="D564" s="19" t="s">
        <v>16</v>
      </c>
      <c r="E564" s="6" t="str">
        <f t="shared" si="44"/>
        <v>440307310</v>
      </c>
      <c r="F564" s="19" t="s">
        <v>17</v>
      </c>
      <c r="G564" s="7" t="e">
        <f>VLOOKUP(D564,#REF!,4,)</f>
        <v>#REF!</v>
      </c>
      <c r="H564" s="6" t="e">
        <f>VLOOKUP(D564,#REF!,5,)</f>
        <v>#REF!</v>
      </c>
      <c r="I564" s="27">
        <v>31845</v>
      </c>
      <c r="J564" s="27">
        <v>21816</v>
      </c>
      <c r="K564" s="8">
        <f t="shared" si="45"/>
        <v>0.68506829957607163</v>
      </c>
      <c r="L564" s="27">
        <v>3000</v>
      </c>
      <c r="M564" s="21">
        <v>46167</v>
      </c>
      <c r="N564" s="27">
        <v>31824</v>
      </c>
      <c r="O564" s="27">
        <v>34824</v>
      </c>
      <c r="P564" s="9">
        <f t="shared" si="46"/>
        <v>-24795</v>
      </c>
      <c r="Q564" s="9">
        <f>IFERROR(IF(D564=20250,O564/(#REF!/30),O564/(I564/30)),0)</f>
        <v>32.806406029203956</v>
      </c>
      <c r="R564" s="9">
        <f t="shared" si="47"/>
        <v>29.980216674517191</v>
      </c>
    </row>
    <row r="565" spans="1:18" ht="13.15" x14ac:dyDescent="0.45">
      <c r="A565" s="15" t="str">
        <f t="shared" si="43"/>
        <v>440308529</v>
      </c>
      <c r="B565" s="19" t="s">
        <v>77</v>
      </c>
      <c r="C565" s="6" t="e">
        <f>_xlfn.XLOOKUP(B:B,#REF!,#REF!)</f>
        <v>#REF!</v>
      </c>
      <c r="D565" s="19" t="s">
        <v>48</v>
      </c>
      <c r="E565" s="6" t="str">
        <f t="shared" si="44"/>
        <v>440308529</v>
      </c>
      <c r="F565" s="19" t="s">
        <v>49</v>
      </c>
      <c r="G565" s="7" t="e">
        <f>VLOOKUP(D565,#REF!,4,)</f>
        <v>#REF!</v>
      </c>
      <c r="H565" s="6" t="e">
        <f>VLOOKUP(D565,#REF!,5,)</f>
        <v>#REF!</v>
      </c>
      <c r="I565" s="27">
        <v>15171.24</v>
      </c>
      <c r="J565" s="27">
        <v>10692</v>
      </c>
      <c r="K565" s="8">
        <f t="shared" si="45"/>
        <v>0.70475452237259451</v>
      </c>
      <c r="L565" s="27">
        <v>1860</v>
      </c>
      <c r="M565" s="21">
        <v>46167</v>
      </c>
      <c r="N565" s="27">
        <v>9852</v>
      </c>
      <c r="O565" s="27">
        <v>11712</v>
      </c>
      <c r="P565" s="9">
        <f t="shared" si="46"/>
        <v>-7232.76</v>
      </c>
      <c r="Q565" s="9">
        <f>IFERROR(IF(D565=20250,O565/(#REF!/30),O565/(I565/30)),0)</f>
        <v>23.159609893456306</v>
      </c>
      <c r="R565" s="9">
        <f t="shared" si="47"/>
        <v>19.481598076360271</v>
      </c>
    </row>
    <row r="566" spans="1:18" ht="13.15" x14ac:dyDescent="0.45">
      <c r="A566" s="15" t="str">
        <f t="shared" si="43"/>
        <v>440313179</v>
      </c>
      <c r="B566" s="19" t="s">
        <v>77</v>
      </c>
      <c r="C566" s="6" t="e">
        <f>_xlfn.XLOOKUP(B:B,#REF!,#REF!)</f>
        <v>#REF!</v>
      </c>
      <c r="D566" s="19" t="s">
        <v>18</v>
      </c>
      <c r="E566" s="6" t="str">
        <f t="shared" si="44"/>
        <v>440313179</v>
      </c>
      <c r="F566" s="19" t="s">
        <v>19</v>
      </c>
      <c r="G566" s="7" t="e">
        <f>VLOOKUP(D566,#REF!,4,)</f>
        <v>#REF!</v>
      </c>
      <c r="H566" s="6" t="e">
        <f>VLOOKUP(D566,#REF!,5,)</f>
        <v>#REF!</v>
      </c>
      <c r="I566" s="27">
        <v>75153.36</v>
      </c>
      <c r="J566" s="27">
        <v>61284</v>
      </c>
      <c r="K566" s="8">
        <f t="shared" si="45"/>
        <v>0.81545256259999555</v>
      </c>
      <c r="L566" s="27">
        <v>12348</v>
      </c>
      <c r="M566" s="21">
        <v>46167</v>
      </c>
      <c r="N566" s="27">
        <v>16296</v>
      </c>
      <c r="O566" s="27">
        <v>28644</v>
      </c>
      <c r="P566" s="9">
        <f t="shared" si="46"/>
        <v>-14774.64</v>
      </c>
      <c r="Q566" s="9">
        <f>IFERROR(IF(D566=20250,O566/(#REF!/30),O566/(I566/30)),0)</f>
        <v>11.434219308358269</v>
      </c>
      <c r="R566" s="9">
        <f t="shared" si="47"/>
        <v>6.5050983748431204</v>
      </c>
    </row>
    <row r="567" spans="1:18" ht="13.15" x14ac:dyDescent="0.45">
      <c r="A567" s="15" t="str">
        <f t="shared" si="43"/>
        <v>440313678</v>
      </c>
      <c r="B567" s="19" t="s">
        <v>77</v>
      </c>
      <c r="C567" s="6" t="e">
        <f>_xlfn.XLOOKUP(B:B,#REF!,#REF!)</f>
        <v>#REF!</v>
      </c>
      <c r="D567" s="19" t="s">
        <v>50</v>
      </c>
      <c r="E567" s="6" t="str">
        <f t="shared" si="44"/>
        <v>440313678</v>
      </c>
      <c r="F567" s="19" t="s">
        <v>51</v>
      </c>
      <c r="G567" s="7" t="e">
        <f>VLOOKUP(D567,#REF!,4,)</f>
        <v>#REF!</v>
      </c>
      <c r="H567" s="6" t="e">
        <f>VLOOKUP(D567,#REF!,5,)</f>
        <v>#REF!</v>
      </c>
      <c r="I567" s="27">
        <v>9404.76</v>
      </c>
      <c r="J567" s="27">
        <v>7788</v>
      </c>
      <c r="K567" s="8">
        <f t="shared" si="45"/>
        <v>0.82809130695520139</v>
      </c>
      <c r="L567" s="27">
        <v>120</v>
      </c>
      <c r="M567" s="21">
        <v>46167</v>
      </c>
      <c r="N567" s="27">
        <v>6012</v>
      </c>
      <c r="O567" s="27">
        <v>6132</v>
      </c>
      <c r="P567" s="9">
        <f t="shared" si="46"/>
        <v>-4515.24</v>
      </c>
      <c r="Q567" s="9">
        <f>IFERROR(IF(D567=20250,O567/(#REF!/30),O567/(I567/30)),0)</f>
        <v>19.560307759049671</v>
      </c>
      <c r="R567" s="9">
        <f t="shared" si="47"/>
        <v>19.177522871397038</v>
      </c>
    </row>
    <row r="568" spans="1:18" ht="13.15" x14ac:dyDescent="0.45">
      <c r="A568" s="15" t="str">
        <f t="shared" si="43"/>
        <v>440314654</v>
      </c>
      <c r="B568" s="19" t="s">
        <v>77</v>
      </c>
      <c r="C568" s="6" t="e">
        <f>_xlfn.XLOOKUP(B:B,#REF!,#REF!)</f>
        <v>#REF!</v>
      </c>
      <c r="D568" s="19" t="s">
        <v>52</v>
      </c>
      <c r="E568" s="6" t="str">
        <f t="shared" si="44"/>
        <v>440314654</v>
      </c>
      <c r="F568" s="19" t="s">
        <v>53</v>
      </c>
      <c r="G568" s="7" t="e">
        <f>VLOOKUP(D568,#REF!,4,)</f>
        <v>#REF!</v>
      </c>
      <c r="H568" s="6" t="e">
        <f>VLOOKUP(D568,#REF!,5,)</f>
        <v>#REF!</v>
      </c>
      <c r="I568" s="27">
        <v>6505.68</v>
      </c>
      <c r="J568" s="27">
        <v>4776</v>
      </c>
      <c r="K568" s="8">
        <f t="shared" si="45"/>
        <v>0.73412771608809524</v>
      </c>
      <c r="L568" s="27">
        <v>1992</v>
      </c>
      <c r="M568" s="21">
        <v>46167</v>
      </c>
      <c r="N568" s="27">
        <v>1788</v>
      </c>
      <c r="O568" s="27">
        <v>3780</v>
      </c>
      <c r="P568" s="9">
        <f t="shared" si="46"/>
        <v>-2050.3199999999997</v>
      </c>
      <c r="Q568" s="9">
        <f>IFERROR(IF(D568=20250,O568/(#REF!/30),O568/(I568/30)),0)</f>
        <v>17.430921902091708</v>
      </c>
      <c r="R568" s="9">
        <f t="shared" si="47"/>
        <v>8.2451027409894113</v>
      </c>
    </row>
    <row r="569" spans="1:18" ht="13.15" x14ac:dyDescent="0.45">
      <c r="A569" s="15" t="str">
        <f t="shared" si="43"/>
        <v>440314788</v>
      </c>
      <c r="B569" s="19" t="s">
        <v>77</v>
      </c>
      <c r="C569" s="6" t="e">
        <f>_xlfn.XLOOKUP(B:B,#REF!,#REF!)</f>
        <v>#REF!</v>
      </c>
      <c r="D569" s="19" t="s">
        <v>54</v>
      </c>
      <c r="E569" s="6" t="str">
        <f t="shared" si="44"/>
        <v>440314788</v>
      </c>
      <c r="F569" s="19" t="s">
        <v>55</v>
      </c>
      <c r="G569" s="7" t="e">
        <f>VLOOKUP(D569,#REF!,4,)</f>
        <v>#REF!</v>
      </c>
      <c r="H569" s="6" t="e">
        <f>VLOOKUP(D569,#REF!,5,)</f>
        <v>#REF!</v>
      </c>
      <c r="I569" s="27">
        <v>720.48</v>
      </c>
      <c r="J569" s="27">
        <v>108</v>
      </c>
      <c r="K569" s="8">
        <f t="shared" si="45"/>
        <v>0.14990006662225183</v>
      </c>
      <c r="L569" s="27">
        <v>0</v>
      </c>
      <c r="M569" s="21"/>
      <c r="N569" s="27">
        <v>1332</v>
      </c>
      <c r="O569" s="27">
        <v>1332</v>
      </c>
      <c r="P569" s="9">
        <f t="shared" si="46"/>
        <v>-719.52</v>
      </c>
      <c r="Q569" s="9">
        <f>IFERROR(IF(D569=20250,O569/(#REF!/30),O569/(I569/30)),0)</f>
        <v>55.463024650233173</v>
      </c>
      <c r="R569" s="9">
        <f t="shared" si="47"/>
        <v>55.463024650233173</v>
      </c>
    </row>
    <row r="570" spans="1:18" ht="13.15" x14ac:dyDescent="0.45">
      <c r="A570" s="15" t="str">
        <f t="shared" si="43"/>
        <v>440315536</v>
      </c>
      <c r="B570" s="19" t="s">
        <v>77</v>
      </c>
      <c r="C570" s="6" t="e">
        <f>_xlfn.XLOOKUP(B:B,#REF!,#REF!)</f>
        <v>#REF!</v>
      </c>
      <c r="D570" s="19" t="s">
        <v>56</v>
      </c>
      <c r="E570" s="6" t="str">
        <f t="shared" si="44"/>
        <v>440315536</v>
      </c>
      <c r="F570" s="19" t="s">
        <v>57</v>
      </c>
      <c r="G570" s="7" t="e">
        <f>VLOOKUP(D570,#REF!,4,)</f>
        <v>#REF!</v>
      </c>
      <c r="H570" s="6" t="e">
        <f>VLOOKUP(D570,#REF!,5,)</f>
        <v>#REF!</v>
      </c>
      <c r="I570" s="27">
        <v>13850.28</v>
      </c>
      <c r="J570" s="27">
        <v>10584</v>
      </c>
      <c r="K570" s="8">
        <f t="shared" si="45"/>
        <v>0.76417227666155485</v>
      </c>
      <c r="L570" s="27">
        <v>11724</v>
      </c>
      <c r="M570" s="21">
        <v>46167</v>
      </c>
      <c r="N570" s="27">
        <v>7908</v>
      </c>
      <c r="O570" s="27">
        <v>19632</v>
      </c>
      <c r="P570" s="9">
        <f t="shared" si="46"/>
        <v>-16365.72</v>
      </c>
      <c r="Q570" s="9">
        <f>IFERROR(IF(D570=20250,O570/(#REF!/30),O570/(I570/30)),0)</f>
        <v>42.523328048241623</v>
      </c>
      <c r="R570" s="9">
        <f t="shared" si="47"/>
        <v>17.128895589114443</v>
      </c>
    </row>
    <row r="571" spans="1:18" ht="13.15" x14ac:dyDescent="0.45">
      <c r="A571" s="15" t="str">
        <f t="shared" si="43"/>
        <v>440315906</v>
      </c>
      <c r="B571" s="19" t="s">
        <v>77</v>
      </c>
      <c r="C571" s="6" t="e">
        <f>_xlfn.XLOOKUP(B:B,#REF!,#REF!)</f>
        <v>#REF!</v>
      </c>
      <c r="D571" s="19" t="s">
        <v>58</v>
      </c>
      <c r="E571" s="6" t="str">
        <f t="shared" si="44"/>
        <v>440315906</v>
      </c>
      <c r="F571" s="19" t="s">
        <v>59</v>
      </c>
      <c r="G571" s="7" t="e">
        <f>VLOOKUP(D571,#REF!,4,)</f>
        <v>#REF!</v>
      </c>
      <c r="H571" s="6" t="e">
        <f>VLOOKUP(D571,#REF!,5,)</f>
        <v>#REF!</v>
      </c>
      <c r="I571" s="27">
        <v>245.28</v>
      </c>
      <c r="J571" s="27">
        <v>0</v>
      </c>
      <c r="K571" s="8">
        <f t="shared" si="45"/>
        <v>0</v>
      </c>
      <c r="L571" s="27">
        <v>0</v>
      </c>
      <c r="M571" s="21"/>
      <c r="N571" s="27">
        <v>360</v>
      </c>
      <c r="O571" s="27">
        <v>360</v>
      </c>
      <c r="P571" s="9">
        <f t="shared" si="46"/>
        <v>-114.72</v>
      </c>
      <c r="Q571" s="9">
        <f>IFERROR(IF(D571=20250,O571/(#REF!/30),O571/(I571/30)),0)</f>
        <v>44.031311154598825</v>
      </c>
      <c r="R571" s="9">
        <f t="shared" si="47"/>
        <v>44.031311154598825</v>
      </c>
    </row>
    <row r="572" spans="1:18" ht="13.15" x14ac:dyDescent="0.45">
      <c r="A572" s="15" t="str">
        <f t="shared" si="43"/>
        <v>440316336</v>
      </c>
      <c r="B572" s="19" t="s">
        <v>77</v>
      </c>
      <c r="C572" s="6" t="e">
        <f>_xlfn.XLOOKUP(B:B,#REF!,#REF!)</f>
        <v>#REF!</v>
      </c>
      <c r="D572" s="19" t="s">
        <v>20</v>
      </c>
      <c r="E572" s="6" t="str">
        <f t="shared" si="44"/>
        <v>440316336</v>
      </c>
      <c r="F572" s="19" t="s">
        <v>21</v>
      </c>
      <c r="G572" s="7" t="e">
        <f>VLOOKUP(D572,#REF!,4,)</f>
        <v>#REF!</v>
      </c>
      <c r="H572" s="6" t="e">
        <f>VLOOKUP(D572,#REF!,5,)</f>
        <v>#REF!</v>
      </c>
      <c r="I572" s="27">
        <v>18945.240000000002</v>
      </c>
      <c r="J572" s="27">
        <v>16668</v>
      </c>
      <c r="K572" s="8">
        <f t="shared" si="45"/>
        <v>0.87979883073531917</v>
      </c>
      <c r="L572" s="27">
        <v>0</v>
      </c>
      <c r="M572" s="21"/>
      <c r="N572" s="27">
        <v>35820</v>
      </c>
      <c r="O572" s="27">
        <v>35820</v>
      </c>
      <c r="P572" s="9">
        <f t="shared" si="46"/>
        <v>-33542.759999999995</v>
      </c>
      <c r="Q572" s="9">
        <f>IFERROR(IF(D572=20250,O572/(#REF!/30),O572/(I572/30)),0)</f>
        <v>56.721371700754382</v>
      </c>
      <c r="R572" s="9">
        <f t="shared" si="47"/>
        <v>56.721371700754382</v>
      </c>
    </row>
    <row r="573" spans="1:18" ht="13.15" x14ac:dyDescent="0.45">
      <c r="A573" s="15" t="str">
        <f t="shared" si="43"/>
        <v>440316984</v>
      </c>
      <c r="B573" s="19" t="s">
        <v>77</v>
      </c>
      <c r="C573" s="6" t="e">
        <f>_xlfn.XLOOKUP(B:B,#REF!,#REF!)</f>
        <v>#REF!</v>
      </c>
      <c r="D573" s="19" t="s">
        <v>60</v>
      </c>
      <c r="E573" s="6" t="str">
        <f t="shared" si="44"/>
        <v>440316984</v>
      </c>
      <c r="F573" s="19" t="s">
        <v>61</v>
      </c>
      <c r="G573" s="7" t="e">
        <f>VLOOKUP(D573,#REF!,4,)</f>
        <v>#REF!</v>
      </c>
      <c r="H573" s="6" t="e">
        <f>VLOOKUP(D573,#REF!,5,)</f>
        <v>#REF!</v>
      </c>
      <c r="I573" s="27">
        <v>135.47999999999999</v>
      </c>
      <c r="J573" s="27">
        <v>504</v>
      </c>
      <c r="K573" s="8">
        <f t="shared" si="45"/>
        <v>3.7201062887511074</v>
      </c>
      <c r="L573" s="27">
        <v>96</v>
      </c>
      <c r="M573" s="21">
        <v>46167</v>
      </c>
      <c r="N573" s="27">
        <v>12</v>
      </c>
      <c r="O573" s="27">
        <v>108</v>
      </c>
      <c r="P573" s="9">
        <f t="shared" si="46"/>
        <v>-476.52</v>
      </c>
      <c r="Q573" s="9">
        <f>IFERROR(IF(D573=20250,O573/(#REF!/30),O573/(I573/30)),0)</f>
        <v>23.914968999114262</v>
      </c>
      <c r="R573" s="9">
        <f t="shared" si="47"/>
        <v>2.6572187776793621</v>
      </c>
    </row>
    <row r="574" spans="1:18" ht="13.15" x14ac:dyDescent="0.45">
      <c r="A574" s="15" t="str">
        <f t="shared" si="43"/>
        <v>440316998</v>
      </c>
      <c r="B574" s="19" t="s">
        <v>77</v>
      </c>
      <c r="C574" s="6" t="e">
        <f>_xlfn.XLOOKUP(B:B,#REF!,#REF!)</f>
        <v>#REF!</v>
      </c>
      <c r="D574" s="19" t="s">
        <v>62</v>
      </c>
      <c r="E574" s="6" t="str">
        <f t="shared" si="44"/>
        <v>440316998</v>
      </c>
      <c r="F574" s="19" t="s">
        <v>63</v>
      </c>
      <c r="G574" s="7" t="e">
        <f>VLOOKUP(D574,#REF!,4,)</f>
        <v>#REF!</v>
      </c>
      <c r="H574" s="6" t="e">
        <f>VLOOKUP(D574,#REF!,5,)</f>
        <v>#REF!</v>
      </c>
      <c r="I574" s="27">
        <v>24.72</v>
      </c>
      <c r="J574" s="27">
        <v>0</v>
      </c>
      <c r="K574" s="8">
        <f t="shared" si="45"/>
        <v>0</v>
      </c>
      <c r="L574" s="27">
        <v>0</v>
      </c>
      <c r="M574" s="21"/>
      <c r="N574" s="27">
        <v>108</v>
      </c>
      <c r="O574" s="27">
        <v>108</v>
      </c>
      <c r="P574" s="9">
        <f t="shared" si="46"/>
        <v>-83.28</v>
      </c>
      <c r="Q574" s="9">
        <f>IFERROR(IF(D574=20250,O574/(#REF!/30),O574/(I574/30)),0)</f>
        <v>131.06796116504856</v>
      </c>
      <c r="R574" s="9">
        <f t="shared" si="47"/>
        <v>131.06796116504856</v>
      </c>
    </row>
    <row r="575" spans="1:18" ht="13.15" x14ac:dyDescent="0.45">
      <c r="A575" s="15" t="str">
        <f t="shared" si="43"/>
        <v>440318098</v>
      </c>
      <c r="B575" s="19" t="s">
        <v>77</v>
      </c>
      <c r="C575" s="6" t="e">
        <f>_xlfn.XLOOKUP(B:B,#REF!,#REF!)</f>
        <v>#REF!</v>
      </c>
      <c r="D575" s="19" t="s">
        <v>64</v>
      </c>
      <c r="E575" s="6" t="str">
        <f t="shared" si="44"/>
        <v>440318098</v>
      </c>
      <c r="F575" s="19" t="s">
        <v>131</v>
      </c>
      <c r="G575" s="7" t="e">
        <f>VLOOKUP(D575,#REF!,4,)</f>
        <v>#REF!</v>
      </c>
      <c r="H575" s="6" t="e">
        <f>VLOOKUP(D575,#REF!,5,)</f>
        <v>#REF!</v>
      </c>
      <c r="I575" s="27">
        <v>49.44</v>
      </c>
      <c r="J575" s="27">
        <v>0</v>
      </c>
      <c r="K575" s="8">
        <f t="shared" si="45"/>
        <v>0</v>
      </c>
      <c r="L575" s="27">
        <v>0</v>
      </c>
      <c r="M575" s="21"/>
      <c r="N575" s="27">
        <v>48</v>
      </c>
      <c r="O575" s="27">
        <v>48</v>
      </c>
      <c r="P575" s="9">
        <f t="shared" si="46"/>
        <v>1.4399999999999977</v>
      </c>
      <c r="Q575" s="9">
        <f>IFERROR(IF(D575=20250,O575/(#REF!/30),O575/(I575/30)),0)</f>
        <v>29.126213592233011</v>
      </c>
      <c r="R575" s="9">
        <f t="shared" si="47"/>
        <v>29.126213592233011</v>
      </c>
    </row>
    <row r="576" spans="1:18" ht="13.15" x14ac:dyDescent="0.45">
      <c r="A576" s="15" t="str">
        <f t="shared" si="43"/>
        <v>440320308</v>
      </c>
      <c r="B576" s="19" t="s">
        <v>77</v>
      </c>
      <c r="C576" s="6" t="e">
        <f>_xlfn.XLOOKUP(B:B,#REF!,#REF!)</f>
        <v>#REF!</v>
      </c>
      <c r="D576" s="19" t="s">
        <v>84</v>
      </c>
      <c r="E576" s="6" t="str">
        <f t="shared" si="44"/>
        <v>440320308</v>
      </c>
      <c r="F576" s="19" t="s">
        <v>108</v>
      </c>
      <c r="G576" s="7" t="e">
        <f>VLOOKUP(D576,#REF!,4,)</f>
        <v>#REF!</v>
      </c>
      <c r="H576" s="6" t="e">
        <f>VLOOKUP(D576,#REF!,5,)</f>
        <v>#REF!</v>
      </c>
      <c r="I576" s="27">
        <v>15178.2</v>
      </c>
      <c r="J576" s="27">
        <v>8436</v>
      </c>
      <c r="K576" s="8">
        <f t="shared" si="45"/>
        <v>0.55579713009447762</v>
      </c>
      <c r="L576" s="27">
        <v>0</v>
      </c>
      <c r="M576" s="21"/>
      <c r="N576" s="27">
        <v>12408</v>
      </c>
      <c r="O576" s="27">
        <v>12408</v>
      </c>
      <c r="P576" s="9">
        <f t="shared" si="46"/>
        <v>-5665.7999999999993</v>
      </c>
      <c r="Q576" s="9">
        <f>IFERROR(IF(D576=20250,O576/(#REF!/30),O576/(I576/30)),0)</f>
        <v>24.524647191366565</v>
      </c>
      <c r="R576" s="9">
        <f t="shared" si="47"/>
        <v>24.524647191366565</v>
      </c>
    </row>
    <row r="577" spans="1:18" ht="13.15" x14ac:dyDescent="0.45">
      <c r="A577" s="15" t="str">
        <f t="shared" si="43"/>
        <v>440320827</v>
      </c>
      <c r="B577" s="19" t="s">
        <v>77</v>
      </c>
      <c r="C577" s="6" t="e">
        <f>_xlfn.XLOOKUP(B:B,#REF!,#REF!)</f>
        <v>#REF!</v>
      </c>
      <c r="D577" s="19" t="s">
        <v>85</v>
      </c>
      <c r="E577" s="6" t="str">
        <f t="shared" si="44"/>
        <v>440320827</v>
      </c>
      <c r="F577" s="19" t="s">
        <v>86</v>
      </c>
      <c r="G577" s="7" t="e">
        <f>VLOOKUP(D577,#REF!,4,)</f>
        <v>#REF!</v>
      </c>
      <c r="H577" s="6" t="e">
        <f>VLOOKUP(D577,#REF!,5,)</f>
        <v>#REF!</v>
      </c>
      <c r="I577" s="27">
        <v>2199.96</v>
      </c>
      <c r="J577" s="27">
        <v>2448</v>
      </c>
      <c r="K577" s="8">
        <f t="shared" si="45"/>
        <v>1.1127475045000819</v>
      </c>
      <c r="L577" s="27">
        <v>1200</v>
      </c>
      <c r="M577" s="21">
        <v>46167</v>
      </c>
      <c r="N577" s="27">
        <v>900</v>
      </c>
      <c r="O577" s="27">
        <v>2100</v>
      </c>
      <c r="P577" s="9">
        <f t="shared" si="46"/>
        <v>-2348.04</v>
      </c>
      <c r="Q577" s="9">
        <f>IFERROR(IF(D577=20250,O577/(#REF!/30),O577/(I577/30)),0)</f>
        <v>28.636884306987398</v>
      </c>
      <c r="R577" s="9">
        <f t="shared" si="47"/>
        <v>12.272950417280313</v>
      </c>
    </row>
    <row r="578" spans="1:18" ht="13.15" x14ac:dyDescent="0.45">
      <c r="A578" s="15" t="str">
        <f t="shared" si="43"/>
        <v>440321910</v>
      </c>
      <c r="B578" s="19" t="s">
        <v>77</v>
      </c>
      <c r="C578" s="6" t="e">
        <f>_xlfn.XLOOKUP(B:B,#REF!,#REF!)</f>
        <v>#REF!</v>
      </c>
      <c r="D578" s="19" t="s">
        <v>91</v>
      </c>
      <c r="E578" s="6" t="str">
        <f t="shared" si="44"/>
        <v>440321910</v>
      </c>
      <c r="F578" s="19" t="s">
        <v>92</v>
      </c>
      <c r="G578" s="7" t="e">
        <f>VLOOKUP(D578,#REF!,4,)</f>
        <v>#REF!</v>
      </c>
      <c r="H578" s="6" t="e">
        <f>VLOOKUP(D578,#REF!,5,)</f>
        <v>#REF!</v>
      </c>
      <c r="I578" s="27">
        <v>36.6</v>
      </c>
      <c r="J578" s="27">
        <v>0</v>
      </c>
      <c r="K578" s="8">
        <f t="shared" si="45"/>
        <v>0</v>
      </c>
      <c r="L578" s="27">
        <v>0</v>
      </c>
      <c r="M578" s="21"/>
      <c r="N578" s="27">
        <v>96</v>
      </c>
      <c r="O578" s="27">
        <v>96</v>
      </c>
      <c r="P578" s="9">
        <f t="shared" si="46"/>
        <v>-59.4</v>
      </c>
      <c r="Q578" s="9">
        <f>IFERROR(IF(D578=20250,O578/(#REF!/30),O578/(I578/30)),0)</f>
        <v>78.688524590163937</v>
      </c>
      <c r="R578" s="9">
        <f t="shared" si="47"/>
        <v>78.688524590163937</v>
      </c>
    </row>
    <row r="579" spans="1:18" ht="13.15" x14ac:dyDescent="0.45">
      <c r="A579" s="15" t="str">
        <f t="shared" si="43"/>
        <v>440323081</v>
      </c>
      <c r="B579" s="19" t="s">
        <v>77</v>
      </c>
      <c r="C579" s="6" t="e">
        <f>_xlfn.XLOOKUP(B:B,#REF!,#REF!)</f>
        <v>#REF!</v>
      </c>
      <c r="D579" s="19" t="s">
        <v>96</v>
      </c>
      <c r="E579" s="6" t="str">
        <f t="shared" si="44"/>
        <v>440323081</v>
      </c>
      <c r="F579" s="19" t="s">
        <v>97</v>
      </c>
      <c r="G579" s="7" t="e">
        <f>VLOOKUP(D579,#REF!,4,)</f>
        <v>#REF!</v>
      </c>
      <c r="H579" s="6" t="e">
        <f>VLOOKUP(D579,#REF!,5,)</f>
        <v>#REF!</v>
      </c>
      <c r="I579" s="27">
        <v>744.24</v>
      </c>
      <c r="J579" s="27">
        <v>672</v>
      </c>
      <c r="K579" s="8">
        <f t="shared" si="45"/>
        <v>0.90293453724604966</v>
      </c>
      <c r="L579" s="27">
        <v>0</v>
      </c>
      <c r="M579" s="21"/>
      <c r="N579" s="27">
        <v>372</v>
      </c>
      <c r="O579" s="27">
        <v>372</v>
      </c>
      <c r="P579" s="9">
        <f t="shared" si="46"/>
        <v>-299.76</v>
      </c>
      <c r="Q579" s="9">
        <f>IFERROR(IF(D579=20250,O579/(#REF!/30),O579/(I579/30)),0)</f>
        <v>14.995162850693324</v>
      </c>
      <c r="R579" s="9">
        <f t="shared" si="47"/>
        <v>14.995162850693324</v>
      </c>
    </row>
    <row r="580" spans="1:18" ht="13.15" x14ac:dyDescent="0.45">
      <c r="A580" s="15" t="str">
        <f t="shared" ref="A580:A626" si="48">B580&amp;D580</f>
        <v>440323401</v>
      </c>
      <c r="B580" s="19" t="s">
        <v>77</v>
      </c>
      <c r="C580" s="6" t="e">
        <f>_xlfn.XLOOKUP(B:B,#REF!,#REF!)</f>
        <v>#REF!</v>
      </c>
      <c r="D580" s="19" t="s">
        <v>98</v>
      </c>
      <c r="E580" s="6" t="str">
        <f t="shared" ref="E580:E626" si="49">B580&amp;D580</f>
        <v>440323401</v>
      </c>
      <c r="F580" s="19" t="s">
        <v>99</v>
      </c>
      <c r="G580" s="7" t="e">
        <f>VLOOKUP(D580,#REF!,4,)</f>
        <v>#REF!</v>
      </c>
      <c r="H580" s="6" t="e">
        <f>VLOOKUP(D580,#REF!,5,)</f>
        <v>#REF!</v>
      </c>
      <c r="I580" s="27">
        <v>13826.52</v>
      </c>
      <c r="J580" s="27">
        <v>8316</v>
      </c>
      <c r="K580" s="8">
        <f t="shared" ref="K580:K626" si="50">IFERROR(J580/I580,0)</f>
        <v>0.60145286015570076</v>
      </c>
      <c r="L580" s="27">
        <v>6000</v>
      </c>
      <c r="M580" s="21">
        <v>46167</v>
      </c>
      <c r="N580" s="27">
        <v>2436</v>
      </c>
      <c r="O580" s="27">
        <v>8436</v>
      </c>
      <c r="P580" s="9">
        <f t="shared" ref="P580:P617" si="51">I580-J580-O580</f>
        <v>-2925.4799999999996</v>
      </c>
      <c r="Q580" s="9">
        <f>IFERROR(IF(D580=20250,O580/(#REF!/30),O580/(I580/30)),0)</f>
        <v>18.30395500820163</v>
      </c>
      <c r="R580" s="9">
        <f t="shared" ref="R580:R617" si="52">IFERROR(N580/(I580/30),0)</f>
        <v>5.2854948316713095</v>
      </c>
    </row>
    <row r="581" spans="1:18" ht="13.15" x14ac:dyDescent="0.45">
      <c r="A581" s="15" t="str">
        <f t="shared" si="48"/>
        <v>440323890</v>
      </c>
      <c r="B581" s="19" t="s">
        <v>77</v>
      </c>
      <c r="C581" s="6" t="e">
        <f>_xlfn.XLOOKUP(B:B,#REF!,#REF!)</f>
        <v>#REF!</v>
      </c>
      <c r="D581" s="19" t="s">
        <v>103</v>
      </c>
      <c r="E581" s="6" t="str">
        <f t="shared" si="49"/>
        <v>440323890</v>
      </c>
      <c r="F581" s="19" t="s">
        <v>104</v>
      </c>
      <c r="G581" s="7" t="e">
        <f>VLOOKUP(D581,#REF!,4,)</f>
        <v>#REF!</v>
      </c>
      <c r="H581" s="6" t="e">
        <f>VLOOKUP(D581,#REF!,5,)</f>
        <v>#REF!</v>
      </c>
      <c r="I581" s="27">
        <v>0</v>
      </c>
      <c r="J581" s="27">
        <v>1128</v>
      </c>
      <c r="K581" s="8">
        <f t="shared" si="50"/>
        <v>0</v>
      </c>
      <c r="L581" s="27">
        <v>0</v>
      </c>
      <c r="M581" s="21"/>
      <c r="N581" s="27">
        <v>0</v>
      </c>
      <c r="O581" s="27">
        <v>0</v>
      </c>
      <c r="P581" s="9">
        <f t="shared" si="51"/>
        <v>-1128</v>
      </c>
      <c r="Q581" s="9">
        <f>IFERROR(IF(D581=20250,O581/(#REF!/30),O581/(I581/30)),0)</f>
        <v>0</v>
      </c>
      <c r="R581" s="9">
        <f t="shared" si="52"/>
        <v>0</v>
      </c>
    </row>
    <row r="582" spans="1:18" ht="13.15" x14ac:dyDescent="0.45">
      <c r="A582" s="15" t="str">
        <f t="shared" si="48"/>
        <v>440324768</v>
      </c>
      <c r="B582" s="19" t="s">
        <v>77</v>
      </c>
      <c r="C582" s="6" t="e">
        <f>_xlfn.XLOOKUP(B:B,#REF!,#REF!)</f>
        <v>#REF!</v>
      </c>
      <c r="D582" s="19" t="s">
        <v>111</v>
      </c>
      <c r="E582" s="6" t="str">
        <f t="shared" si="49"/>
        <v>440324768</v>
      </c>
      <c r="F582" s="19" t="s">
        <v>112</v>
      </c>
      <c r="G582" s="7" t="e">
        <f>VLOOKUP(D582,#REF!,4,)</f>
        <v>#REF!</v>
      </c>
      <c r="H582" s="6" t="e">
        <f>VLOOKUP(D582,#REF!,5,)</f>
        <v>#REF!</v>
      </c>
      <c r="I582" s="27">
        <v>1926</v>
      </c>
      <c r="J582" s="27">
        <v>2772</v>
      </c>
      <c r="K582" s="8">
        <f t="shared" si="50"/>
        <v>1.4392523364485981</v>
      </c>
      <c r="L582" s="27">
        <v>0</v>
      </c>
      <c r="M582" s="21"/>
      <c r="N582" s="27">
        <v>2184</v>
      </c>
      <c r="O582" s="27">
        <v>2184</v>
      </c>
      <c r="P582" s="9">
        <f t="shared" si="51"/>
        <v>-3030</v>
      </c>
      <c r="Q582" s="9">
        <f>IFERROR(IF(D582=20250,O582/(#REF!/30),O582/(I582/30)),0)</f>
        <v>34.018691588785046</v>
      </c>
      <c r="R582" s="9">
        <f t="shared" si="52"/>
        <v>34.018691588785046</v>
      </c>
    </row>
    <row r="583" spans="1:18" ht="13.15" x14ac:dyDescent="0.45">
      <c r="A583" s="15" t="str">
        <f t="shared" si="48"/>
        <v>440325570</v>
      </c>
      <c r="B583" s="19" t="s">
        <v>77</v>
      </c>
      <c r="C583" s="6" t="e">
        <f>_xlfn.XLOOKUP(B:B,#REF!,#REF!)</f>
        <v>#REF!</v>
      </c>
      <c r="D583" s="19" t="s">
        <v>116</v>
      </c>
      <c r="E583" s="6" t="str">
        <f t="shared" si="49"/>
        <v>440325570</v>
      </c>
      <c r="F583" s="19" t="s">
        <v>118</v>
      </c>
      <c r="G583" s="7" t="e">
        <f>VLOOKUP(D583,#REF!,4,)</f>
        <v>#REF!</v>
      </c>
      <c r="H583" s="6" t="e">
        <f>VLOOKUP(D583,#REF!,5,)</f>
        <v>#REF!</v>
      </c>
      <c r="I583" s="27">
        <v>3625.44</v>
      </c>
      <c r="J583" s="27">
        <v>3192</v>
      </c>
      <c r="K583" s="8">
        <f t="shared" si="50"/>
        <v>0.88044485634847081</v>
      </c>
      <c r="L583" s="27">
        <v>0</v>
      </c>
      <c r="M583" s="21"/>
      <c r="N583" s="27">
        <v>2808</v>
      </c>
      <c r="O583" s="27">
        <v>2808</v>
      </c>
      <c r="P583" s="9">
        <f t="shared" si="51"/>
        <v>-2374.56</v>
      </c>
      <c r="Q583" s="9">
        <f>IFERROR(IF(D583=20250,O583/(#REF!/30),O583/(I583/30)),0)</f>
        <v>23.235800344234079</v>
      </c>
      <c r="R583" s="9">
        <f t="shared" si="52"/>
        <v>23.235800344234079</v>
      </c>
    </row>
    <row r="584" spans="1:18" ht="13.15" x14ac:dyDescent="0.45">
      <c r="A584" s="15" t="str">
        <f t="shared" si="48"/>
        <v>440325598</v>
      </c>
      <c r="B584" s="19" t="s">
        <v>77</v>
      </c>
      <c r="C584" s="6" t="e">
        <f>_xlfn.XLOOKUP(B:B,#REF!,#REF!)</f>
        <v>#REF!</v>
      </c>
      <c r="D584" s="19" t="s">
        <v>117</v>
      </c>
      <c r="E584" s="6" t="str">
        <f t="shared" si="49"/>
        <v>440325598</v>
      </c>
      <c r="F584" s="19" t="s">
        <v>119</v>
      </c>
      <c r="G584" s="7" t="e">
        <f>VLOOKUP(D584,#REF!,4,)</f>
        <v>#REF!</v>
      </c>
      <c r="H584" s="6" t="e">
        <f>VLOOKUP(D584,#REF!,5,)</f>
        <v>#REF!</v>
      </c>
      <c r="I584" s="27">
        <v>924.72</v>
      </c>
      <c r="J584" s="27">
        <v>492</v>
      </c>
      <c r="K584" s="8">
        <f t="shared" si="50"/>
        <v>0.53205294575655326</v>
      </c>
      <c r="L584" s="27">
        <v>600</v>
      </c>
      <c r="M584" s="21">
        <v>46167</v>
      </c>
      <c r="N584" s="27">
        <v>0</v>
      </c>
      <c r="O584" s="27">
        <v>600</v>
      </c>
      <c r="P584" s="9">
        <f t="shared" si="51"/>
        <v>-167.27999999999997</v>
      </c>
      <c r="Q584" s="9">
        <f>IFERROR(IF(D584=20250,O584/(#REF!/30),O584/(I584/30)),0)</f>
        <v>19.465351674020244</v>
      </c>
      <c r="R584" s="9">
        <f t="shared" si="52"/>
        <v>0</v>
      </c>
    </row>
    <row r="585" spans="1:18" ht="13.15" x14ac:dyDescent="0.45">
      <c r="A585" s="15" t="str">
        <f t="shared" si="48"/>
        <v>440406151</v>
      </c>
      <c r="B585" s="19" t="s">
        <v>78</v>
      </c>
      <c r="C585" s="6" t="e">
        <f>_xlfn.XLOOKUP(B:B,#REF!,#REF!)</f>
        <v>#REF!</v>
      </c>
      <c r="D585" s="19" t="s">
        <v>23</v>
      </c>
      <c r="E585" s="6" t="str">
        <f t="shared" si="49"/>
        <v>440406151</v>
      </c>
      <c r="F585" s="19" t="s">
        <v>24</v>
      </c>
      <c r="G585" s="7" t="e">
        <f>VLOOKUP(D585,#REF!,4,)</f>
        <v>#REF!</v>
      </c>
      <c r="H585" s="6" t="e">
        <f>VLOOKUP(D585,#REF!,5,)</f>
        <v>#REF!</v>
      </c>
      <c r="I585" s="27">
        <v>7999.92</v>
      </c>
      <c r="J585" s="27">
        <v>5052</v>
      </c>
      <c r="K585" s="8">
        <f t="shared" si="50"/>
        <v>0.63150631506315058</v>
      </c>
      <c r="L585" s="27">
        <v>300</v>
      </c>
      <c r="M585" s="21">
        <v>46165</v>
      </c>
      <c r="N585" s="27">
        <v>2652</v>
      </c>
      <c r="O585" s="27">
        <v>2952</v>
      </c>
      <c r="P585" s="9">
        <f t="shared" si="51"/>
        <v>-4.0799999999999272</v>
      </c>
      <c r="Q585" s="9">
        <f>IFERROR(IF(D585=20250,O585/(#REF!/30),O585/(I585/30)),0)</f>
        <v>11.070110701107012</v>
      </c>
      <c r="R585" s="9">
        <f t="shared" si="52"/>
        <v>9.9450994509945101</v>
      </c>
    </row>
    <row r="586" spans="1:18" ht="13.15" x14ac:dyDescent="0.45">
      <c r="A586" s="15" t="str">
        <f t="shared" si="48"/>
        <v>440413490</v>
      </c>
      <c r="B586" s="19" t="s">
        <v>78</v>
      </c>
      <c r="C586" s="6" t="e">
        <f>_xlfn.XLOOKUP(B:B,#REF!,#REF!)</f>
        <v>#REF!</v>
      </c>
      <c r="D586" s="19" t="s">
        <v>27</v>
      </c>
      <c r="E586" s="6" t="str">
        <f t="shared" si="49"/>
        <v>440413490</v>
      </c>
      <c r="F586" s="19" t="s">
        <v>28</v>
      </c>
      <c r="G586" s="7" t="e">
        <f>VLOOKUP(D586,#REF!,4,)</f>
        <v>#REF!</v>
      </c>
      <c r="H586" s="6" t="e">
        <f>VLOOKUP(D586,#REF!,5,)</f>
        <v>#REF!</v>
      </c>
      <c r="I586" s="27">
        <v>4108.5</v>
      </c>
      <c r="J586" s="27">
        <v>3780</v>
      </c>
      <c r="K586" s="8">
        <f t="shared" si="50"/>
        <v>0.92004381161007665</v>
      </c>
      <c r="L586" s="27">
        <v>0</v>
      </c>
      <c r="M586" s="21"/>
      <c r="N586" s="27">
        <v>2220</v>
      </c>
      <c r="O586" s="27">
        <v>2220</v>
      </c>
      <c r="P586" s="9">
        <f t="shared" si="51"/>
        <v>-1891.5</v>
      </c>
      <c r="Q586" s="9">
        <f>IFERROR(IF(D586=20250,O586/(#REF!/30),O586/(I586/30)),0)</f>
        <v>16.21029572836802</v>
      </c>
      <c r="R586" s="9">
        <f t="shared" si="52"/>
        <v>16.21029572836802</v>
      </c>
    </row>
    <row r="587" spans="1:18" ht="13.15" x14ac:dyDescent="0.45">
      <c r="A587" s="15" t="str">
        <f t="shared" si="48"/>
        <v>440415300</v>
      </c>
      <c r="B587" s="19" t="s">
        <v>78</v>
      </c>
      <c r="C587" s="6" t="e">
        <f>_xlfn.XLOOKUP(B:B,#REF!,#REF!)</f>
        <v>#REF!</v>
      </c>
      <c r="D587" s="19" t="s">
        <v>31</v>
      </c>
      <c r="E587" s="6" t="str">
        <f t="shared" si="49"/>
        <v>440415300</v>
      </c>
      <c r="F587" s="19" t="s">
        <v>32</v>
      </c>
      <c r="G587" s="7" t="e">
        <f>VLOOKUP(D587,#REF!,4,)</f>
        <v>#REF!</v>
      </c>
      <c r="H587" s="6" t="e">
        <f>VLOOKUP(D587,#REF!,5,)</f>
        <v>#REF!</v>
      </c>
      <c r="I587" s="27">
        <v>4.8600000000000003</v>
      </c>
      <c r="J587" s="27">
        <v>0</v>
      </c>
      <c r="K587" s="8">
        <f t="shared" si="50"/>
        <v>0</v>
      </c>
      <c r="L587" s="27">
        <v>18</v>
      </c>
      <c r="M587" s="21">
        <v>46165</v>
      </c>
      <c r="N587" s="27">
        <v>0</v>
      </c>
      <c r="O587" s="27">
        <v>18</v>
      </c>
      <c r="P587" s="9">
        <f t="shared" si="51"/>
        <v>-13.14</v>
      </c>
      <c r="Q587" s="9">
        <f>IFERROR(IF(D587=20250,O587/(#REF!/30),O587/(I587/30)),0)</f>
        <v>111.11111111111111</v>
      </c>
      <c r="R587" s="9">
        <f t="shared" si="52"/>
        <v>0</v>
      </c>
    </row>
    <row r="588" spans="1:18" ht="13.15" x14ac:dyDescent="0.45">
      <c r="A588" s="15" t="str">
        <f t="shared" si="48"/>
        <v>440419690</v>
      </c>
      <c r="B588" s="19" t="s">
        <v>78</v>
      </c>
      <c r="C588" s="6" t="e">
        <f>_xlfn.XLOOKUP(B:B,#REF!,#REF!)</f>
        <v>#REF!</v>
      </c>
      <c r="D588" s="19" t="s">
        <v>66</v>
      </c>
      <c r="E588" s="6" t="str">
        <f t="shared" si="49"/>
        <v>440419690</v>
      </c>
      <c r="F588" s="19" t="s">
        <v>67</v>
      </c>
      <c r="G588" s="7" t="e">
        <f>VLOOKUP(D588,#REF!,4,)</f>
        <v>#REF!</v>
      </c>
      <c r="H588" s="6" t="e">
        <f>VLOOKUP(D588,#REF!,5,)</f>
        <v>#REF!</v>
      </c>
      <c r="I588" s="27">
        <v>321.60000000000002</v>
      </c>
      <c r="J588" s="27">
        <v>108</v>
      </c>
      <c r="K588" s="8">
        <f t="shared" si="50"/>
        <v>0.33582089552238803</v>
      </c>
      <c r="L588" s="27">
        <v>0</v>
      </c>
      <c r="M588" s="21"/>
      <c r="N588" s="27">
        <v>0</v>
      </c>
      <c r="O588" s="27">
        <v>0</v>
      </c>
      <c r="P588" s="9">
        <f t="shared" si="51"/>
        <v>213.60000000000002</v>
      </c>
      <c r="Q588" s="9">
        <f>IFERROR(IF(D588=20250,O588/(#REF!/30),O588/(I588/30)),0)</f>
        <v>0</v>
      </c>
      <c r="R588" s="9">
        <f t="shared" si="52"/>
        <v>0</v>
      </c>
    </row>
    <row r="589" spans="1:18" ht="13.15" x14ac:dyDescent="0.45">
      <c r="A589" s="15" t="str">
        <f t="shared" si="48"/>
        <v>440420661</v>
      </c>
      <c r="B589" s="19" t="s">
        <v>78</v>
      </c>
      <c r="C589" s="6" t="e">
        <f>_xlfn.XLOOKUP(B:B,#REF!,#REF!)</f>
        <v>#REF!</v>
      </c>
      <c r="D589" s="19" t="s">
        <v>88</v>
      </c>
      <c r="E589" s="6" t="str">
        <f t="shared" si="49"/>
        <v>440420661</v>
      </c>
      <c r="F589" s="19" t="s">
        <v>89</v>
      </c>
      <c r="G589" s="7" t="e">
        <f>VLOOKUP(D589,#REF!,4,)</f>
        <v>#REF!</v>
      </c>
      <c r="H589" s="6" t="e">
        <f>VLOOKUP(D589,#REF!,5,)</f>
        <v>#REF!</v>
      </c>
      <c r="I589" s="27">
        <v>8199.9599999999991</v>
      </c>
      <c r="J589" s="27">
        <v>3228</v>
      </c>
      <c r="K589" s="8">
        <f t="shared" si="50"/>
        <v>0.39366045688027751</v>
      </c>
      <c r="L589" s="27">
        <v>0</v>
      </c>
      <c r="M589" s="21"/>
      <c r="N589" s="27">
        <v>4896</v>
      </c>
      <c r="O589" s="27">
        <v>4896</v>
      </c>
      <c r="P589" s="9">
        <f t="shared" si="51"/>
        <v>75.959999999999127</v>
      </c>
      <c r="Q589" s="9">
        <f>IFERROR(IF(D589=20250,O589/(#REF!/30),O589/(I589/30)),0)</f>
        <v>17.912282498939021</v>
      </c>
      <c r="R589" s="9">
        <f t="shared" si="52"/>
        <v>17.912282498939021</v>
      </c>
    </row>
    <row r="590" spans="1:18" ht="13.15" x14ac:dyDescent="0.45">
      <c r="A590" s="15" t="str">
        <f t="shared" si="48"/>
        <v>440423638</v>
      </c>
      <c r="B590" s="19" t="s">
        <v>78</v>
      </c>
      <c r="C590" s="6" t="e">
        <f>_xlfn.XLOOKUP(B:B,#REF!,#REF!)</f>
        <v>#REF!</v>
      </c>
      <c r="D590" s="19" t="s">
        <v>100</v>
      </c>
      <c r="E590" s="6" t="str">
        <f t="shared" si="49"/>
        <v>440423638</v>
      </c>
      <c r="F590" s="19" t="s">
        <v>101</v>
      </c>
      <c r="G590" s="7" t="e">
        <f>VLOOKUP(D590,#REF!,4,)</f>
        <v>#REF!</v>
      </c>
      <c r="H590" s="6" t="e">
        <f>VLOOKUP(D590,#REF!,5,)</f>
        <v>#REF!</v>
      </c>
      <c r="I590" s="27">
        <v>4480.68</v>
      </c>
      <c r="J590" s="27">
        <v>768</v>
      </c>
      <c r="K590" s="8">
        <f t="shared" si="50"/>
        <v>0.17140255496933501</v>
      </c>
      <c r="L590" s="27">
        <v>1680</v>
      </c>
      <c r="M590" s="21">
        <v>46168</v>
      </c>
      <c r="N590" s="27">
        <v>0</v>
      </c>
      <c r="O590" s="27">
        <v>1680</v>
      </c>
      <c r="P590" s="9">
        <f t="shared" si="51"/>
        <v>2032.6800000000003</v>
      </c>
      <c r="Q590" s="9">
        <f>IFERROR(IF(D590=20250,O590/(#REF!/30),O590/(I590/30)),0)</f>
        <v>11.248292669862609</v>
      </c>
      <c r="R590" s="9">
        <f t="shared" si="52"/>
        <v>0</v>
      </c>
    </row>
    <row r="591" spans="1:18" ht="13.15" x14ac:dyDescent="0.45">
      <c r="A591" s="15" t="str">
        <f t="shared" si="48"/>
        <v>440425885</v>
      </c>
      <c r="B591" s="19" t="s">
        <v>78</v>
      </c>
      <c r="C591" s="6" t="e">
        <f>_xlfn.XLOOKUP(B:B,#REF!,#REF!)</f>
        <v>#REF!</v>
      </c>
      <c r="D591" s="19" t="s">
        <v>122</v>
      </c>
      <c r="E591" s="6" t="str">
        <f t="shared" si="49"/>
        <v>440425885</v>
      </c>
      <c r="F591" s="19" t="s">
        <v>123</v>
      </c>
      <c r="G591" s="7" t="e">
        <f>VLOOKUP(D591,#REF!,4,)</f>
        <v>#REF!</v>
      </c>
      <c r="H591" s="6" t="e">
        <f>VLOOKUP(D591,#REF!,5,)</f>
        <v>#REF!</v>
      </c>
      <c r="I591" s="27">
        <v>2153.64</v>
      </c>
      <c r="J591" s="27">
        <v>1728</v>
      </c>
      <c r="K591" s="8">
        <f t="shared" si="50"/>
        <v>0.80236251184041907</v>
      </c>
      <c r="L591" s="27">
        <v>2400</v>
      </c>
      <c r="M591" s="21">
        <v>46167</v>
      </c>
      <c r="N591" s="27">
        <v>1092</v>
      </c>
      <c r="O591" s="27">
        <v>3492</v>
      </c>
      <c r="P591" s="9">
        <f t="shared" si="51"/>
        <v>-3066.36</v>
      </c>
      <c r="Q591" s="9">
        <f>IFERROR(IF(D591=20250,O591/(#REF!/30),O591/(I591/30)),0)</f>
        <v>48.643227280325405</v>
      </c>
      <c r="R591" s="9">
        <f t="shared" si="52"/>
        <v>15.211455953641277</v>
      </c>
    </row>
    <row r="592" spans="1:18" ht="13.15" x14ac:dyDescent="0.45">
      <c r="A592" s="15" t="str">
        <f t="shared" si="48"/>
        <v>440426193</v>
      </c>
      <c r="B592" s="19" t="s">
        <v>78</v>
      </c>
      <c r="C592" s="6" t="e">
        <f>_xlfn.XLOOKUP(B:B,#REF!,#REF!)</f>
        <v>#REF!</v>
      </c>
      <c r="D592" s="19" t="s">
        <v>130</v>
      </c>
      <c r="E592" s="6" t="str">
        <f t="shared" si="49"/>
        <v>440426193</v>
      </c>
      <c r="F592" s="19" t="s">
        <v>134</v>
      </c>
      <c r="G592" s="7" t="e">
        <f>VLOOKUP(D592,#REF!,4,)</f>
        <v>#REF!</v>
      </c>
      <c r="H592" s="6" t="e">
        <f>VLOOKUP(D592,#REF!,5,)</f>
        <v>#REF!</v>
      </c>
      <c r="I592" s="27">
        <v>0</v>
      </c>
      <c r="J592" s="27">
        <v>180</v>
      </c>
      <c r="K592" s="8">
        <f t="shared" si="50"/>
        <v>0</v>
      </c>
      <c r="L592" s="27">
        <v>0</v>
      </c>
      <c r="M592" s="21"/>
      <c r="N592" s="27">
        <v>0</v>
      </c>
      <c r="O592" s="27">
        <v>0</v>
      </c>
      <c r="P592" s="9">
        <f t="shared" si="51"/>
        <v>-180</v>
      </c>
      <c r="Q592" s="9">
        <f>IFERROR(IF(D592=20250,O592/(#REF!/30),O592/(I592/30)),0)</f>
        <v>0</v>
      </c>
      <c r="R592" s="9">
        <f t="shared" si="52"/>
        <v>0</v>
      </c>
    </row>
    <row r="593" spans="1:18" ht="13.15" x14ac:dyDescent="0.45">
      <c r="A593" s="15" t="str">
        <f t="shared" si="48"/>
        <v>440426234</v>
      </c>
      <c r="B593" s="19" t="s">
        <v>78</v>
      </c>
      <c r="C593" s="6" t="e">
        <f>_xlfn.XLOOKUP(B:B,#REF!,#REF!)</f>
        <v>#REF!</v>
      </c>
      <c r="D593" s="19" t="s">
        <v>126</v>
      </c>
      <c r="E593" s="6" t="str">
        <f t="shared" si="49"/>
        <v>440426234</v>
      </c>
      <c r="F593" s="19" t="s">
        <v>127</v>
      </c>
      <c r="G593" s="7" t="e">
        <f>VLOOKUP(D593,#REF!,4,)</f>
        <v>#REF!</v>
      </c>
      <c r="H593" s="6" t="e">
        <f>VLOOKUP(D593,#REF!,5,)</f>
        <v>#REF!</v>
      </c>
      <c r="I593" s="27">
        <v>0</v>
      </c>
      <c r="J593" s="27">
        <v>0</v>
      </c>
      <c r="K593" s="8">
        <f t="shared" si="50"/>
        <v>0</v>
      </c>
      <c r="L593" s="27">
        <v>0</v>
      </c>
      <c r="M593" s="21"/>
      <c r="N593" s="27">
        <v>828</v>
      </c>
      <c r="O593" s="27">
        <v>828</v>
      </c>
      <c r="P593" s="9">
        <f t="shared" si="51"/>
        <v>-828</v>
      </c>
      <c r="Q593" s="9">
        <f>IFERROR(IF(D593=20250,O593/(#REF!/30),O593/(I593/30)),0)</f>
        <v>0</v>
      </c>
      <c r="R593" s="9">
        <f t="shared" si="52"/>
        <v>0</v>
      </c>
    </row>
    <row r="594" spans="1:18" ht="13.15" x14ac:dyDescent="0.45">
      <c r="A594" s="15" t="str">
        <f t="shared" si="48"/>
        <v>440426744</v>
      </c>
      <c r="B594" s="19" t="s">
        <v>78</v>
      </c>
      <c r="C594" s="6" t="e">
        <f>_xlfn.XLOOKUP(B:B,#REF!,#REF!)</f>
        <v>#REF!</v>
      </c>
      <c r="D594" s="19" t="s">
        <v>135</v>
      </c>
      <c r="E594" s="6" t="str">
        <f t="shared" si="49"/>
        <v>440426744</v>
      </c>
      <c r="F594" s="19" t="s">
        <v>137</v>
      </c>
      <c r="G594" s="7" t="e">
        <f>VLOOKUP(D594,#REF!,4,)</f>
        <v>#REF!</v>
      </c>
      <c r="H594" s="6" t="e">
        <f>VLOOKUP(D594,#REF!,5,)</f>
        <v>#REF!</v>
      </c>
      <c r="I594" s="27">
        <v>0</v>
      </c>
      <c r="J594" s="27">
        <v>0</v>
      </c>
      <c r="K594" s="8">
        <f t="shared" si="50"/>
        <v>0</v>
      </c>
      <c r="L594" s="27">
        <v>0</v>
      </c>
      <c r="M594" s="21"/>
      <c r="N594" s="27">
        <v>48</v>
      </c>
      <c r="O594" s="27">
        <v>48</v>
      </c>
      <c r="P594" s="9">
        <f t="shared" si="51"/>
        <v>-48</v>
      </c>
      <c r="Q594" s="9">
        <f>IFERROR(IF(D594=20250,O594/(#REF!/30),O594/(I594/30)),0)</f>
        <v>0</v>
      </c>
      <c r="R594" s="9">
        <f t="shared" si="52"/>
        <v>0</v>
      </c>
    </row>
    <row r="595" spans="1:18" ht="13.15" x14ac:dyDescent="0.45">
      <c r="A595" s="15" t="str">
        <f t="shared" si="48"/>
        <v>440426745</v>
      </c>
      <c r="B595" s="19" t="s">
        <v>78</v>
      </c>
      <c r="C595" s="6" t="e">
        <f>_xlfn.XLOOKUP(B:B,#REF!,#REF!)</f>
        <v>#REF!</v>
      </c>
      <c r="D595" s="19" t="s">
        <v>136</v>
      </c>
      <c r="E595" s="6" t="str">
        <f t="shared" si="49"/>
        <v>440426745</v>
      </c>
      <c r="F595" s="19" t="s">
        <v>138</v>
      </c>
      <c r="G595" s="7" t="e">
        <f>VLOOKUP(D595,#REF!,4,)</f>
        <v>#REF!</v>
      </c>
      <c r="H595" s="6" t="e">
        <f>VLOOKUP(D595,#REF!,5,)</f>
        <v>#REF!</v>
      </c>
      <c r="I595" s="27">
        <v>0</v>
      </c>
      <c r="J595" s="27">
        <v>0</v>
      </c>
      <c r="K595" s="8">
        <f t="shared" si="50"/>
        <v>0</v>
      </c>
      <c r="L595" s="27">
        <v>0</v>
      </c>
      <c r="M595" s="21"/>
      <c r="N595" s="27">
        <v>192</v>
      </c>
      <c r="O595" s="27">
        <v>192</v>
      </c>
      <c r="P595" s="9">
        <f t="shared" si="51"/>
        <v>-192</v>
      </c>
      <c r="Q595" s="9">
        <f>IFERROR(IF(D595=20250,O595/(#REF!/30),O595/(I595/30)),0)</f>
        <v>0</v>
      </c>
      <c r="R595" s="9">
        <f t="shared" si="52"/>
        <v>0</v>
      </c>
    </row>
    <row r="596" spans="1:18" ht="13.15" x14ac:dyDescent="0.45">
      <c r="A596" s="15" t="str">
        <f t="shared" si="48"/>
        <v>440427021</v>
      </c>
      <c r="B596" s="19" t="s">
        <v>78</v>
      </c>
      <c r="C596" s="6" t="e">
        <f>_xlfn.XLOOKUP(B:B,#REF!,#REF!)</f>
        <v>#REF!</v>
      </c>
      <c r="D596" s="19" t="s">
        <v>140</v>
      </c>
      <c r="E596" s="6" t="str">
        <f t="shared" si="49"/>
        <v>440427021</v>
      </c>
      <c r="F596" s="19" t="s">
        <v>141</v>
      </c>
      <c r="G596" s="7" t="e">
        <f>VLOOKUP(D596,#REF!,4,)</f>
        <v>#REF!</v>
      </c>
      <c r="H596" s="6" t="e">
        <f>VLOOKUP(D596,#REF!,5,)</f>
        <v>#REF!</v>
      </c>
      <c r="I596" s="27">
        <v>0</v>
      </c>
      <c r="J596" s="27">
        <v>0</v>
      </c>
      <c r="K596" s="8">
        <f t="shared" si="50"/>
        <v>0</v>
      </c>
      <c r="L596" s="27">
        <v>0</v>
      </c>
      <c r="M596" s="21"/>
      <c r="N596" s="27">
        <v>96</v>
      </c>
      <c r="O596" s="27">
        <v>96</v>
      </c>
      <c r="P596" s="9">
        <f t="shared" si="51"/>
        <v>-96</v>
      </c>
      <c r="Q596" s="9">
        <f>IFERROR(IF(D596=20250,O596/(#REF!/30),O596/(I596/30)),0)</f>
        <v>0</v>
      </c>
      <c r="R596" s="9">
        <f t="shared" si="52"/>
        <v>0</v>
      </c>
    </row>
    <row r="597" spans="1:18" ht="13.15" x14ac:dyDescent="0.45">
      <c r="A597" s="15" t="str">
        <f t="shared" si="48"/>
        <v>440404145</v>
      </c>
      <c r="B597" s="19" t="s">
        <v>78</v>
      </c>
      <c r="C597" s="6" t="e">
        <f>_xlfn.XLOOKUP(B:B,#REF!,#REF!)</f>
        <v>#REF!</v>
      </c>
      <c r="D597" s="19" t="s">
        <v>25</v>
      </c>
      <c r="E597" s="6" t="str">
        <f t="shared" si="49"/>
        <v>440404145</v>
      </c>
      <c r="F597" s="19" t="s">
        <v>26</v>
      </c>
      <c r="G597" s="7" t="e">
        <f>VLOOKUP(D597,#REF!,4,)</f>
        <v>#REF!</v>
      </c>
      <c r="H597" s="6" t="e">
        <f>VLOOKUP(D597,#REF!,5,)</f>
        <v>#REF!</v>
      </c>
      <c r="I597" s="27">
        <v>152.37</v>
      </c>
      <c r="J597" s="27">
        <v>72</v>
      </c>
      <c r="K597" s="8">
        <f t="shared" si="50"/>
        <v>0.47253396337861781</v>
      </c>
      <c r="L597" s="27">
        <v>243</v>
      </c>
      <c r="M597" s="21">
        <v>46165</v>
      </c>
      <c r="N597" s="27">
        <v>0</v>
      </c>
      <c r="O597" s="27">
        <v>243</v>
      </c>
      <c r="P597" s="9">
        <f t="shared" si="51"/>
        <v>-162.63</v>
      </c>
      <c r="Q597" s="9">
        <f>IFERROR(IF(D597=20250,O597/(#REF!/30),O597/(I597/30)),0)</f>
        <v>47.844063792085059</v>
      </c>
      <c r="R597" s="9">
        <f t="shared" si="52"/>
        <v>0</v>
      </c>
    </row>
    <row r="598" spans="1:18" ht="13.15" x14ac:dyDescent="0.45">
      <c r="A598" s="15" t="str">
        <f t="shared" si="48"/>
        <v>440414248</v>
      </c>
      <c r="B598" s="19" t="s">
        <v>78</v>
      </c>
      <c r="C598" s="6" t="e">
        <f>_xlfn.XLOOKUP(B:B,#REF!,#REF!)</f>
        <v>#REF!</v>
      </c>
      <c r="D598" s="19" t="s">
        <v>29</v>
      </c>
      <c r="E598" s="6" t="str">
        <f t="shared" si="49"/>
        <v>440414248</v>
      </c>
      <c r="F598" s="19" t="s">
        <v>30</v>
      </c>
      <c r="G598" s="7" t="e">
        <f>VLOOKUP(D598,#REF!,4,)</f>
        <v>#REF!</v>
      </c>
      <c r="H598" s="6" t="e">
        <f>VLOOKUP(D598,#REF!,5,)</f>
        <v>#REF!</v>
      </c>
      <c r="I598" s="27">
        <v>92</v>
      </c>
      <c r="J598" s="27">
        <v>0</v>
      </c>
      <c r="K598" s="8">
        <f t="shared" si="50"/>
        <v>0</v>
      </c>
      <c r="L598" s="27">
        <v>180</v>
      </c>
      <c r="M598" s="21">
        <v>46165</v>
      </c>
      <c r="N598" s="27">
        <v>0</v>
      </c>
      <c r="O598" s="27">
        <v>180</v>
      </c>
      <c r="P598" s="9">
        <f t="shared" si="51"/>
        <v>-88</v>
      </c>
      <c r="Q598" s="9">
        <f>IFERROR(IF(D598=20250,O598/(#REF!/30),O598/(I598/30)),0)</f>
        <v>58.695652173913039</v>
      </c>
      <c r="R598" s="9">
        <f t="shared" si="52"/>
        <v>0</v>
      </c>
    </row>
    <row r="599" spans="1:18" ht="13.15" x14ac:dyDescent="0.45">
      <c r="A599" s="15" t="str">
        <f t="shared" si="48"/>
        <v>440416407</v>
      </c>
      <c r="B599" s="19" t="s">
        <v>78</v>
      </c>
      <c r="C599" s="6" t="e">
        <f>_xlfn.XLOOKUP(B:B,#REF!,#REF!)</f>
        <v>#REF!</v>
      </c>
      <c r="D599" s="19" t="s">
        <v>37</v>
      </c>
      <c r="E599" s="6" t="str">
        <f t="shared" si="49"/>
        <v>440416407</v>
      </c>
      <c r="F599" s="19" t="s">
        <v>38</v>
      </c>
      <c r="G599" s="7" t="e">
        <f>VLOOKUP(D599,#REF!,4,)</f>
        <v>#REF!</v>
      </c>
      <c r="H599" s="6" t="e">
        <f>VLOOKUP(D599,#REF!,5,)</f>
        <v>#REF!</v>
      </c>
      <c r="I599" s="27">
        <v>221.67</v>
      </c>
      <c r="J599" s="27">
        <v>0</v>
      </c>
      <c r="K599" s="8">
        <f t="shared" si="50"/>
        <v>0</v>
      </c>
      <c r="L599" s="27">
        <v>477</v>
      </c>
      <c r="M599" s="21">
        <v>46165</v>
      </c>
      <c r="N599" s="27">
        <v>0</v>
      </c>
      <c r="O599" s="27">
        <v>477</v>
      </c>
      <c r="P599" s="9">
        <f t="shared" si="51"/>
        <v>-255.33</v>
      </c>
      <c r="Q599" s="9">
        <f>IFERROR(IF(D599=20250,O599/(#REF!/30),O599/(I599/30)),0)</f>
        <v>64.555420219244823</v>
      </c>
      <c r="R599" s="9">
        <f t="shared" si="52"/>
        <v>0</v>
      </c>
    </row>
    <row r="600" spans="1:18" ht="13.15" x14ac:dyDescent="0.45">
      <c r="A600" s="15" t="str">
        <f t="shared" si="48"/>
        <v>440400189</v>
      </c>
      <c r="B600" s="19" t="s">
        <v>78</v>
      </c>
      <c r="C600" s="6" t="e">
        <f>_xlfn.XLOOKUP(B:B,#REF!,#REF!)</f>
        <v>#REF!</v>
      </c>
      <c r="D600" s="19" t="s">
        <v>39</v>
      </c>
      <c r="E600" s="6" t="str">
        <f t="shared" si="49"/>
        <v>440400189</v>
      </c>
      <c r="F600" s="19" t="s">
        <v>109</v>
      </c>
      <c r="G600" s="7" t="e">
        <f>VLOOKUP(D600,#REF!,4,)</f>
        <v>#REF!</v>
      </c>
      <c r="H600" s="6" t="e">
        <f>VLOOKUP(D600,#REF!,5,)</f>
        <v>#REF!</v>
      </c>
      <c r="I600" s="27">
        <v>39999.96</v>
      </c>
      <c r="J600" s="27">
        <v>22764</v>
      </c>
      <c r="K600" s="8">
        <f t="shared" si="50"/>
        <v>0.56910056910056916</v>
      </c>
      <c r="L600" s="27">
        <v>33744</v>
      </c>
      <c r="M600" s="21">
        <v>46169</v>
      </c>
      <c r="N600" s="27">
        <v>3144</v>
      </c>
      <c r="O600" s="27">
        <v>36888</v>
      </c>
      <c r="P600" s="9">
        <f t="shared" si="51"/>
        <v>-19652.04</v>
      </c>
      <c r="Q600" s="9">
        <f>IFERROR(IF(D600=20250,O600/(#REF!/30),O600/(I600/30)),0)</f>
        <v>27.66602766602767</v>
      </c>
      <c r="R600" s="9">
        <f t="shared" si="52"/>
        <v>2.3580023580023584</v>
      </c>
    </row>
    <row r="601" spans="1:18" ht="13.15" x14ac:dyDescent="0.45">
      <c r="A601" s="15" t="str">
        <f t="shared" si="48"/>
        <v>440401167</v>
      </c>
      <c r="B601" s="19" t="s">
        <v>78</v>
      </c>
      <c r="C601" s="6" t="e">
        <f>_xlfn.XLOOKUP(B:B,#REF!,#REF!)</f>
        <v>#REF!</v>
      </c>
      <c r="D601" s="19" t="s">
        <v>40</v>
      </c>
      <c r="E601" s="6" t="str">
        <f t="shared" si="49"/>
        <v>440401167</v>
      </c>
      <c r="F601" s="19" t="s">
        <v>41</v>
      </c>
      <c r="G601" s="7" t="e">
        <f>VLOOKUP(D601,#REF!,4,)</f>
        <v>#REF!</v>
      </c>
      <c r="H601" s="6" t="e">
        <f>VLOOKUP(D601,#REF!,5,)</f>
        <v>#REF!</v>
      </c>
      <c r="I601" s="27">
        <v>12000</v>
      </c>
      <c r="J601" s="27">
        <v>8172</v>
      </c>
      <c r="K601" s="8">
        <f t="shared" si="50"/>
        <v>0.68100000000000005</v>
      </c>
      <c r="L601" s="27">
        <v>0</v>
      </c>
      <c r="M601" s="21"/>
      <c r="N601" s="27">
        <v>5892</v>
      </c>
      <c r="O601" s="27">
        <v>5892</v>
      </c>
      <c r="P601" s="9">
        <f t="shared" si="51"/>
        <v>-2064</v>
      </c>
      <c r="Q601" s="9">
        <f>IFERROR(IF(D601=20250,O601/(#REF!/30),O601/(I601/30)),0)</f>
        <v>14.73</v>
      </c>
      <c r="R601" s="9">
        <f t="shared" si="52"/>
        <v>14.73</v>
      </c>
    </row>
    <row r="602" spans="1:18" ht="13.15" x14ac:dyDescent="0.45">
      <c r="A602" s="15" t="str">
        <f t="shared" si="48"/>
        <v>440401296</v>
      </c>
      <c r="B602" s="19" t="s">
        <v>78</v>
      </c>
      <c r="C602" s="6" t="e">
        <f>_xlfn.XLOOKUP(B:B,#REF!,#REF!)</f>
        <v>#REF!</v>
      </c>
      <c r="D602" s="19" t="s">
        <v>14</v>
      </c>
      <c r="E602" s="6" t="str">
        <f t="shared" si="49"/>
        <v>440401296</v>
      </c>
      <c r="F602" s="19" t="s">
        <v>15</v>
      </c>
      <c r="G602" s="7" t="e">
        <f>VLOOKUP(D602,#REF!,4,)</f>
        <v>#REF!</v>
      </c>
      <c r="H602" s="6" t="e">
        <f>VLOOKUP(D602,#REF!,5,)</f>
        <v>#REF!</v>
      </c>
      <c r="I602" s="27">
        <v>5499.96</v>
      </c>
      <c r="J602" s="27">
        <v>3984</v>
      </c>
      <c r="K602" s="8">
        <f t="shared" si="50"/>
        <v>0.72436890450112368</v>
      </c>
      <c r="L602" s="27">
        <v>0</v>
      </c>
      <c r="M602" s="21"/>
      <c r="N602" s="27">
        <v>4392</v>
      </c>
      <c r="O602" s="27">
        <v>4392</v>
      </c>
      <c r="P602" s="9">
        <f t="shared" si="51"/>
        <v>-2876.04</v>
      </c>
      <c r="Q602" s="9">
        <f>IFERROR(IF(D602=20250,O602/(#REF!/30),O602/(I602/30)),0)</f>
        <v>23.956537865729935</v>
      </c>
      <c r="R602" s="9">
        <f t="shared" si="52"/>
        <v>23.956537865729935</v>
      </c>
    </row>
    <row r="603" spans="1:18" ht="13.15" x14ac:dyDescent="0.45">
      <c r="A603" s="15" t="str">
        <f t="shared" si="48"/>
        <v>440402122</v>
      </c>
      <c r="B603" s="19" t="s">
        <v>78</v>
      </c>
      <c r="C603" s="6" t="e">
        <f>_xlfn.XLOOKUP(B:B,#REF!,#REF!)</f>
        <v>#REF!</v>
      </c>
      <c r="D603" s="19" t="s">
        <v>42</v>
      </c>
      <c r="E603" s="6" t="str">
        <f t="shared" si="49"/>
        <v>440402122</v>
      </c>
      <c r="F603" s="19" t="s">
        <v>43</v>
      </c>
      <c r="G603" s="7" t="e">
        <f>VLOOKUP(D603,#REF!,4,)</f>
        <v>#REF!</v>
      </c>
      <c r="H603" s="6" t="e">
        <f>VLOOKUP(D603,#REF!,5,)</f>
        <v>#REF!</v>
      </c>
      <c r="I603" s="27">
        <v>6192</v>
      </c>
      <c r="J603" s="27">
        <v>4356</v>
      </c>
      <c r="K603" s="8">
        <f t="shared" si="50"/>
        <v>0.70348837209302328</v>
      </c>
      <c r="L603" s="27">
        <v>1008</v>
      </c>
      <c r="M603" s="21">
        <v>46168</v>
      </c>
      <c r="N603" s="27">
        <v>6204</v>
      </c>
      <c r="O603" s="27">
        <v>7212</v>
      </c>
      <c r="P603" s="9">
        <f t="shared" si="51"/>
        <v>-5376</v>
      </c>
      <c r="Q603" s="9">
        <f>IFERROR(IF(D603=20250,O603/(#REF!/30),O603/(I603/30)),0)</f>
        <v>34.941860465116278</v>
      </c>
      <c r="R603" s="9">
        <f t="shared" si="52"/>
        <v>30.058139534883718</v>
      </c>
    </row>
    <row r="604" spans="1:18" ht="13.15" x14ac:dyDescent="0.45">
      <c r="A604" s="15" t="str">
        <f t="shared" si="48"/>
        <v>440405159</v>
      </c>
      <c r="B604" s="19" t="s">
        <v>78</v>
      </c>
      <c r="C604" s="6" t="e">
        <f>_xlfn.XLOOKUP(B:B,#REF!,#REF!)</f>
        <v>#REF!</v>
      </c>
      <c r="D604" s="19" t="s">
        <v>44</v>
      </c>
      <c r="E604" s="6" t="str">
        <f t="shared" si="49"/>
        <v>440405159</v>
      </c>
      <c r="F604" s="19" t="s">
        <v>45</v>
      </c>
      <c r="G604" s="7" t="e">
        <f>VLOOKUP(D604,#REF!,4,)</f>
        <v>#REF!</v>
      </c>
      <c r="H604" s="6" t="e">
        <f>VLOOKUP(D604,#REF!,5,)</f>
        <v>#REF!</v>
      </c>
      <c r="I604" s="27">
        <v>9000</v>
      </c>
      <c r="J604" s="27">
        <v>5652</v>
      </c>
      <c r="K604" s="8">
        <f t="shared" si="50"/>
        <v>0.628</v>
      </c>
      <c r="L604" s="27">
        <v>7728</v>
      </c>
      <c r="M604" s="21">
        <v>46168</v>
      </c>
      <c r="N604" s="27">
        <v>0</v>
      </c>
      <c r="O604" s="27">
        <v>7728</v>
      </c>
      <c r="P604" s="9">
        <f t="shared" si="51"/>
        <v>-4380</v>
      </c>
      <c r="Q604" s="9">
        <f>IFERROR(IF(D604=20250,O604/(#REF!/30),O604/(I604/30)),0)</f>
        <v>25.76</v>
      </c>
      <c r="R604" s="9">
        <f t="shared" si="52"/>
        <v>0</v>
      </c>
    </row>
    <row r="605" spans="1:18" ht="13.15" x14ac:dyDescent="0.45">
      <c r="A605" s="15" t="str">
        <f t="shared" si="48"/>
        <v>440406982</v>
      </c>
      <c r="B605" s="19" t="s">
        <v>78</v>
      </c>
      <c r="C605" s="6" t="e">
        <f>_xlfn.XLOOKUP(B:B,#REF!,#REF!)</f>
        <v>#REF!</v>
      </c>
      <c r="D605" s="19" t="s">
        <v>46</v>
      </c>
      <c r="E605" s="6" t="str">
        <f t="shared" si="49"/>
        <v>440406982</v>
      </c>
      <c r="F605" s="19" t="s">
        <v>47</v>
      </c>
      <c r="G605" s="7" t="e">
        <f>VLOOKUP(D605,#REF!,4,)</f>
        <v>#REF!</v>
      </c>
      <c r="H605" s="6" t="e">
        <f>VLOOKUP(D605,#REF!,5,)</f>
        <v>#REF!</v>
      </c>
      <c r="I605" s="27">
        <v>24499.919999999998</v>
      </c>
      <c r="J605" s="27">
        <v>19116</v>
      </c>
      <c r="K605" s="8">
        <f t="shared" si="50"/>
        <v>0.78024744570594518</v>
      </c>
      <c r="L605" s="27">
        <v>1200</v>
      </c>
      <c r="M605" s="21">
        <v>46167</v>
      </c>
      <c r="N605" s="27">
        <v>13188</v>
      </c>
      <c r="O605" s="27">
        <v>14388</v>
      </c>
      <c r="P605" s="9">
        <f t="shared" si="51"/>
        <v>-9004.0800000000017</v>
      </c>
      <c r="Q605" s="9">
        <f>IFERROR(IF(D605=20250,O605/(#REF!/30),O605/(I605/30)),0)</f>
        <v>17.618016711891304</v>
      </c>
      <c r="R605" s="9">
        <f t="shared" si="52"/>
        <v>16.148624158772762</v>
      </c>
    </row>
    <row r="606" spans="1:18" ht="13.15" x14ac:dyDescent="0.45">
      <c r="A606" s="15" t="str">
        <f t="shared" si="48"/>
        <v>440407310</v>
      </c>
      <c r="B606" s="19" t="s">
        <v>78</v>
      </c>
      <c r="C606" s="6" t="e">
        <f>_xlfn.XLOOKUP(B:B,#REF!,#REF!)</f>
        <v>#REF!</v>
      </c>
      <c r="D606" s="19" t="s">
        <v>16</v>
      </c>
      <c r="E606" s="6" t="str">
        <f t="shared" si="49"/>
        <v>440407310</v>
      </c>
      <c r="F606" s="19" t="s">
        <v>17</v>
      </c>
      <c r="G606" s="7" t="e">
        <f>VLOOKUP(D606,#REF!,4,)</f>
        <v>#REF!</v>
      </c>
      <c r="H606" s="6" t="e">
        <f>VLOOKUP(D606,#REF!,5,)</f>
        <v>#REF!</v>
      </c>
      <c r="I606" s="27">
        <v>15989.76</v>
      </c>
      <c r="J606" s="27">
        <v>12084</v>
      </c>
      <c r="K606" s="8">
        <f t="shared" si="50"/>
        <v>0.75573366954851107</v>
      </c>
      <c r="L606" s="27">
        <v>9468</v>
      </c>
      <c r="M606" s="21">
        <v>46168</v>
      </c>
      <c r="N606" s="27">
        <v>18180</v>
      </c>
      <c r="O606" s="27">
        <v>27648</v>
      </c>
      <c r="P606" s="9">
        <f t="shared" si="51"/>
        <v>-23742.239999999998</v>
      </c>
      <c r="Q606" s="9">
        <f>IFERROR(IF(D606=20250,O606/(#REF!/30),O606/(I606/30)),0)</f>
        <v>51.873198847262252</v>
      </c>
      <c r="R606" s="9">
        <f t="shared" si="52"/>
        <v>34.109329971181559</v>
      </c>
    </row>
    <row r="607" spans="1:18" ht="13.15" x14ac:dyDescent="0.45">
      <c r="A607" s="15" t="str">
        <f t="shared" si="48"/>
        <v>440408529</v>
      </c>
      <c r="B607" s="19" t="s">
        <v>78</v>
      </c>
      <c r="C607" s="6" t="e">
        <f>_xlfn.XLOOKUP(B:B,#REF!,#REF!)</f>
        <v>#REF!</v>
      </c>
      <c r="D607" s="19" t="s">
        <v>48</v>
      </c>
      <c r="E607" s="6" t="str">
        <f t="shared" si="49"/>
        <v>440408529</v>
      </c>
      <c r="F607" s="19" t="s">
        <v>49</v>
      </c>
      <c r="G607" s="7" t="e">
        <f>VLOOKUP(D607,#REF!,4,)</f>
        <v>#REF!</v>
      </c>
      <c r="H607" s="6" t="e">
        <f>VLOOKUP(D607,#REF!,5,)</f>
        <v>#REF!</v>
      </c>
      <c r="I607" s="27">
        <v>7500</v>
      </c>
      <c r="J607" s="27">
        <v>4404</v>
      </c>
      <c r="K607" s="8">
        <f t="shared" si="50"/>
        <v>0.58720000000000006</v>
      </c>
      <c r="L607" s="27">
        <v>4104</v>
      </c>
      <c r="M607" s="21">
        <v>46168</v>
      </c>
      <c r="N607" s="27">
        <v>3744</v>
      </c>
      <c r="O607" s="27">
        <v>7848</v>
      </c>
      <c r="P607" s="9">
        <f t="shared" si="51"/>
        <v>-4752</v>
      </c>
      <c r="Q607" s="9">
        <f>IFERROR(IF(D607=20250,O607/(#REF!/30),O607/(I607/30)),0)</f>
        <v>31.391999999999999</v>
      </c>
      <c r="R607" s="9">
        <f t="shared" si="52"/>
        <v>14.976000000000001</v>
      </c>
    </row>
    <row r="608" spans="1:18" ht="13.15" x14ac:dyDescent="0.45">
      <c r="A608" s="15" t="str">
        <f t="shared" si="48"/>
        <v>440413179</v>
      </c>
      <c r="B608" s="19" t="s">
        <v>78</v>
      </c>
      <c r="C608" s="6" t="e">
        <f>_xlfn.XLOOKUP(B:B,#REF!,#REF!)</f>
        <v>#REF!</v>
      </c>
      <c r="D608" s="19" t="s">
        <v>18</v>
      </c>
      <c r="E608" s="6" t="str">
        <f t="shared" si="49"/>
        <v>440413179</v>
      </c>
      <c r="F608" s="19" t="s">
        <v>19</v>
      </c>
      <c r="G608" s="7" t="e">
        <f>VLOOKUP(D608,#REF!,4,)</f>
        <v>#REF!</v>
      </c>
      <c r="H608" s="6" t="e">
        <f>VLOOKUP(D608,#REF!,5,)</f>
        <v>#REF!</v>
      </c>
      <c r="I608" s="27">
        <v>219999.96</v>
      </c>
      <c r="J608" s="27">
        <v>174888</v>
      </c>
      <c r="K608" s="8">
        <f t="shared" si="50"/>
        <v>0.79494559908101803</v>
      </c>
      <c r="L608" s="27">
        <v>75516</v>
      </c>
      <c r="M608" s="21">
        <v>46168</v>
      </c>
      <c r="N608" s="27">
        <v>107172</v>
      </c>
      <c r="O608" s="27">
        <v>182688</v>
      </c>
      <c r="P608" s="9">
        <f t="shared" si="51"/>
        <v>-137576.04</v>
      </c>
      <c r="Q608" s="9">
        <f>IFERROR(IF(D608=20250,O608/(#REF!/30),O608/(I608/30)),0)</f>
        <v>24.91200452945537</v>
      </c>
      <c r="R608" s="9">
        <f t="shared" si="52"/>
        <v>14.614366293521146</v>
      </c>
    </row>
    <row r="609" spans="1:18" ht="13.15" x14ac:dyDescent="0.45">
      <c r="A609" s="15" t="str">
        <f t="shared" si="48"/>
        <v>440413678</v>
      </c>
      <c r="B609" s="19" t="s">
        <v>78</v>
      </c>
      <c r="C609" s="6" t="e">
        <f>_xlfn.XLOOKUP(B:B,#REF!,#REF!)</f>
        <v>#REF!</v>
      </c>
      <c r="D609" s="19" t="s">
        <v>50</v>
      </c>
      <c r="E609" s="6" t="str">
        <f t="shared" si="49"/>
        <v>440413678</v>
      </c>
      <c r="F609" s="19" t="s">
        <v>51</v>
      </c>
      <c r="G609" s="7" t="e">
        <f>VLOOKUP(D609,#REF!,4,)</f>
        <v>#REF!</v>
      </c>
      <c r="H609" s="6" t="e">
        <f>VLOOKUP(D609,#REF!,5,)</f>
        <v>#REF!</v>
      </c>
      <c r="I609" s="27">
        <v>1815.24</v>
      </c>
      <c r="J609" s="27">
        <v>1200</v>
      </c>
      <c r="K609" s="8">
        <f t="shared" si="50"/>
        <v>0.66106961062999936</v>
      </c>
      <c r="L609" s="27">
        <v>0</v>
      </c>
      <c r="M609" s="21"/>
      <c r="N609" s="27">
        <v>1452</v>
      </c>
      <c r="O609" s="27">
        <v>1452</v>
      </c>
      <c r="P609" s="9">
        <f t="shared" si="51"/>
        <v>-836.76</v>
      </c>
      <c r="Q609" s="9">
        <f>IFERROR(IF(D609=20250,O609/(#REF!/30),O609/(I609/30)),0)</f>
        <v>23.996826865868975</v>
      </c>
      <c r="R609" s="9">
        <f t="shared" si="52"/>
        <v>23.996826865868975</v>
      </c>
    </row>
    <row r="610" spans="1:18" ht="13.15" x14ac:dyDescent="0.45">
      <c r="A610" s="15" t="str">
        <f t="shared" si="48"/>
        <v>440414654</v>
      </c>
      <c r="B610" s="19" t="s">
        <v>78</v>
      </c>
      <c r="C610" s="6" t="e">
        <f>_xlfn.XLOOKUP(B:B,#REF!,#REF!)</f>
        <v>#REF!</v>
      </c>
      <c r="D610" s="19" t="s">
        <v>52</v>
      </c>
      <c r="E610" s="6" t="str">
        <f t="shared" si="49"/>
        <v>440414654</v>
      </c>
      <c r="F610" s="19" t="s">
        <v>53</v>
      </c>
      <c r="G610" s="7" t="e">
        <f>VLOOKUP(D610,#REF!,4,)</f>
        <v>#REF!</v>
      </c>
      <c r="H610" s="6" t="e">
        <f>VLOOKUP(D610,#REF!,5,)</f>
        <v>#REF!</v>
      </c>
      <c r="I610" s="27">
        <v>2147.7600000000002</v>
      </c>
      <c r="J610" s="27">
        <v>2676</v>
      </c>
      <c r="K610" s="8">
        <f t="shared" si="50"/>
        <v>1.2459492680746451</v>
      </c>
      <c r="L610" s="27">
        <v>600</v>
      </c>
      <c r="M610" s="21">
        <v>46168</v>
      </c>
      <c r="N610" s="27">
        <v>2376</v>
      </c>
      <c r="O610" s="27">
        <v>2976</v>
      </c>
      <c r="P610" s="9">
        <f t="shared" si="51"/>
        <v>-3504.24</v>
      </c>
      <c r="Q610" s="9">
        <f>IFERROR(IF(D610=20250,O610/(#REF!/30),O610/(I610/30)),0)</f>
        <v>41.568890378813265</v>
      </c>
      <c r="R610" s="9">
        <f t="shared" si="52"/>
        <v>33.18806570566543</v>
      </c>
    </row>
    <row r="611" spans="1:18" ht="13.15" x14ac:dyDescent="0.45">
      <c r="A611" s="15" t="str">
        <f t="shared" si="48"/>
        <v>440414788</v>
      </c>
      <c r="B611" s="19" t="s">
        <v>78</v>
      </c>
      <c r="C611" s="6" t="e">
        <f>_xlfn.XLOOKUP(B:B,#REF!,#REF!)</f>
        <v>#REF!</v>
      </c>
      <c r="D611" s="19" t="s">
        <v>54</v>
      </c>
      <c r="E611" s="6" t="str">
        <f t="shared" si="49"/>
        <v>440414788</v>
      </c>
      <c r="F611" s="19" t="s">
        <v>55</v>
      </c>
      <c r="G611" s="7" t="e">
        <f>VLOOKUP(D611,#REF!,4,)</f>
        <v>#REF!</v>
      </c>
      <c r="H611" s="6" t="e">
        <f>VLOOKUP(D611,#REF!,5,)</f>
        <v>#REF!</v>
      </c>
      <c r="I611" s="27">
        <v>54999.96</v>
      </c>
      <c r="J611" s="27">
        <v>41388</v>
      </c>
      <c r="K611" s="8">
        <f t="shared" si="50"/>
        <v>0.75250963818882777</v>
      </c>
      <c r="L611" s="27">
        <v>2400</v>
      </c>
      <c r="M611" s="21">
        <v>46168</v>
      </c>
      <c r="N611" s="27">
        <v>39504</v>
      </c>
      <c r="O611" s="27">
        <v>41904</v>
      </c>
      <c r="P611" s="9">
        <f t="shared" si="51"/>
        <v>-28292.04</v>
      </c>
      <c r="Q611" s="9">
        <f>IFERROR(IF(D611=20250,O611/(#REF!/30),O611/(I611/30)),0)</f>
        <v>22.856743895813743</v>
      </c>
      <c r="R611" s="9">
        <f t="shared" si="52"/>
        <v>21.547652034656025</v>
      </c>
    </row>
    <row r="612" spans="1:18" ht="13.15" x14ac:dyDescent="0.45">
      <c r="A612" s="15" t="str">
        <f t="shared" si="48"/>
        <v>440415459</v>
      </c>
      <c r="B612" s="19" t="s">
        <v>78</v>
      </c>
      <c r="C612" s="6" t="e">
        <f>_xlfn.XLOOKUP(B:B,#REF!,#REF!)</f>
        <v>#REF!</v>
      </c>
      <c r="D612" s="19" t="s">
        <v>68</v>
      </c>
      <c r="E612" s="6" t="str">
        <f t="shared" si="49"/>
        <v>440415459</v>
      </c>
      <c r="F612" s="19" t="s">
        <v>69</v>
      </c>
      <c r="G612" s="7" t="e">
        <f>VLOOKUP(D612,#REF!,4,)</f>
        <v>#REF!</v>
      </c>
      <c r="H612" s="6" t="e">
        <f>VLOOKUP(D612,#REF!,5,)</f>
        <v>#REF!</v>
      </c>
      <c r="I612" s="27">
        <v>10725.2</v>
      </c>
      <c r="J612" s="27">
        <v>10000</v>
      </c>
      <c r="K612" s="8">
        <f t="shared" si="50"/>
        <v>0.93238354529519252</v>
      </c>
      <c r="L612" s="27">
        <v>0</v>
      </c>
      <c r="M612" s="21"/>
      <c r="N612" s="27">
        <v>13980</v>
      </c>
      <c r="O612" s="27">
        <v>13980</v>
      </c>
      <c r="P612" s="9">
        <f t="shared" si="51"/>
        <v>-13254.8</v>
      </c>
      <c r="Q612" s="9">
        <f>IFERROR(IF(D612=20250,O612/(#REF!/30),O612/(I612/30)),0)</f>
        <v>39.104165889680374</v>
      </c>
      <c r="R612" s="9">
        <f t="shared" si="52"/>
        <v>39.104165889680374</v>
      </c>
    </row>
    <row r="613" spans="1:18" ht="13.15" x14ac:dyDescent="0.45">
      <c r="A613" s="15" t="str">
        <f t="shared" si="48"/>
        <v>440415536</v>
      </c>
      <c r="B613" s="19" t="s">
        <v>78</v>
      </c>
      <c r="C613" s="6" t="e">
        <f>_xlfn.XLOOKUP(B:B,#REF!,#REF!)</f>
        <v>#REF!</v>
      </c>
      <c r="D613" s="19" t="s">
        <v>56</v>
      </c>
      <c r="E613" s="6" t="str">
        <f t="shared" si="49"/>
        <v>440415536</v>
      </c>
      <c r="F613" s="19" t="s">
        <v>57</v>
      </c>
      <c r="G613" s="7" t="e">
        <f>VLOOKUP(D613,#REF!,4,)</f>
        <v>#REF!</v>
      </c>
      <c r="H613" s="6" t="e">
        <f>VLOOKUP(D613,#REF!,5,)</f>
        <v>#REF!</v>
      </c>
      <c r="I613" s="27">
        <v>1800</v>
      </c>
      <c r="J613" s="27">
        <v>1284</v>
      </c>
      <c r="K613" s="8">
        <f t="shared" si="50"/>
        <v>0.71333333333333337</v>
      </c>
      <c r="L613" s="27">
        <v>1800</v>
      </c>
      <c r="M613" s="21">
        <v>46167</v>
      </c>
      <c r="N613" s="27">
        <v>1740</v>
      </c>
      <c r="O613" s="27">
        <v>3540</v>
      </c>
      <c r="P613" s="9">
        <f t="shared" si="51"/>
        <v>-3024</v>
      </c>
      <c r="Q613" s="9">
        <f>IFERROR(IF(D613=20250,O613/(#REF!/30),O613/(I613/30)),0)</f>
        <v>59</v>
      </c>
      <c r="R613" s="9">
        <f t="shared" si="52"/>
        <v>29</v>
      </c>
    </row>
    <row r="614" spans="1:18" ht="13.15" x14ac:dyDescent="0.45">
      <c r="A614" s="15" t="str">
        <f t="shared" si="48"/>
        <v>440415906</v>
      </c>
      <c r="B614" s="19" t="s">
        <v>78</v>
      </c>
      <c r="C614" s="6" t="e">
        <f>_xlfn.XLOOKUP(B:B,#REF!,#REF!)</f>
        <v>#REF!</v>
      </c>
      <c r="D614" s="19" t="s">
        <v>58</v>
      </c>
      <c r="E614" s="6" t="str">
        <f t="shared" si="49"/>
        <v>440415906</v>
      </c>
      <c r="F614" s="19" t="s">
        <v>59</v>
      </c>
      <c r="G614" s="7" t="e">
        <f>VLOOKUP(D614,#REF!,4,)</f>
        <v>#REF!</v>
      </c>
      <c r="H614" s="6" t="e">
        <f>VLOOKUP(D614,#REF!,5,)</f>
        <v>#REF!</v>
      </c>
      <c r="I614" s="27">
        <v>61.32</v>
      </c>
      <c r="J614" s="27">
        <v>0</v>
      </c>
      <c r="K614" s="8">
        <f t="shared" si="50"/>
        <v>0</v>
      </c>
      <c r="L614" s="27">
        <v>0</v>
      </c>
      <c r="M614" s="21"/>
      <c r="N614" s="27">
        <v>120</v>
      </c>
      <c r="O614" s="27">
        <v>120</v>
      </c>
      <c r="P614" s="9">
        <f t="shared" si="51"/>
        <v>-58.68</v>
      </c>
      <c r="Q614" s="9">
        <f>IFERROR(IF(D614=20250,O614/(#REF!/30),O614/(I614/30)),0)</f>
        <v>58.708414872798436</v>
      </c>
      <c r="R614" s="9">
        <f t="shared" si="52"/>
        <v>58.708414872798436</v>
      </c>
    </row>
    <row r="615" spans="1:18" ht="13.15" x14ac:dyDescent="0.45">
      <c r="A615" s="15" t="str">
        <f t="shared" si="48"/>
        <v>440416336</v>
      </c>
      <c r="B615" s="19" t="s">
        <v>78</v>
      </c>
      <c r="C615" s="6" t="e">
        <f>_xlfn.XLOOKUP(B:B,#REF!,#REF!)</f>
        <v>#REF!</v>
      </c>
      <c r="D615" s="19" t="s">
        <v>20</v>
      </c>
      <c r="E615" s="6" t="str">
        <f t="shared" si="49"/>
        <v>440416336</v>
      </c>
      <c r="F615" s="19" t="s">
        <v>21</v>
      </c>
      <c r="G615" s="7" t="e">
        <f>VLOOKUP(D615,#REF!,4,)</f>
        <v>#REF!</v>
      </c>
      <c r="H615" s="6" t="e">
        <f>VLOOKUP(D615,#REF!,5,)</f>
        <v>#REF!</v>
      </c>
      <c r="I615" s="27">
        <v>27999.96</v>
      </c>
      <c r="J615" s="27">
        <v>25980</v>
      </c>
      <c r="K615" s="8">
        <f t="shared" si="50"/>
        <v>0.92785846836924057</v>
      </c>
      <c r="L615" s="27">
        <v>15468</v>
      </c>
      <c r="M615" s="21">
        <v>46168</v>
      </c>
      <c r="N615" s="27">
        <v>17460</v>
      </c>
      <c r="O615" s="27">
        <v>32928</v>
      </c>
      <c r="P615" s="9">
        <f t="shared" si="51"/>
        <v>-30908.04</v>
      </c>
      <c r="Q615" s="9">
        <f>IFERROR(IF(D615=20250,O615/(#REF!/30),O615/(I615/30)),0)</f>
        <v>35.280050400072</v>
      </c>
      <c r="R615" s="9">
        <f t="shared" si="52"/>
        <v>18.707169581670833</v>
      </c>
    </row>
    <row r="616" spans="1:18" ht="13.15" x14ac:dyDescent="0.45">
      <c r="A616" s="15" t="str">
        <f t="shared" si="48"/>
        <v>440416984</v>
      </c>
      <c r="B616" s="19" t="s">
        <v>78</v>
      </c>
      <c r="C616" s="6" t="e">
        <f>_xlfn.XLOOKUP(B:B,#REF!,#REF!)</f>
        <v>#REF!</v>
      </c>
      <c r="D616" s="19" t="s">
        <v>60</v>
      </c>
      <c r="E616" s="6" t="str">
        <f t="shared" si="49"/>
        <v>440416984</v>
      </c>
      <c r="F616" s="19" t="s">
        <v>61</v>
      </c>
      <c r="G616" s="7" t="e">
        <f>VLOOKUP(D616,#REF!,4,)</f>
        <v>#REF!</v>
      </c>
      <c r="H616" s="6" t="e">
        <f>VLOOKUP(D616,#REF!,5,)</f>
        <v>#REF!</v>
      </c>
      <c r="I616" s="27">
        <v>49.44</v>
      </c>
      <c r="J616" s="27">
        <v>324</v>
      </c>
      <c r="K616" s="8">
        <f t="shared" si="50"/>
        <v>6.5533980582524274</v>
      </c>
      <c r="L616" s="27">
        <v>0</v>
      </c>
      <c r="M616" s="21"/>
      <c r="N616" s="27">
        <v>252</v>
      </c>
      <c r="O616" s="27">
        <v>252</v>
      </c>
      <c r="P616" s="9">
        <f t="shared" si="51"/>
        <v>-526.55999999999995</v>
      </c>
      <c r="Q616" s="9">
        <f>IFERROR(IF(D616=20250,O616/(#REF!/30),O616/(I616/30)),0)</f>
        <v>152.91262135922332</v>
      </c>
      <c r="R616" s="9">
        <f t="shared" si="52"/>
        <v>152.91262135922332</v>
      </c>
    </row>
    <row r="617" spans="1:18" ht="13.15" x14ac:dyDescent="0.45">
      <c r="A617" s="15" t="str">
        <f t="shared" si="48"/>
        <v>440416998</v>
      </c>
      <c r="B617" s="19" t="s">
        <v>78</v>
      </c>
      <c r="C617" s="6" t="e">
        <f>_xlfn.XLOOKUP(B:B,#REF!,#REF!)</f>
        <v>#REF!</v>
      </c>
      <c r="D617" s="19" t="s">
        <v>62</v>
      </c>
      <c r="E617" s="6" t="str">
        <f t="shared" si="49"/>
        <v>440416998</v>
      </c>
      <c r="F617" s="19" t="s">
        <v>63</v>
      </c>
      <c r="G617" s="7" t="e">
        <f>VLOOKUP(D617,#REF!,4,)</f>
        <v>#REF!</v>
      </c>
      <c r="H617" s="6" t="e">
        <f>VLOOKUP(D617,#REF!,5,)</f>
        <v>#REF!</v>
      </c>
      <c r="I617" s="27">
        <v>1072.8</v>
      </c>
      <c r="J617" s="27">
        <v>0</v>
      </c>
      <c r="K617" s="8">
        <f t="shared" si="50"/>
        <v>0</v>
      </c>
      <c r="L617" s="27">
        <v>1200</v>
      </c>
      <c r="M617" s="21">
        <v>46165</v>
      </c>
      <c r="N617" s="27">
        <v>1092</v>
      </c>
      <c r="O617" s="27">
        <v>2292</v>
      </c>
      <c r="P617" s="9">
        <f t="shared" si="51"/>
        <v>-1219.2</v>
      </c>
      <c r="Q617" s="9">
        <f>IFERROR(IF(D617=20250,O617/(#REF!/30),O617/(I617/30)),0)</f>
        <v>64.093959731543634</v>
      </c>
      <c r="R617" s="9">
        <f t="shared" si="52"/>
        <v>30.536912751677853</v>
      </c>
    </row>
    <row r="618" spans="1:18" ht="13.15" x14ac:dyDescent="0.45">
      <c r="A618" s="15" t="str">
        <f t="shared" si="48"/>
        <v>440418098</v>
      </c>
      <c r="B618" s="19" t="s">
        <v>78</v>
      </c>
      <c r="C618" s="6" t="e">
        <f>_xlfn.XLOOKUP(B:B,#REF!,#REF!)</f>
        <v>#REF!</v>
      </c>
      <c r="D618" s="19" t="s">
        <v>64</v>
      </c>
      <c r="E618" s="6" t="str">
        <f t="shared" si="49"/>
        <v>440418098</v>
      </c>
      <c r="F618" s="19" t="s">
        <v>131</v>
      </c>
      <c r="G618" s="7" t="e">
        <f>VLOOKUP(D618,#REF!,4,)</f>
        <v>#REF!</v>
      </c>
      <c r="H618" s="6" t="e">
        <f>VLOOKUP(D618,#REF!,5,)</f>
        <v>#REF!</v>
      </c>
      <c r="I618" s="27">
        <v>536.4</v>
      </c>
      <c r="J618" s="27">
        <v>0</v>
      </c>
      <c r="K618" s="8">
        <f t="shared" si="50"/>
        <v>0</v>
      </c>
      <c r="L618" s="27">
        <v>0</v>
      </c>
      <c r="M618" s="21"/>
      <c r="N618" s="27">
        <v>792</v>
      </c>
      <c r="O618" s="27">
        <v>792</v>
      </c>
      <c r="P618" s="9">
        <f t="shared" ref="P618:P619" si="53">I618-J618-O618</f>
        <v>-255.60000000000002</v>
      </c>
      <c r="Q618" s="9">
        <f>IFERROR(IF(D618=20250,O618/(#REF!/30),O618/(I618/30)),0)</f>
        <v>44.29530201342282</v>
      </c>
      <c r="R618" s="9">
        <f t="shared" ref="R618:R619" si="54">IFERROR(N618/(I618/30),0)</f>
        <v>44.29530201342282</v>
      </c>
    </row>
    <row r="619" spans="1:18" ht="13.15" x14ac:dyDescent="0.45">
      <c r="A619" s="15" t="str">
        <f t="shared" si="48"/>
        <v>440420308</v>
      </c>
      <c r="B619" s="19" t="s">
        <v>78</v>
      </c>
      <c r="C619" s="6" t="e">
        <f>_xlfn.XLOOKUP(B:B,#REF!,#REF!)</f>
        <v>#REF!</v>
      </c>
      <c r="D619" s="19" t="s">
        <v>84</v>
      </c>
      <c r="E619" s="6" t="str">
        <f t="shared" si="49"/>
        <v>440420308</v>
      </c>
      <c r="F619" s="19" t="s">
        <v>108</v>
      </c>
      <c r="G619" s="7" t="e">
        <f>VLOOKUP(D619,#REF!,4,)</f>
        <v>#REF!</v>
      </c>
      <c r="H619" s="6" t="e">
        <f>VLOOKUP(D619,#REF!,5,)</f>
        <v>#REF!</v>
      </c>
      <c r="I619" s="27">
        <v>5976.24</v>
      </c>
      <c r="J619" s="27">
        <v>12672</v>
      </c>
      <c r="K619" s="8">
        <f t="shared" si="50"/>
        <v>2.1203967712140077</v>
      </c>
      <c r="L619" s="27">
        <v>2040</v>
      </c>
      <c r="M619" s="21">
        <v>46168</v>
      </c>
      <c r="N619" s="27">
        <v>4236</v>
      </c>
      <c r="O619" s="27">
        <v>6276</v>
      </c>
      <c r="P619" s="9">
        <f t="shared" si="53"/>
        <v>-12971.76</v>
      </c>
      <c r="Q619" s="9">
        <f>IFERROR(IF(D619=20250,O619/(#REF!/30),O619/(I619/30)),0)</f>
        <v>31.504758845026306</v>
      </c>
      <c r="R619" s="9">
        <f t="shared" si="54"/>
        <v>21.264206256776838</v>
      </c>
    </row>
    <row r="620" spans="1:18" ht="13.15" x14ac:dyDescent="0.45">
      <c r="A620" s="15" t="str">
        <f t="shared" si="48"/>
        <v>440420827</v>
      </c>
      <c r="B620" s="19" t="s">
        <v>78</v>
      </c>
      <c r="C620" s="6" t="e">
        <f>_xlfn.XLOOKUP(B:B,#REF!,#REF!)</f>
        <v>#REF!</v>
      </c>
      <c r="D620" s="19" t="s">
        <v>85</v>
      </c>
      <c r="E620" s="6" t="str">
        <f t="shared" si="49"/>
        <v>440420827</v>
      </c>
      <c r="F620" s="19" t="s">
        <v>86</v>
      </c>
      <c r="G620" s="7" t="e">
        <f>VLOOKUP(D620,#REF!,4,)</f>
        <v>#REF!</v>
      </c>
      <c r="H620" s="6" t="e">
        <f>VLOOKUP(D620,#REF!,5,)</f>
        <v>#REF!</v>
      </c>
      <c r="I620" s="27">
        <v>2100</v>
      </c>
      <c r="J620" s="27">
        <v>1836</v>
      </c>
      <c r="K620" s="8">
        <f t="shared" si="50"/>
        <v>0.87428571428571433</v>
      </c>
      <c r="L620" s="27">
        <v>1200</v>
      </c>
      <c r="M620" s="21">
        <v>46165</v>
      </c>
      <c r="N620" s="27">
        <v>1632</v>
      </c>
      <c r="O620" s="27">
        <v>2832</v>
      </c>
      <c r="P620" s="9">
        <f t="shared" ref="P620:P623" si="55">I620-J620-O620</f>
        <v>-2568</v>
      </c>
      <c r="Q620" s="9">
        <f>IFERROR(IF(D620=20250,O620/(#REF!/30),O620/(I620/30)),0)</f>
        <v>40.457142857142856</v>
      </c>
      <c r="R620" s="9">
        <f t="shared" ref="R620:R626" si="56">IFERROR(N620/(I620/30),0)</f>
        <v>23.314285714285713</v>
      </c>
    </row>
    <row r="621" spans="1:18" ht="13.15" x14ac:dyDescent="0.45">
      <c r="A621" s="15" t="str">
        <f t="shared" si="48"/>
        <v>440421910</v>
      </c>
      <c r="B621" s="19" t="s">
        <v>78</v>
      </c>
      <c r="C621" s="6" t="e">
        <f>_xlfn.XLOOKUP(B:B,#REF!,#REF!)</f>
        <v>#REF!</v>
      </c>
      <c r="D621" s="19" t="s">
        <v>91</v>
      </c>
      <c r="E621" s="6" t="str">
        <f t="shared" si="49"/>
        <v>440421910</v>
      </c>
      <c r="F621" s="19" t="s">
        <v>92</v>
      </c>
      <c r="G621" s="7" t="e">
        <f>VLOOKUP(D621,#REF!,4,)</f>
        <v>#REF!</v>
      </c>
      <c r="H621" s="6" t="e">
        <f>VLOOKUP(D621,#REF!,5,)</f>
        <v>#REF!</v>
      </c>
      <c r="I621" s="27">
        <v>1076.76</v>
      </c>
      <c r="J621" s="27">
        <v>300</v>
      </c>
      <c r="K621" s="8">
        <f t="shared" si="50"/>
        <v>0.27861361863367884</v>
      </c>
      <c r="L621" s="27">
        <v>0</v>
      </c>
      <c r="M621" s="21"/>
      <c r="N621" s="27">
        <v>1356</v>
      </c>
      <c r="O621" s="27">
        <v>1356</v>
      </c>
      <c r="P621" s="9">
        <f t="shared" si="55"/>
        <v>-579.24</v>
      </c>
      <c r="Q621" s="9">
        <f>IFERROR(IF(D621=20250,O621/(#REF!/30),O621/(I621/30)),0)</f>
        <v>37.780006686726843</v>
      </c>
      <c r="R621" s="9">
        <f t="shared" si="56"/>
        <v>37.780006686726843</v>
      </c>
    </row>
    <row r="622" spans="1:18" ht="13.15" x14ac:dyDescent="0.45">
      <c r="A622" s="15" t="str">
        <f t="shared" si="48"/>
        <v>440423081</v>
      </c>
      <c r="B622" s="19" t="s">
        <v>78</v>
      </c>
      <c r="C622" s="6" t="e">
        <f>_xlfn.XLOOKUP(B:B,#REF!,#REF!)</f>
        <v>#REF!</v>
      </c>
      <c r="D622" s="19" t="s">
        <v>96</v>
      </c>
      <c r="E622" s="6" t="str">
        <f t="shared" si="49"/>
        <v>440423081</v>
      </c>
      <c r="F622" s="19" t="s">
        <v>97</v>
      </c>
      <c r="G622" s="7" t="e">
        <f>VLOOKUP(D622,#REF!,4,)</f>
        <v>#REF!</v>
      </c>
      <c r="H622" s="6" t="e">
        <f>VLOOKUP(D622,#REF!,5,)</f>
        <v>#REF!</v>
      </c>
      <c r="I622" s="27">
        <v>2144.7600000000002</v>
      </c>
      <c r="J622" s="27">
        <v>576</v>
      </c>
      <c r="K622" s="8">
        <f t="shared" si="50"/>
        <v>0.26856151737257311</v>
      </c>
      <c r="L622" s="27">
        <v>0</v>
      </c>
      <c r="M622" s="21"/>
      <c r="N622" s="27">
        <v>1200</v>
      </c>
      <c r="O622" s="27">
        <v>1200</v>
      </c>
      <c r="P622" s="9">
        <f t="shared" si="55"/>
        <v>368.76000000000022</v>
      </c>
      <c r="Q622" s="9">
        <f>IFERROR(IF(D622=20250,O622/(#REF!/30),O622/(I622/30)),0)</f>
        <v>16.78509483578582</v>
      </c>
      <c r="R622" s="9">
        <f t="shared" si="56"/>
        <v>16.78509483578582</v>
      </c>
    </row>
    <row r="623" spans="1:18" ht="13.15" x14ac:dyDescent="0.45">
      <c r="A623" s="15" t="str">
        <f t="shared" si="48"/>
        <v>440423401</v>
      </c>
      <c r="B623" s="19" t="s">
        <v>78</v>
      </c>
      <c r="C623" s="6" t="e">
        <f>_xlfn.XLOOKUP(B:B,#REF!,#REF!)</f>
        <v>#REF!</v>
      </c>
      <c r="D623" s="19" t="s">
        <v>98</v>
      </c>
      <c r="E623" s="6" t="str">
        <f t="shared" si="49"/>
        <v>440423401</v>
      </c>
      <c r="F623" s="19" t="s">
        <v>99</v>
      </c>
      <c r="G623" s="7" t="e">
        <f>VLOOKUP(D623,#REF!,4,)</f>
        <v>#REF!</v>
      </c>
      <c r="H623" s="6" t="e">
        <f>VLOOKUP(D623,#REF!,5,)</f>
        <v>#REF!</v>
      </c>
      <c r="I623" s="27">
        <v>14499.96</v>
      </c>
      <c r="J623" s="27">
        <v>12504</v>
      </c>
      <c r="K623" s="8">
        <f t="shared" si="50"/>
        <v>0.86234720647505236</v>
      </c>
      <c r="L623" s="27">
        <v>18000</v>
      </c>
      <c r="M623" s="21">
        <v>46167</v>
      </c>
      <c r="N623" s="27">
        <v>732</v>
      </c>
      <c r="O623" s="27">
        <v>18732</v>
      </c>
      <c r="P623" s="9">
        <f t="shared" si="55"/>
        <v>-16736.04</v>
      </c>
      <c r="Q623" s="9">
        <f>IFERROR(IF(D623=20250,O623/(#REF!/30),O623/(I623/30)),0)</f>
        <v>38.755968981983401</v>
      </c>
      <c r="R623" s="9">
        <f t="shared" si="56"/>
        <v>1.514486936515687</v>
      </c>
    </row>
    <row r="624" spans="1:18" ht="13.15" x14ac:dyDescent="0.45">
      <c r="A624" s="15" t="str">
        <f t="shared" si="48"/>
        <v>440424768</v>
      </c>
      <c r="B624" s="19" t="s">
        <v>78</v>
      </c>
      <c r="C624" s="6" t="e">
        <f>_xlfn.XLOOKUP(B:B,#REF!,#REF!)</f>
        <v>#REF!</v>
      </c>
      <c r="D624" s="19" t="s">
        <v>111</v>
      </c>
      <c r="E624" s="6" t="str">
        <f t="shared" si="49"/>
        <v>440424768</v>
      </c>
      <c r="F624" s="19" t="s">
        <v>112</v>
      </c>
      <c r="G624" s="7" t="e">
        <f>VLOOKUP(D624,#REF!,4,)</f>
        <v>#REF!</v>
      </c>
      <c r="H624" s="6" t="e">
        <f>VLOOKUP(D624,#REF!,5,)</f>
        <v>#REF!</v>
      </c>
      <c r="I624" s="27">
        <v>3000</v>
      </c>
      <c r="J624" s="27">
        <v>1728</v>
      </c>
      <c r="K624" s="8">
        <f t="shared" si="50"/>
        <v>0.57599999999999996</v>
      </c>
      <c r="L624" s="27">
        <v>2400</v>
      </c>
      <c r="M624" s="21">
        <v>46165</v>
      </c>
      <c r="N624" s="27">
        <v>204</v>
      </c>
      <c r="O624" s="27">
        <v>2604</v>
      </c>
      <c r="P624" s="9">
        <f t="shared" ref="P624:P626" si="57">I624-J624-O624</f>
        <v>-1332</v>
      </c>
      <c r="Q624" s="9">
        <f>IFERROR(IF(D624=20250,O624/(#REF!/30),O624/(I624/30)),0)</f>
        <v>26.04</v>
      </c>
      <c r="R624" s="9">
        <f t="shared" si="56"/>
        <v>2.04</v>
      </c>
    </row>
    <row r="625" spans="1:18" ht="13.15" x14ac:dyDescent="0.45">
      <c r="A625" s="15" t="str">
        <f t="shared" si="48"/>
        <v>440425570</v>
      </c>
      <c r="B625" s="19" t="s">
        <v>78</v>
      </c>
      <c r="C625" s="6" t="e">
        <f>_xlfn.XLOOKUP(B:B,#REF!,#REF!)</f>
        <v>#REF!</v>
      </c>
      <c r="D625" s="19" t="s">
        <v>116</v>
      </c>
      <c r="E625" s="6" t="str">
        <f t="shared" si="49"/>
        <v>440425570</v>
      </c>
      <c r="F625" s="19" t="s">
        <v>118</v>
      </c>
      <c r="G625" s="7" t="e">
        <f>VLOOKUP(D625,#REF!,4,)</f>
        <v>#REF!</v>
      </c>
      <c r="H625" s="6" t="e">
        <f>VLOOKUP(D625,#REF!,5,)</f>
        <v>#REF!</v>
      </c>
      <c r="I625" s="27">
        <v>1072.8</v>
      </c>
      <c r="J625" s="27">
        <v>168</v>
      </c>
      <c r="K625" s="8">
        <f t="shared" si="50"/>
        <v>0.15659955257270694</v>
      </c>
      <c r="L625" s="27">
        <v>0</v>
      </c>
      <c r="M625" s="21"/>
      <c r="N625" s="27">
        <v>1332</v>
      </c>
      <c r="O625" s="27">
        <v>1332</v>
      </c>
      <c r="P625" s="9">
        <f t="shared" si="57"/>
        <v>-427.20000000000005</v>
      </c>
      <c r="Q625" s="9">
        <f>IFERROR(IF(D625=20250,O625/(#REF!/30),O625/(I625/30)),0)</f>
        <v>37.24832214765101</v>
      </c>
      <c r="R625" s="9">
        <f t="shared" si="56"/>
        <v>37.24832214765101</v>
      </c>
    </row>
    <row r="626" spans="1:18" ht="13.15" x14ac:dyDescent="0.45">
      <c r="A626" s="15" t="str">
        <f t="shared" si="48"/>
        <v>440425598</v>
      </c>
      <c r="B626" s="19" t="s">
        <v>78</v>
      </c>
      <c r="C626" s="6" t="e">
        <f>_xlfn.XLOOKUP(B:B,#REF!,#REF!)</f>
        <v>#REF!</v>
      </c>
      <c r="D626" s="19" t="s">
        <v>117</v>
      </c>
      <c r="E626" s="6" t="str">
        <f t="shared" si="49"/>
        <v>440425598</v>
      </c>
      <c r="F626" s="19" t="s">
        <v>119</v>
      </c>
      <c r="G626" s="7" t="e">
        <f>VLOOKUP(D626,#REF!,4,)</f>
        <v>#REF!</v>
      </c>
      <c r="H626" s="6" t="e">
        <f>VLOOKUP(D626,#REF!,5,)</f>
        <v>#REF!</v>
      </c>
      <c r="I626" s="27">
        <v>3999.96</v>
      </c>
      <c r="J626" s="27">
        <v>2244</v>
      </c>
      <c r="K626" s="8">
        <f t="shared" si="50"/>
        <v>0.5610056100561005</v>
      </c>
      <c r="L626" s="27">
        <v>1500</v>
      </c>
      <c r="M626" s="21">
        <v>46167</v>
      </c>
      <c r="N626" s="27">
        <v>456</v>
      </c>
      <c r="O626" s="27">
        <v>1956</v>
      </c>
      <c r="P626" s="9">
        <f t="shared" si="57"/>
        <v>-200.03999999999996</v>
      </c>
      <c r="Q626" s="9">
        <f>IFERROR(IF(D626=20250,O626/(#REF!/30),O626/(I626/30)),0)</f>
        <v>14.670146701467015</v>
      </c>
      <c r="R626" s="9">
        <f t="shared" si="56"/>
        <v>3.4200342003420037</v>
      </c>
    </row>
  </sheetData>
  <autoFilter ref="A1:R626" xr:uid="{00000000-0001-0000-0000-000000000000}"/>
  <phoneticPr fontId="5" type="noConversion"/>
  <conditionalFormatting sqref="K1:K1048576">
    <cfRule type="cellIs" dxfId="2" priority="7" operator="greaterThan">
      <formula>#REF!</formula>
    </cfRule>
    <cfRule type="cellIs" dxfId="1" priority="8" operator="lessThan">
      <formula>#REF!</formula>
    </cfRule>
    <cfRule type="cellIs" dxfId="0" priority="9" operator="between">
      <formula>#REF!</formula>
      <formula>#REF!</formula>
    </cfRule>
  </conditionalFormatting>
  <pageMargins left="0.7" right="0.7" top="0.75" bottom="0.75" header="0.3" footer="0.3"/>
  <pageSetup orientation="portrait" r:id="rId1"/>
  <ignoredErrors>
    <ignoredError sqref="Q1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C26B-35AE-4842-92AB-C8BDFFABF8DD}">
  <dimension ref="A1:F626"/>
  <sheetViews>
    <sheetView tabSelected="1" workbookViewId="0">
      <selection activeCell="I10" sqref="I10"/>
    </sheetView>
  </sheetViews>
  <sheetFormatPr defaultRowHeight="14.25" x14ac:dyDescent="0.45"/>
  <cols>
    <col min="1" max="1" width="6.265625" bestFit="1" customWidth="1"/>
    <col min="2" max="2" width="9.265625" bestFit="1" customWidth="1"/>
    <col min="3" max="3" width="9.73046875" bestFit="1" customWidth="1"/>
    <col min="4" max="4" width="7.06640625" bestFit="1" customWidth="1"/>
    <col min="5" max="5" width="12.796875" bestFit="1" customWidth="1"/>
    <col min="6" max="6" width="14.73046875" bestFit="1" customWidth="1"/>
  </cols>
  <sheetData>
    <row r="1" spans="1:6" s="30" customFormat="1" x14ac:dyDescent="0.45">
      <c r="A1" s="30" t="s">
        <v>144</v>
      </c>
      <c r="B1" s="30" t="s">
        <v>145</v>
      </c>
      <c r="C1" s="30" t="s">
        <v>81</v>
      </c>
      <c r="D1" s="30" t="s">
        <v>146</v>
      </c>
      <c r="E1" s="30" t="s">
        <v>11</v>
      </c>
      <c r="F1" s="30" t="s">
        <v>147</v>
      </c>
    </row>
    <row r="2" spans="1:6" x14ac:dyDescent="0.45">
      <c r="A2" s="29">
        <v>2000</v>
      </c>
      <c r="B2" s="29">
        <v>189</v>
      </c>
      <c r="C2">
        <v>6478.08</v>
      </c>
      <c r="D2">
        <v>0</v>
      </c>
      <c r="E2">
        <v>1032</v>
      </c>
      <c r="F2">
        <v>1032</v>
      </c>
    </row>
    <row r="3" spans="1:6" x14ac:dyDescent="0.45">
      <c r="A3" s="29">
        <v>2000</v>
      </c>
      <c r="B3" s="29">
        <v>1296</v>
      </c>
      <c r="C3">
        <v>550.20000000000005</v>
      </c>
      <c r="D3">
        <v>0</v>
      </c>
      <c r="E3">
        <v>0</v>
      </c>
      <c r="F3">
        <v>0</v>
      </c>
    </row>
    <row r="4" spans="1:6" x14ac:dyDescent="0.45">
      <c r="A4" s="29">
        <v>2000</v>
      </c>
      <c r="B4" s="29">
        <v>2122</v>
      </c>
      <c r="C4">
        <v>1122.3599999999999</v>
      </c>
      <c r="D4">
        <v>0</v>
      </c>
      <c r="E4">
        <v>408</v>
      </c>
      <c r="F4">
        <v>408</v>
      </c>
    </row>
    <row r="5" spans="1:6" x14ac:dyDescent="0.45">
      <c r="A5" s="29">
        <v>2000</v>
      </c>
      <c r="B5" s="29">
        <v>5159</v>
      </c>
      <c r="C5">
        <v>0</v>
      </c>
      <c r="D5">
        <v>0</v>
      </c>
      <c r="E5">
        <v>48</v>
      </c>
      <c r="F5">
        <v>48</v>
      </c>
    </row>
    <row r="6" spans="1:6" x14ac:dyDescent="0.45">
      <c r="A6" s="29">
        <v>2000</v>
      </c>
      <c r="B6" s="29">
        <v>7310</v>
      </c>
      <c r="C6">
        <v>6678.96</v>
      </c>
      <c r="D6">
        <v>0</v>
      </c>
      <c r="E6">
        <v>1152</v>
      </c>
      <c r="F6">
        <v>7152</v>
      </c>
    </row>
    <row r="7" spans="1:6" x14ac:dyDescent="0.45">
      <c r="A7" s="29">
        <v>2000</v>
      </c>
      <c r="B7" s="29">
        <v>8529</v>
      </c>
      <c r="C7">
        <v>0</v>
      </c>
      <c r="D7">
        <v>0</v>
      </c>
      <c r="E7">
        <v>2172</v>
      </c>
      <c r="F7">
        <v>2172</v>
      </c>
    </row>
    <row r="8" spans="1:6" x14ac:dyDescent="0.45">
      <c r="A8" s="29">
        <v>2000</v>
      </c>
      <c r="B8" s="29">
        <v>13179</v>
      </c>
      <c r="C8">
        <v>15129.72</v>
      </c>
      <c r="D8">
        <v>0</v>
      </c>
      <c r="E8">
        <v>23220</v>
      </c>
      <c r="F8">
        <v>23220</v>
      </c>
    </row>
    <row r="9" spans="1:6" x14ac:dyDescent="0.45">
      <c r="A9" s="29">
        <v>2000</v>
      </c>
      <c r="B9" s="29">
        <v>13678</v>
      </c>
      <c r="C9">
        <v>0</v>
      </c>
      <c r="D9">
        <v>0</v>
      </c>
      <c r="E9">
        <v>48</v>
      </c>
      <c r="F9">
        <v>48</v>
      </c>
    </row>
    <row r="10" spans="1:6" x14ac:dyDescent="0.45">
      <c r="A10" s="29">
        <v>2000</v>
      </c>
      <c r="B10" s="29">
        <v>14654</v>
      </c>
      <c r="C10">
        <v>0</v>
      </c>
      <c r="D10">
        <v>0</v>
      </c>
      <c r="E10">
        <v>156</v>
      </c>
      <c r="F10">
        <v>156</v>
      </c>
    </row>
    <row r="11" spans="1:6" x14ac:dyDescent="0.45">
      <c r="A11" s="29">
        <v>2000</v>
      </c>
      <c r="B11" s="29">
        <v>14788</v>
      </c>
      <c r="C11">
        <v>0</v>
      </c>
      <c r="D11">
        <v>0</v>
      </c>
      <c r="E11">
        <v>24</v>
      </c>
      <c r="F11">
        <v>24</v>
      </c>
    </row>
    <row r="12" spans="1:6" x14ac:dyDescent="0.45">
      <c r="A12" s="29">
        <v>2000</v>
      </c>
      <c r="B12" s="29">
        <v>15459</v>
      </c>
      <c r="C12">
        <v>0</v>
      </c>
      <c r="D12">
        <v>0</v>
      </c>
      <c r="E12">
        <v>220</v>
      </c>
      <c r="F12">
        <v>220</v>
      </c>
    </row>
    <row r="13" spans="1:6" x14ac:dyDescent="0.45">
      <c r="A13" s="29">
        <v>2000</v>
      </c>
      <c r="B13" s="29">
        <v>15906</v>
      </c>
      <c r="C13">
        <v>0</v>
      </c>
      <c r="D13">
        <v>0</v>
      </c>
      <c r="E13">
        <v>36</v>
      </c>
      <c r="F13">
        <v>36</v>
      </c>
    </row>
    <row r="14" spans="1:6" x14ac:dyDescent="0.45">
      <c r="A14" s="29">
        <v>2000</v>
      </c>
      <c r="B14" s="29">
        <v>16336</v>
      </c>
      <c r="C14">
        <v>1663.8</v>
      </c>
      <c r="D14">
        <v>0</v>
      </c>
      <c r="E14">
        <v>96</v>
      </c>
      <c r="F14">
        <v>96</v>
      </c>
    </row>
    <row r="15" spans="1:6" x14ac:dyDescent="0.45">
      <c r="A15" s="29">
        <v>2000</v>
      </c>
      <c r="B15" s="29">
        <v>16984</v>
      </c>
      <c r="C15">
        <v>0</v>
      </c>
      <c r="D15">
        <v>0</v>
      </c>
      <c r="E15">
        <v>180</v>
      </c>
      <c r="F15">
        <v>180</v>
      </c>
    </row>
    <row r="16" spans="1:6" x14ac:dyDescent="0.45">
      <c r="A16" s="29">
        <v>2000</v>
      </c>
      <c r="B16" s="29">
        <v>18098</v>
      </c>
      <c r="C16">
        <v>0</v>
      </c>
      <c r="D16">
        <v>0</v>
      </c>
      <c r="E16">
        <v>24</v>
      </c>
      <c r="F16">
        <v>24</v>
      </c>
    </row>
    <row r="17" spans="1:6" x14ac:dyDescent="0.45">
      <c r="A17" s="29">
        <v>2000</v>
      </c>
      <c r="B17" s="29">
        <v>20308</v>
      </c>
      <c r="C17">
        <v>0</v>
      </c>
      <c r="D17">
        <v>0</v>
      </c>
      <c r="E17">
        <v>144</v>
      </c>
      <c r="F17">
        <v>144</v>
      </c>
    </row>
    <row r="18" spans="1:6" x14ac:dyDescent="0.45">
      <c r="A18" s="29">
        <v>2000</v>
      </c>
      <c r="B18" s="29">
        <v>21910</v>
      </c>
      <c r="C18">
        <v>0</v>
      </c>
      <c r="D18">
        <v>0</v>
      </c>
      <c r="E18">
        <v>108</v>
      </c>
      <c r="F18">
        <v>108</v>
      </c>
    </row>
    <row r="19" spans="1:6" x14ac:dyDescent="0.45">
      <c r="A19" s="29">
        <v>2000</v>
      </c>
      <c r="B19" s="29">
        <v>23081</v>
      </c>
      <c r="C19">
        <v>0</v>
      </c>
      <c r="D19">
        <v>0</v>
      </c>
      <c r="E19">
        <v>84</v>
      </c>
      <c r="F19">
        <v>84</v>
      </c>
    </row>
    <row r="20" spans="1:6" x14ac:dyDescent="0.45">
      <c r="A20" s="29">
        <v>2000</v>
      </c>
      <c r="B20" s="29">
        <v>23691</v>
      </c>
      <c r="C20">
        <v>0</v>
      </c>
      <c r="D20">
        <v>0</v>
      </c>
      <c r="E20">
        <v>240</v>
      </c>
      <c r="F20">
        <v>240</v>
      </c>
    </row>
    <row r="21" spans="1:6" x14ac:dyDescent="0.45">
      <c r="A21" s="29">
        <v>2000</v>
      </c>
      <c r="B21" s="29">
        <v>24216</v>
      </c>
      <c r="C21">
        <v>0</v>
      </c>
      <c r="D21">
        <v>0</v>
      </c>
      <c r="E21">
        <v>216</v>
      </c>
      <c r="F21">
        <v>216</v>
      </c>
    </row>
    <row r="22" spans="1:6" x14ac:dyDescent="0.45">
      <c r="A22" s="29">
        <v>2000</v>
      </c>
      <c r="B22" s="29">
        <v>25570</v>
      </c>
      <c r="C22">
        <v>0</v>
      </c>
      <c r="D22">
        <v>0</v>
      </c>
      <c r="E22">
        <v>12</v>
      </c>
      <c r="F22">
        <v>12</v>
      </c>
    </row>
    <row r="23" spans="1:6" x14ac:dyDescent="0.45">
      <c r="A23" s="29">
        <v>4100</v>
      </c>
      <c r="B23" s="29">
        <v>189</v>
      </c>
      <c r="C23">
        <v>50100.480000000003</v>
      </c>
      <c r="D23">
        <v>23124</v>
      </c>
      <c r="E23">
        <v>25956</v>
      </c>
      <c r="F23">
        <v>28848</v>
      </c>
    </row>
    <row r="24" spans="1:6" x14ac:dyDescent="0.45">
      <c r="A24" s="29">
        <v>4100</v>
      </c>
      <c r="B24" s="29">
        <v>1167</v>
      </c>
      <c r="C24">
        <v>3229.56</v>
      </c>
      <c r="D24">
        <v>2532</v>
      </c>
      <c r="E24">
        <v>5652</v>
      </c>
      <c r="F24">
        <v>5652</v>
      </c>
    </row>
    <row r="25" spans="1:6" x14ac:dyDescent="0.45">
      <c r="A25" s="29">
        <v>4100</v>
      </c>
      <c r="B25" s="29">
        <v>1296</v>
      </c>
      <c r="C25">
        <v>4407.3599999999997</v>
      </c>
      <c r="D25">
        <v>2640</v>
      </c>
      <c r="E25">
        <v>2628</v>
      </c>
      <c r="F25">
        <v>2628</v>
      </c>
    </row>
    <row r="26" spans="1:6" x14ac:dyDescent="0.45">
      <c r="A26" s="29">
        <v>4100</v>
      </c>
      <c r="B26" s="29">
        <v>2122</v>
      </c>
      <c r="C26">
        <v>8971.32</v>
      </c>
      <c r="D26">
        <v>7608</v>
      </c>
      <c r="E26">
        <v>9684</v>
      </c>
      <c r="F26">
        <v>9684</v>
      </c>
    </row>
    <row r="27" spans="1:6" x14ac:dyDescent="0.45">
      <c r="A27" s="29">
        <v>4100</v>
      </c>
      <c r="B27" s="29">
        <v>4145</v>
      </c>
      <c r="C27">
        <v>22.68</v>
      </c>
      <c r="D27">
        <v>18</v>
      </c>
      <c r="E27">
        <v>27</v>
      </c>
      <c r="F27">
        <v>27</v>
      </c>
    </row>
    <row r="28" spans="1:6" x14ac:dyDescent="0.45">
      <c r="A28" s="29">
        <v>4100</v>
      </c>
      <c r="B28" s="29">
        <v>5159</v>
      </c>
      <c r="C28">
        <v>1188.72</v>
      </c>
      <c r="D28">
        <v>588</v>
      </c>
      <c r="E28">
        <v>1068</v>
      </c>
      <c r="F28">
        <v>1176</v>
      </c>
    </row>
    <row r="29" spans="1:6" x14ac:dyDescent="0.45">
      <c r="A29" s="29">
        <v>4100</v>
      </c>
      <c r="B29" s="29">
        <v>6151</v>
      </c>
      <c r="C29">
        <v>48261.48</v>
      </c>
      <c r="D29">
        <v>23544</v>
      </c>
      <c r="E29">
        <v>21948</v>
      </c>
      <c r="F29">
        <v>21948</v>
      </c>
    </row>
    <row r="30" spans="1:6" x14ac:dyDescent="0.45">
      <c r="A30" s="29">
        <v>4100</v>
      </c>
      <c r="B30" s="29">
        <v>6982</v>
      </c>
      <c r="C30">
        <v>6835.32</v>
      </c>
      <c r="D30">
        <v>5136</v>
      </c>
      <c r="E30">
        <v>8772</v>
      </c>
      <c r="F30">
        <v>8772</v>
      </c>
    </row>
    <row r="31" spans="1:6" x14ac:dyDescent="0.45">
      <c r="A31" s="29">
        <v>4100</v>
      </c>
      <c r="B31" s="29">
        <v>7310</v>
      </c>
      <c r="C31">
        <v>77218.44</v>
      </c>
      <c r="D31">
        <v>42456</v>
      </c>
      <c r="E31">
        <v>53820</v>
      </c>
      <c r="F31">
        <v>63816</v>
      </c>
    </row>
    <row r="32" spans="1:6" x14ac:dyDescent="0.45">
      <c r="A32" s="29">
        <v>4100</v>
      </c>
      <c r="B32" s="29">
        <v>8529</v>
      </c>
      <c r="C32">
        <v>8263.56</v>
      </c>
      <c r="D32">
        <v>5760</v>
      </c>
      <c r="E32">
        <v>8724</v>
      </c>
      <c r="F32">
        <v>8724</v>
      </c>
    </row>
    <row r="33" spans="1:6" x14ac:dyDescent="0.45">
      <c r="A33" s="29">
        <v>4100</v>
      </c>
      <c r="B33" s="29">
        <v>13179</v>
      </c>
      <c r="C33">
        <v>16822.2</v>
      </c>
      <c r="D33">
        <v>11256</v>
      </c>
      <c r="E33">
        <v>18300</v>
      </c>
      <c r="F33">
        <v>18300</v>
      </c>
    </row>
    <row r="34" spans="1:6" x14ac:dyDescent="0.45">
      <c r="A34" s="29">
        <v>4100</v>
      </c>
      <c r="B34" s="29">
        <v>13490</v>
      </c>
      <c r="C34">
        <v>1291.5999999999999</v>
      </c>
      <c r="D34">
        <v>700</v>
      </c>
      <c r="E34">
        <v>6720</v>
      </c>
      <c r="F34">
        <v>6720</v>
      </c>
    </row>
    <row r="35" spans="1:6" x14ac:dyDescent="0.45">
      <c r="A35" s="29">
        <v>4100</v>
      </c>
      <c r="B35" s="29">
        <v>13678</v>
      </c>
      <c r="C35">
        <v>9756.1200000000008</v>
      </c>
      <c r="D35">
        <v>3960</v>
      </c>
      <c r="E35">
        <v>8568</v>
      </c>
      <c r="F35">
        <v>9060</v>
      </c>
    </row>
    <row r="36" spans="1:6" x14ac:dyDescent="0.45">
      <c r="A36" s="29">
        <v>4100</v>
      </c>
      <c r="B36" s="29">
        <v>14248</v>
      </c>
      <c r="C36">
        <v>904.6</v>
      </c>
      <c r="D36">
        <v>230</v>
      </c>
      <c r="E36">
        <v>850</v>
      </c>
      <c r="F36">
        <v>850</v>
      </c>
    </row>
    <row r="37" spans="1:6" x14ac:dyDescent="0.45">
      <c r="A37" s="29">
        <v>4100</v>
      </c>
      <c r="B37" s="29">
        <v>14654</v>
      </c>
      <c r="C37">
        <v>4847.88</v>
      </c>
      <c r="D37">
        <v>2676</v>
      </c>
      <c r="E37">
        <v>2412</v>
      </c>
      <c r="F37">
        <v>5412</v>
      </c>
    </row>
    <row r="38" spans="1:6" x14ac:dyDescent="0.45">
      <c r="A38" s="29">
        <v>4100</v>
      </c>
      <c r="B38" s="29">
        <v>14788</v>
      </c>
      <c r="C38">
        <v>17943.599999999999</v>
      </c>
      <c r="D38">
        <v>9960</v>
      </c>
      <c r="E38">
        <v>8556</v>
      </c>
      <c r="F38">
        <v>13548</v>
      </c>
    </row>
    <row r="39" spans="1:6" x14ac:dyDescent="0.45">
      <c r="A39" s="29">
        <v>4100</v>
      </c>
      <c r="B39" s="29">
        <v>15300</v>
      </c>
      <c r="C39">
        <v>130.59</v>
      </c>
      <c r="D39">
        <v>36</v>
      </c>
      <c r="E39">
        <v>99</v>
      </c>
      <c r="F39">
        <v>99</v>
      </c>
    </row>
    <row r="40" spans="1:6" x14ac:dyDescent="0.45">
      <c r="A40" s="29">
        <v>4100</v>
      </c>
      <c r="B40" s="29">
        <v>15305</v>
      </c>
      <c r="C40">
        <v>83.07</v>
      </c>
      <c r="D40">
        <v>18</v>
      </c>
      <c r="E40">
        <v>72</v>
      </c>
      <c r="F40">
        <v>72</v>
      </c>
    </row>
    <row r="41" spans="1:6" x14ac:dyDescent="0.45">
      <c r="A41" s="29">
        <v>4100</v>
      </c>
      <c r="B41" s="29">
        <v>15536</v>
      </c>
      <c r="C41">
        <v>5509.08</v>
      </c>
      <c r="D41">
        <v>3456</v>
      </c>
      <c r="E41">
        <v>5556</v>
      </c>
      <c r="F41">
        <v>5556</v>
      </c>
    </row>
    <row r="42" spans="1:6" x14ac:dyDescent="0.45">
      <c r="A42" s="29">
        <v>4100</v>
      </c>
      <c r="B42" s="29">
        <v>15906</v>
      </c>
      <c r="C42">
        <v>2242.8000000000002</v>
      </c>
      <c r="D42">
        <v>1692</v>
      </c>
      <c r="E42">
        <v>2244</v>
      </c>
      <c r="F42">
        <v>2436</v>
      </c>
    </row>
    <row r="43" spans="1:6" x14ac:dyDescent="0.45">
      <c r="A43" s="29">
        <v>4100</v>
      </c>
      <c r="B43" s="29">
        <v>16336</v>
      </c>
      <c r="C43">
        <v>57035.88</v>
      </c>
      <c r="D43">
        <v>34284</v>
      </c>
      <c r="E43">
        <v>40344</v>
      </c>
      <c r="F43">
        <v>40344</v>
      </c>
    </row>
    <row r="44" spans="1:6" x14ac:dyDescent="0.45">
      <c r="A44" s="29">
        <v>4100</v>
      </c>
      <c r="B44" s="29">
        <v>16407</v>
      </c>
      <c r="C44">
        <v>630.45000000000005</v>
      </c>
      <c r="D44">
        <v>126</v>
      </c>
      <c r="E44">
        <v>1071</v>
      </c>
      <c r="F44">
        <v>1071</v>
      </c>
    </row>
    <row r="45" spans="1:6" x14ac:dyDescent="0.45">
      <c r="A45" s="29">
        <v>4100</v>
      </c>
      <c r="B45" s="29">
        <v>16984</v>
      </c>
      <c r="C45">
        <v>2019.12</v>
      </c>
      <c r="D45">
        <v>948</v>
      </c>
      <c r="E45">
        <v>1380</v>
      </c>
      <c r="F45">
        <v>1380</v>
      </c>
    </row>
    <row r="46" spans="1:6" x14ac:dyDescent="0.45">
      <c r="A46" s="29">
        <v>4100</v>
      </c>
      <c r="B46" s="29">
        <v>16998</v>
      </c>
      <c r="C46">
        <v>5804.04</v>
      </c>
      <c r="D46">
        <v>3012</v>
      </c>
      <c r="E46">
        <v>7908</v>
      </c>
      <c r="F46">
        <v>7908</v>
      </c>
    </row>
    <row r="47" spans="1:6" x14ac:dyDescent="0.45">
      <c r="A47" s="29">
        <v>4100</v>
      </c>
      <c r="B47" s="29">
        <v>18098</v>
      </c>
      <c r="C47">
        <v>1286.6400000000001</v>
      </c>
      <c r="D47">
        <v>444</v>
      </c>
      <c r="E47">
        <v>960</v>
      </c>
      <c r="F47">
        <v>1452</v>
      </c>
    </row>
    <row r="48" spans="1:6" x14ac:dyDescent="0.45">
      <c r="A48" s="29">
        <v>4100</v>
      </c>
      <c r="B48" s="29">
        <v>19690</v>
      </c>
      <c r="C48">
        <v>34.56</v>
      </c>
      <c r="D48">
        <v>0</v>
      </c>
      <c r="E48">
        <v>180</v>
      </c>
      <c r="F48">
        <v>180</v>
      </c>
    </row>
    <row r="49" spans="1:6" x14ac:dyDescent="0.45">
      <c r="A49" s="29">
        <v>4100</v>
      </c>
      <c r="B49" s="29">
        <v>20308</v>
      </c>
      <c r="C49">
        <v>19346.16</v>
      </c>
      <c r="D49">
        <v>15420</v>
      </c>
      <c r="E49">
        <v>16320</v>
      </c>
      <c r="F49">
        <v>18816</v>
      </c>
    </row>
    <row r="50" spans="1:6" x14ac:dyDescent="0.45">
      <c r="A50" s="29">
        <v>4100</v>
      </c>
      <c r="B50" s="29">
        <v>20661</v>
      </c>
      <c r="C50">
        <v>448.32</v>
      </c>
      <c r="D50">
        <v>0</v>
      </c>
      <c r="E50">
        <v>468</v>
      </c>
      <c r="F50">
        <v>468</v>
      </c>
    </row>
    <row r="51" spans="1:6" x14ac:dyDescent="0.45">
      <c r="A51" s="29">
        <v>4100</v>
      </c>
      <c r="B51" s="29">
        <v>20827</v>
      </c>
      <c r="C51">
        <v>8814.84</v>
      </c>
      <c r="D51">
        <v>6396</v>
      </c>
      <c r="E51">
        <v>7572</v>
      </c>
      <c r="F51">
        <v>7572</v>
      </c>
    </row>
    <row r="52" spans="1:6" x14ac:dyDescent="0.45">
      <c r="A52" s="29">
        <v>4100</v>
      </c>
      <c r="B52" s="29">
        <v>21910</v>
      </c>
      <c r="C52">
        <v>2953.44</v>
      </c>
      <c r="D52">
        <v>1260</v>
      </c>
      <c r="E52">
        <v>3300</v>
      </c>
      <c r="F52">
        <v>3300</v>
      </c>
    </row>
    <row r="53" spans="1:6" x14ac:dyDescent="0.45">
      <c r="A53" s="29">
        <v>4100</v>
      </c>
      <c r="B53" s="29">
        <v>23081</v>
      </c>
      <c r="C53">
        <v>257.27999999999997</v>
      </c>
      <c r="D53">
        <v>192</v>
      </c>
      <c r="E53">
        <v>108</v>
      </c>
      <c r="F53">
        <v>216</v>
      </c>
    </row>
    <row r="54" spans="1:6" x14ac:dyDescent="0.45">
      <c r="A54" s="29">
        <v>4100</v>
      </c>
      <c r="B54" s="29">
        <v>23401</v>
      </c>
      <c r="C54">
        <v>2500.08</v>
      </c>
      <c r="D54">
        <v>456</v>
      </c>
      <c r="E54">
        <v>2124</v>
      </c>
      <c r="F54">
        <v>2124</v>
      </c>
    </row>
    <row r="55" spans="1:6" x14ac:dyDescent="0.45">
      <c r="A55" s="29">
        <v>4100</v>
      </c>
      <c r="B55" s="29">
        <v>23638</v>
      </c>
      <c r="C55">
        <v>2400</v>
      </c>
      <c r="D55">
        <v>1452</v>
      </c>
      <c r="E55">
        <v>4152</v>
      </c>
      <c r="F55">
        <v>4152</v>
      </c>
    </row>
    <row r="56" spans="1:6" x14ac:dyDescent="0.45">
      <c r="A56" s="29">
        <v>4100</v>
      </c>
      <c r="B56" s="29">
        <v>24768</v>
      </c>
      <c r="C56">
        <v>7874.64</v>
      </c>
      <c r="D56">
        <v>3528</v>
      </c>
      <c r="E56">
        <v>7008</v>
      </c>
      <c r="F56">
        <v>7008</v>
      </c>
    </row>
    <row r="57" spans="1:6" x14ac:dyDescent="0.45">
      <c r="A57" s="29">
        <v>4100</v>
      </c>
      <c r="B57" s="29">
        <v>25570</v>
      </c>
      <c r="C57">
        <v>68.28</v>
      </c>
      <c r="D57">
        <v>84</v>
      </c>
      <c r="E57">
        <v>276</v>
      </c>
      <c r="F57">
        <v>276</v>
      </c>
    </row>
    <row r="58" spans="1:6" x14ac:dyDescent="0.45">
      <c r="A58" s="29">
        <v>4100</v>
      </c>
      <c r="B58" s="29">
        <v>25598</v>
      </c>
      <c r="C58">
        <v>513.6</v>
      </c>
      <c r="D58">
        <v>552</v>
      </c>
      <c r="E58">
        <v>336</v>
      </c>
      <c r="F58">
        <v>528</v>
      </c>
    </row>
    <row r="59" spans="1:6" x14ac:dyDescent="0.45">
      <c r="A59" s="29">
        <v>4100</v>
      </c>
      <c r="B59" s="29">
        <v>25885</v>
      </c>
      <c r="C59">
        <v>1548</v>
      </c>
      <c r="D59">
        <v>264</v>
      </c>
      <c r="E59">
        <v>2412</v>
      </c>
      <c r="F59">
        <v>2412</v>
      </c>
    </row>
    <row r="60" spans="1:6" x14ac:dyDescent="0.45">
      <c r="A60" s="29">
        <v>4100</v>
      </c>
      <c r="B60" s="29">
        <v>26192</v>
      </c>
      <c r="C60">
        <v>2986.08</v>
      </c>
      <c r="D60">
        <v>0</v>
      </c>
      <c r="E60">
        <v>0</v>
      </c>
      <c r="F60">
        <v>0</v>
      </c>
    </row>
    <row r="61" spans="1:6" x14ac:dyDescent="0.45">
      <c r="A61" s="29">
        <v>4100</v>
      </c>
      <c r="B61" s="29">
        <v>26234</v>
      </c>
      <c r="C61">
        <v>0</v>
      </c>
      <c r="D61">
        <v>84</v>
      </c>
      <c r="E61">
        <v>1692</v>
      </c>
      <c r="F61">
        <v>1692</v>
      </c>
    </row>
    <row r="62" spans="1:6" x14ac:dyDescent="0.45">
      <c r="A62" s="29">
        <v>4100</v>
      </c>
      <c r="B62" s="29">
        <v>26744</v>
      </c>
      <c r="C62">
        <v>0</v>
      </c>
      <c r="D62">
        <v>0</v>
      </c>
      <c r="E62">
        <v>48</v>
      </c>
      <c r="F62">
        <v>48</v>
      </c>
    </row>
    <row r="63" spans="1:6" x14ac:dyDescent="0.45">
      <c r="A63" s="29">
        <v>4101</v>
      </c>
      <c r="B63" s="29">
        <v>189</v>
      </c>
      <c r="C63">
        <v>194379.24</v>
      </c>
      <c r="D63">
        <v>137040</v>
      </c>
      <c r="E63">
        <v>66168</v>
      </c>
      <c r="F63">
        <v>66168</v>
      </c>
    </row>
    <row r="64" spans="1:6" x14ac:dyDescent="0.45">
      <c r="A64" s="29">
        <v>4101</v>
      </c>
      <c r="B64" s="29">
        <v>1167</v>
      </c>
      <c r="C64">
        <v>24977.88</v>
      </c>
      <c r="D64">
        <v>21036</v>
      </c>
      <c r="E64">
        <v>13080</v>
      </c>
      <c r="F64">
        <v>13080</v>
      </c>
    </row>
    <row r="65" spans="1:6" x14ac:dyDescent="0.45">
      <c r="A65" s="29">
        <v>4101</v>
      </c>
      <c r="B65" s="29">
        <v>1296</v>
      </c>
      <c r="C65">
        <v>19237.2</v>
      </c>
      <c r="D65">
        <v>13452</v>
      </c>
      <c r="E65">
        <v>10260</v>
      </c>
      <c r="F65">
        <v>10752</v>
      </c>
    </row>
    <row r="66" spans="1:6" x14ac:dyDescent="0.45">
      <c r="A66" s="29">
        <v>4101</v>
      </c>
      <c r="B66" s="29">
        <v>2122</v>
      </c>
      <c r="C66">
        <v>56073.72</v>
      </c>
      <c r="D66">
        <v>40356</v>
      </c>
      <c r="E66">
        <v>25956</v>
      </c>
      <c r="F66">
        <v>36948</v>
      </c>
    </row>
    <row r="67" spans="1:6" x14ac:dyDescent="0.45">
      <c r="A67" s="29">
        <v>4101</v>
      </c>
      <c r="B67" s="29">
        <v>4145</v>
      </c>
      <c r="C67">
        <v>435.42</v>
      </c>
      <c r="D67">
        <v>432</v>
      </c>
      <c r="E67">
        <v>9</v>
      </c>
      <c r="F67">
        <v>405</v>
      </c>
    </row>
    <row r="68" spans="1:6" x14ac:dyDescent="0.45">
      <c r="A68" s="29">
        <v>4101</v>
      </c>
      <c r="B68" s="29">
        <v>5159</v>
      </c>
      <c r="C68">
        <v>379.08</v>
      </c>
      <c r="D68">
        <v>156</v>
      </c>
      <c r="E68">
        <v>96</v>
      </c>
      <c r="F68">
        <v>300</v>
      </c>
    </row>
    <row r="69" spans="1:6" x14ac:dyDescent="0.45">
      <c r="A69" s="29">
        <v>4101</v>
      </c>
      <c r="B69" s="29">
        <v>6151</v>
      </c>
      <c r="C69">
        <v>51479.28</v>
      </c>
      <c r="D69">
        <v>31548</v>
      </c>
      <c r="E69">
        <v>19512</v>
      </c>
      <c r="F69">
        <v>21198</v>
      </c>
    </row>
    <row r="70" spans="1:6" x14ac:dyDescent="0.45">
      <c r="A70" s="29">
        <v>4101</v>
      </c>
      <c r="B70" s="29">
        <v>6982</v>
      </c>
      <c r="C70">
        <v>21017.759999999998</v>
      </c>
      <c r="D70">
        <v>15720</v>
      </c>
      <c r="E70">
        <v>10488</v>
      </c>
      <c r="F70">
        <v>10632</v>
      </c>
    </row>
    <row r="71" spans="1:6" x14ac:dyDescent="0.45">
      <c r="A71" s="29">
        <v>4101</v>
      </c>
      <c r="B71" s="29">
        <v>7310</v>
      </c>
      <c r="C71">
        <v>193047</v>
      </c>
      <c r="D71">
        <v>116664</v>
      </c>
      <c r="E71">
        <v>107916</v>
      </c>
      <c r="F71">
        <v>133524</v>
      </c>
    </row>
    <row r="72" spans="1:6" x14ac:dyDescent="0.45">
      <c r="A72" s="29">
        <v>4101</v>
      </c>
      <c r="B72" s="29">
        <v>8529</v>
      </c>
      <c r="C72">
        <v>47885.279999999999</v>
      </c>
      <c r="D72">
        <v>34824</v>
      </c>
      <c r="E72">
        <v>25500</v>
      </c>
      <c r="F72">
        <v>33192</v>
      </c>
    </row>
    <row r="73" spans="1:6" x14ac:dyDescent="0.45">
      <c r="A73" s="29">
        <v>4101</v>
      </c>
      <c r="B73" s="29">
        <v>13179</v>
      </c>
      <c r="C73">
        <v>100932.48</v>
      </c>
      <c r="D73">
        <v>70368</v>
      </c>
      <c r="E73">
        <v>49560</v>
      </c>
      <c r="F73">
        <v>68952</v>
      </c>
    </row>
    <row r="74" spans="1:6" x14ac:dyDescent="0.45">
      <c r="A74" s="29">
        <v>4101</v>
      </c>
      <c r="B74" s="29">
        <v>13490</v>
      </c>
      <c r="C74">
        <v>4844.8999999999996</v>
      </c>
      <c r="D74">
        <v>4600</v>
      </c>
      <c r="E74">
        <v>0</v>
      </c>
      <c r="F74">
        <v>4500</v>
      </c>
    </row>
    <row r="75" spans="1:6" x14ac:dyDescent="0.45">
      <c r="A75" s="29">
        <v>4101</v>
      </c>
      <c r="B75" s="29">
        <v>13678</v>
      </c>
      <c r="C75">
        <v>5362.56</v>
      </c>
      <c r="D75">
        <v>4476</v>
      </c>
      <c r="E75">
        <v>3912</v>
      </c>
      <c r="F75">
        <v>3912</v>
      </c>
    </row>
    <row r="76" spans="1:6" x14ac:dyDescent="0.45">
      <c r="A76" s="29">
        <v>4101</v>
      </c>
      <c r="B76" s="29">
        <v>14248</v>
      </c>
      <c r="C76">
        <v>5920.8</v>
      </c>
      <c r="D76">
        <v>4080</v>
      </c>
      <c r="E76">
        <v>640</v>
      </c>
      <c r="F76">
        <v>2710</v>
      </c>
    </row>
    <row r="77" spans="1:6" x14ac:dyDescent="0.45">
      <c r="A77" s="29">
        <v>4101</v>
      </c>
      <c r="B77" s="29">
        <v>14654</v>
      </c>
      <c r="C77">
        <v>15674.04</v>
      </c>
      <c r="D77">
        <v>9696</v>
      </c>
      <c r="E77">
        <v>3696</v>
      </c>
      <c r="F77">
        <v>10572</v>
      </c>
    </row>
    <row r="78" spans="1:6" x14ac:dyDescent="0.45">
      <c r="A78" s="29">
        <v>4101</v>
      </c>
      <c r="B78" s="29">
        <v>14788</v>
      </c>
      <c r="C78">
        <v>61680.84</v>
      </c>
      <c r="D78">
        <v>40284</v>
      </c>
      <c r="E78">
        <v>42144</v>
      </c>
      <c r="F78">
        <v>42144</v>
      </c>
    </row>
    <row r="79" spans="1:6" x14ac:dyDescent="0.45">
      <c r="A79" s="29">
        <v>4101</v>
      </c>
      <c r="B79" s="29">
        <v>15300</v>
      </c>
      <c r="C79">
        <v>363.15</v>
      </c>
      <c r="D79">
        <v>360</v>
      </c>
      <c r="E79">
        <v>0</v>
      </c>
      <c r="F79">
        <v>297</v>
      </c>
    </row>
    <row r="80" spans="1:6" x14ac:dyDescent="0.45">
      <c r="A80" s="29">
        <v>4101</v>
      </c>
      <c r="B80" s="29">
        <v>15305</v>
      </c>
      <c r="C80">
        <v>206.82</v>
      </c>
      <c r="D80">
        <v>36</v>
      </c>
      <c r="E80">
        <v>243</v>
      </c>
      <c r="F80">
        <v>243</v>
      </c>
    </row>
    <row r="81" spans="1:6" x14ac:dyDescent="0.45">
      <c r="A81" s="29">
        <v>4101</v>
      </c>
      <c r="B81" s="29">
        <v>15312</v>
      </c>
      <c r="C81">
        <v>421.56</v>
      </c>
      <c r="D81">
        <v>36</v>
      </c>
      <c r="E81">
        <v>387</v>
      </c>
      <c r="F81">
        <v>387</v>
      </c>
    </row>
    <row r="82" spans="1:6" x14ac:dyDescent="0.45">
      <c r="A82" s="29">
        <v>4101</v>
      </c>
      <c r="B82" s="29">
        <v>15459</v>
      </c>
      <c r="C82">
        <v>12870</v>
      </c>
      <c r="D82">
        <v>5000</v>
      </c>
      <c r="E82">
        <v>14050</v>
      </c>
      <c r="F82">
        <v>14050</v>
      </c>
    </row>
    <row r="83" spans="1:6" x14ac:dyDescent="0.45">
      <c r="A83" s="29">
        <v>4101</v>
      </c>
      <c r="B83" s="29">
        <v>15536</v>
      </c>
      <c r="C83">
        <v>23688.12</v>
      </c>
      <c r="D83">
        <v>15072</v>
      </c>
      <c r="E83">
        <v>23016</v>
      </c>
      <c r="F83">
        <v>23016</v>
      </c>
    </row>
    <row r="84" spans="1:6" x14ac:dyDescent="0.45">
      <c r="A84" s="29">
        <v>4101</v>
      </c>
      <c r="B84" s="29">
        <v>15906</v>
      </c>
      <c r="C84">
        <v>25744.080000000002</v>
      </c>
      <c r="D84">
        <v>15468</v>
      </c>
      <c r="E84">
        <v>12396</v>
      </c>
      <c r="F84">
        <v>14400</v>
      </c>
    </row>
    <row r="85" spans="1:6" x14ac:dyDescent="0.45">
      <c r="A85" s="29">
        <v>4101</v>
      </c>
      <c r="B85" s="29">
        <v>16336</v>
      </c>
      <c r="C85">
        <v>102780.36</v>
      </c>
      <c r="D85">
        <v>102360</v>
      </c>
      <c r="E85">
        <v>38268</v>
      </c>
      <c r="F85">
        <v>53412</v>
      </c>
    </row>
    <row r="86" spans="1:6" x14ac:dyDescent="0.45">
      <c r="A86" s="29">
        <v>4101</v>
      </c>
      <c r="B86" s="29">
        <v>16407</v>
      </c>
      <c r="C86">
        <v>1977.48</v>
      </c>
      <c r="D86">
        <v>1161</v>
      </c>
      <c r="E86">
        <v>900</v>
      </c>
      <c r="F86">
        <v>1800</v>
      </c>
    </row>
    <row r="87" spans="1:6" x14ac:dyDescent="0.45">
      <c r="A87" s="29">
        <v>4101</v>
      </c>
      <c r="B87" s="29">
        <v>16984</v>
      </c>
      <c r="C87">
        <v>2691.12</v>
      </c>
      <c r="D87">
        <v>2652</v>
      </c>
      <c r="E87">
        <v>2808</v>
      </c>
      <c r="F87">
        <v>2808</v>
      </c>
    </row>
    <row r="88" spans="1:6" x14ac:dyDescent="0.45">
      <c r="A88" s="29">
        <v>4101</v>
      </c>
      <c r="B88" s="29">
        <v>16998</v>
      </c>
      <c r="C88">
        <v>23215.200000000001</v>
      </c>
      <c r="D88">
        <v>12744</v>
      </c>
      <c r="E88">
        <v>28944</v>
      </c>
      <c r="F88">
        <v>28944</v>
      </c>
    </row>
    <row r="89" spans="1:6" x14ac:dyDescent="0.45">
      <c r="A89" s="29">
        <v>4101</v>
      </c>
      <c r="B89" s="29">
        <v>18098</v>
      </c>
      <c r="C89">
        <v>5791.08</v>
      </c>
      <c r="D89">
        <v>5076</v>
      </c>
      <c r="E89">
        <v>1416</v>
      </c>
      <c r="F89">
        <v>4416</v>
      </c>
    </row>
    <row r="90" spans="1:6" x14ac:dyDescent="0.45">
      <c r="A90" s="29">
        <v>4101</v>
      </c>
      <c r="B90" s="29">
        <v>19690</v>
      </c>
      <c r="C90">
        <v>320.64</v>
      </c>
      <c r="D90">
        <v>336</v>
      </c>
      <c r="E90">
        <v>48</v>
      </c>
      <c r="F90">
        <v>48</v>
      </c>
    </row>
    <row r="91" spans="1:6" x14ac:dyDescent="0.45">
      <c r="A91" s="29">
        <v>4101</v>
      </c>
      <c r="B91" s="29">
        <v>20308</v>
      </c>
      <c r="C91">
        <v>50820.959999999999</v>
      </c>
      <c r="D91">
        <v>29112</v>
      </c>
      <c r="E91">
        <v>32388</v>
      </c>
      <c r="F91">
        <v>38400</v>
      </c>
    </row>
    <row r="92" spans="1:6" x14ac:dyDescent="0.45">
      <c r="A92" s="29">
        <v>4101</v>
      </c>
      <c r="B92" s="29">
        <v>20661</v>
      </c>
      <c r="C92">
        <v>4826.04</v>
      </c>
      <c r="D92">
        <v>3768</v>
      </c>
      <c r="E92">
        <v>4320</v>
      </c>
      <c r="F92">
        <v>4320</v>
      </c>
    </row>
    <row r="93" spans="1:6" x14ac:dyDescent="0.45">
      <c r="A93" s="29">
        <v>4101</v>
      </c>
      <c r="B93" s="29">
        <v>20827</v>
      </c>
      <c r="C93">
        <v>6610.68</v>
      </c>
      <c r="D93">
        <v>5676</v>
      </c>
      <c r="E93">
        <v>3372</v>
      </c>
      <c r="F93">
        <v>3372</v>
      </c>
    </row>
    <row r="94" spans="1:6" x14ac:dyDescent="0.45">
      <c r="A94" s="29">
        <v>4101</v>
      </c>
      <c r="B94" s="29">
        <v>21910</v>
      </c>
      <c r="C94">
        <v>2281.3200000000002</v>
      </c>
      <c r="D94">
        <v>1920</v>
      </c>
      <c r="E94">
        <v>1044</v>
      </c>
      <c r="F94">
        <v>2052</v>
      </c>
    </row>
    <row r="95" spans="1:6" x14ac:dyDescent="0.45">
      <c r="A95" s="29">
        <v>4101</v>
      </c>
      <c r="B95" s="29">
        <v>23081</v>
      </c>
      <c r="C95">
        <v>2574.36</v>
      </c>
      <c r="D95">
        <v>2160</v>
      </c>
      <c r="E95">
        <v>1128</v>
      </c>
      <c r="F95">
        <v>1128</v>
      </c>
    </row>
    <row r="96" spans="1:6" x14ac:dyDescent="0.45">
      <c r="A96" s="29">
        <v>4101</v>
      </c>
      <c r="B96" s="29">
        <v>23401</v>
      </c>
      <c r="C96">
        <v>3000</v>
      </c>
      <c r="D96">
        <v>1068</v>
      </c>
      <c r="E96">
        <v>2028</v>
      </c>
      <c r="F96">
        <v>2028</v>
      </c>
    </row>
    <row r="97" spans="1:6" x14ac:dyDescent="0.45">
      <c r="A97" s="29">
        <v>4101</v>
      </c>
      <c r="B97" s="29">
        <v>23638</v>
      </c>
      <c r="C97">
        <v>19999.919999999998</v>
      </c>
      <c r="D97">
        <v>10284</v>
      </c>
      <c r="E97">
        <v>2388</v>
      </c>
      <c r="F97">
        <v>3836</v>
      </c>
    </row>
    <row r="98" spans="1:6" x14ac:dyDescent="0.45">
      <c r="A98" s="29">
        <v>4101</v>
      </c>
      <c r="B98" s="29">
        <v>23890</v>
      </c>
      <c r="C98">
        <v>0</v>
      </c>
      <c r="D98">
        <v>0</v>
      </c>
      <c r="E98">
        <v>1116</v>
      </c>
      <c r="F98">
        <v>1116</v>
      </c>
    </row>
    <row r="99" spans="1:6" x14ac:dyDescent="0.45">
      <c r="A99" s="29">
        <v>4101</v>
      </c>
      <c r="B99" s="29">
        <v>24768</v>
      </c>
      <c r="C99">
        <v>5962.32</v>
      </c>
      <c r="D99">
        <v>3420</v>
      </c>
      <c r="E99">
        <v>10008</v>
      </c>
      <c r="F99">
        <v>10008</v>
      </c>
    </row>
    <row r="100" spans="1:6" x14ac:dyDescent="0.45">
      <c r="A100" s="29">
        <v>4101</v>
      </c>
      <c r="B100" s="29">
        <v>25570</v>
      </c>
      <c r="C100">
        <v>1254.96</v>
      </c>
      <c r="D100">
        <v>1068</v>
      </c>
      <c r="E100">
        <v>4440</v>
      </c>
      <c r="F100">
        <v>4440</v>
      </c>
    </row>
    <row r="101" spans="1:6" x14ac:dyDescent="0.45">
      <c r="A101" s="29">
        <v>4101</v>
      </c>
      <c r="B101" s="29">
        <v>25598</v>
      </c>
      <c r="C101">
        <v>9399.7199999999993</v>
      </c>
      <c r="D101">
        <v>1704</v>
      </c>
      <c r="E101">
        <v>4164</v>
      </c>
      <c r="F101">
        <v>7764</v>
      </c>
    </row>
    <row r="102" spans="1:6" x14ac:dyDescent="0.45">
      <c r="A102" s="29">
        <v>4101</v>
      </c>
      <c r="B102" s="29">
        <v>25885</v>
      </c>
      <c r="C102">
        <v>9027.7199999999993</v>
      </c>
      <c r="D102">
        <v>1152</v>
      </c>
      <c r="E102">
        <v>13980</v>
      </c>
      <c r="F102">
        <v>13980</v>
      </c>
    </row>
    <row r="103" spans="1:6" x14ac:dyDescent="0.45">
      <c r="A103" s="29">
        <v>4101</v>
      </c>
      <c r="B103" s="29">
        <v>26026</v>
      </c>
      <c r="C103">
        <v>1368.84</v>
      </c>
      <c r="D103">
        <v>1116</v>
      </c>
      <c r="E103">
        <v>3360</v>
      </c>
      <c r="F103">
        <v>3360</v>
      </c>
    </row>
    <row r="104" spans="1:6" x14ac:dyDescent="0.45">
      <c r="A104" s="29">
        <v>4101</v>
      </c>
      <c r="B104" s="29">
        <v>26192</v>
      </c>
      <c r="C104">
        <v>1979.52</v>
      </c>
      <c r="D104">
        <v>0</v>
      </c>
      <c r="E104">
        <v>0</v>
      </c>
      <c r="F104">
        <v>0</v>
      </c>
    </row>
    <row r="105" spans="1:6" x14ac:dyDescent="0.45">
      <c r="A105" s="29">
        <v>4101</v>
      </c>
      <c r="B105" s="29">
        <v>26193</v>
      </c>
      <c r="C105">
        <v>2638.68</v>
      </c>
      <c r="D105">
        <v>0</v>
      </c>
      <c r="E105">
        <v>0</v>
      </c>
      <c r="F105">
        <v>0</v>
      </c>
    </row>
    <row r="106" spans="1:6" x14ac:dyDescent="0.45">
      <c r="A106" s="29">
        <v>4101</v>
      </c>
      <c r="B106" s="29">
        <v>26234</v>
      </c>
      <c r="C106">
        <v>0</v>
      </c>
      <c r="D106">
        <v>24</v>
      </c>
      <c r="E106">
        <v>1728</v>
      </c>
      <c r="F106">
        <v>1728</v>
      </c>
    </row>
    <row r="107" spans="1:6" x14ac:dyDescent="0.45">
      <c r="A107" s="29">
        <v>4101</v>
      </c>
      <c r="B107" s="29">
        <v>26744</v>
      </c>
      <c r="C107">
        <v>0</v>
      </c>
      <c r="D107">
        <v>0</v>
      </c>
      <c r="E107">
        <v>192</v>
      </c>
      <c r="F107">
        <v>192</v>
      </c>
    </row>
    <row r="108" spans="1:6" x14ac:dyDescent="0.45">
      <c r="A108" s="29">
        <v>4101</v>
      </c>
      <c r="B108" s="29">
        <v>26745</v>
      </c>
      <c r="C108">
        <v>0</v>
      </c>
      <c r="D108">
        <v>0</v>
      </c>
      <c r="E108">
        <v>648</v>
      </c>
      <c r="F108">
        <v>648</v>
      </c>
    </row>
    <row r="109" spans="1:6" x14ac:dyDescent="0.45">
      <c r="A109" s="29">
        <v>4104</v>
      </c>
      <c r="B109" s="29">
        <v>189</v>
      </c>
      <c r="C109">
        <v>11499.96</v>
      </c>
      <c r="D109">
        <v>6804</v>
      </c>
      <c r="E109">
        <v>10908</v>
      </c>
      <c r="F109">
        <v>10908</v>
      </c>
    </row>
    <row r="110" spans="1:6" x14ac:dyDescent="0.45">
      <c r="A110" s="29">
        <v>4104</v>
      </c>
      <c r="B110" s="29">
        <v>1167</v>
      </c>
      <c r="C110">
        <v>864</v>
      </c>
      <c r="D110">
        <v>1032</v>
      </c>
      <c r="E110">
        <v>876</v>
      </c>
      <c r="F110">
        <v>876</v>
      </c>
    </row>
    <row r="111" spans="1:6" x14ac:dyDescent="0.45">
      <c r="A111" s="29">
        <v>4104</v>
      </c>
      <c r="B111" s="29">
        <v>1296</v>
      </c>
      <c r="C111">
        <v>3048</v>
      </c>
      <c r="D111">
        <v>1668</v>
      </c>
      <c r="E111">
        <v>2220</v>
      </c>
      <c r="F111">
        <v>2220</v>
      </c>
    </row>
    <row r="112" spans="1:6" x14ac:dyDescent="0.45">
      <c r="A112" s="29">
        <v>4104</v>
      </c>
      <c r="B112" s="29">
        <v>2122</v>
      </c>
      <c r="C112">
        <v>9000</v>
      </c>
      <c r="D112">
        <v>4008</v>
      </c>
      <c r="E112">
        <v>8124</v>
      </c>
      <c r="F112">
        <v>8124</v>
      </c>
    </row>
    <row r="113" spans="1:6" x14ac:dyDescent="0.45">
      <c r="A113" s="29">
        <v>4104</v>
      </c>
      <c r="B113" s="29">
        <v>4145</v>
      </c>
      <c r="C113">
        <v>27</v>
      </c>
      <c r="D113">
        <v>63</v>
      </c>
      <c r="E113">
        <v>9</v>
      </c>
      <c r="F113">
        <v>9</v>
      </c>
    </row>
    <row r="114" spans="1:6" x14ac:dyDescent="0.45">
      <c r="A114" s="29">
        <v>4104</v>
      </c>
      <c r="B114" s="29">
        <v>5159</v>
      </c>
      <c r="C114">
        <v>24</v>
      </c>
      <c r="D114">
        <v>48</v>
      </c>
      <c r="E114">
        <v>0</v>
      </c>
      <c r="F114">
        <v>0</v>
      </c>
    </row>
    <row r="115" spans="1:6" x14ac:dyDescent="0.45">
      <c r="A115" s="29">
        <v>4104</v>
      </c>
      <c r="B115" s="29">
        <v>6151</v>
      </c>
      <c r="C115">
        <v>12999.96</v>
      </c>
      <c r="D115">
        <v>9144</v>
      </c>
      <c r="E115">
        <v>8436</v>
      </c>
      <c r="F115">
        <v>8436</v>
      </c>
    </row>
    <row r="116" spans="1:6" x14ac:dyDescent="0.45">
      <c r="A116" s="29">
        <v>4104</v>
      </c>
      <c r="B116" s="29">
        <v>6982</v>
      </c>
      <c r="C116">
        <v>564</v>
      </c>
      <c r="D116">
        <v>132</v>
      </c>
      <c r="E116">
        <v>1416</v>
      </c>
      <c r="F116">
        <v>1416</v>
      </c>
    </row>
    <row r="117" spans="1:6" x14ac:dyDescent="0.45">
      <c r="A117" s="29">
        <v>4104</v>
      </c>
      <c r="B117" s="29">
        <v>7310</v>
      </c>
      <c r="C117">
        <v>19999.919999999998</v>
      </c>
      <c r="D117">
        <v>20592</v>
      </c>
      <c r="E117">
        <v>19200</v>
      </c>
      <c r="F117">
        <v>19200</v>
      </c>
    </row>
    <row r="118" spans="1:6" x14ac:dyDescent="0.45">
      <c r="A118" s="29">
        <v>4104</v>
      </c>
      <c r="B118" s="29">
        <v>8529</v>
      </c>
      <c r="C118">
        <v>6000</v>
      </c>
      <c r="D118">
        <v>2364</v>
      </c>
      <c r="E118">
        <v>6600</v>
      </c>
      <c r="F118">
        <v>6600</v>
      </c>
    </row>
    <row r="119" spans="1:6" x14ac:dyDescent="0.45">
      <c r="A119" s="29">
        <v>4104</v>
      </c>
      <c r="B119" s="29">
        <v>13179</v>
      </c>
      <c r="C119">
        <v>12000</v>
      </c>
      <c r="D119">
        <v>6576</v>
      </c>
      <c r="E119">
        <v>9984</v>
      </c>
      <c r="F119">
        <v>9984</v>
      </c>
    </row>
    <row r="120" spans="1:6" x14ac:dyDescent="0.45">
      <c r="A120" s="29">
        <v>4104</v>
      </c>
      <c r="B120" s="29">
        <v>13490</v>
      </c>
      <c r="C120">
        <v>900</v>
      </c>
      <c r="D120">
        <v>370</v>
      </c>
      <c r="E120">
        <v>1430</v>
      </c>
      <c r="F120">
        <v>1430</v>
      </c>
    </row>
    <row r="121" spans="1:6" x14ac:dyDescent="0.45">
      <c r="A121" s="29">
        <v>4104</v>
      </c>
      <c r="B121" s="29">
        <v>13678</v>
      </c>
      <c r="C121">
        <v>3199.92</v>
      </c>
      <c r="D121">
        <v>3432</v>
      </c>
      <c r="E121">
        <v>2784</v>
      </c>
      <c r="F121">
        <v>2784</v>
      </c>
    </row>
    <row r="122" spans="1:6" x14ac:dyDescent="0.45">
      <c r="A122" s="29">
        <v>4104</v>
      </c>
      <c r="B122" s="29">
        <v>14248</v>
      </c>
      <c r="C122">
        <v>380</v>
      </c>
      <c r="D122">
        <v>300</v>
      </c>
      <c r="E122">
        <v>0</v>
      </c>
      <c r="F122">
        <v>0</v>
      </c>
    </row>
    <row r="123" spans="1:6" x14ac:dyDescent="0.45">
      <c r="A123" s="29">
        <v>4104</v>
      </c>
      <c r="B123" s="29">
        <v>14654</v>
      </c>
      <c r="C123">
        <v>3000</v>
      </c>
      <c r="D123">
        <v>1344</v>
      </c>
      <c r="E123">
        <v>1668</v>
      </c>
      <c r="F123">
        <v>1668</v>
      </c>
    </row>
    <row r="124" spans="1:6" x14ac:dyDescent="0.45">
      <c r="A124" s="29">
        <v>4104</v>
      </c>
      <c r="B124" s="29">
        <v>14788</v>
      </c>
      <c r="C124">
        <v>21999.96</v>
      </c>
      <c r="D124">
        <v>7296</v>
      </c>
      <c r="E124">
        <v>10188</v>
      </c>
      <c r="F124">
        <v>10188</v>
      </c>
    </row>
    <row r="125" spans="1:6" x14ac:dyDescent="0.45">
      <c r="A125" s="29">
        <v>4104</v>
      </c>
      <c r="B125" s="29">
        <v>15300</v>
      </c>
      <c r="C125">
        <v>153</v>
      </c>
      <c r="D125">
        <v>72</v>
      </c>
      <c r="E125">
        <v>144</v>
      </c>
      <c r="F125">
        <v>144</v>
      </c>
    </row>
    <row r="126" spans="1:6" x14ac:dyDescent="0.45">
      <c r="A126" s="29">
        <v>4104</v>
      </c>
      <c r="B126" s="29">
        <v>15305</v>
      </c>
      <c r="C126">
        <v>81</v>
      </c>
      <c r="D126">
        <v>63</v>
      </c>
      <c r="E126">
        <v>99</v>
      </c>
      <c r="F126">
        <v>99</v>
      </c>
    </row>
    <row r="127" spans="1:6" x14ac:dyDescent="0.45">
      <c r="A127" s="29">
        <v>4104</v>
      </c>
      <c r="B127" s="29">
        <v>15536</v>
      </c>
      <c r="C127">
        <v>9999.9599999999991</v>
      </c>
      <c r="D127">
        <v>4992</v>
      </c>
      <c r="E127">
        <v>15444</v>
      </c>
      <c r="F127">
        <v>15444</v>
      </c>
    </row>
    <row r="128" spans="1:6" x14ac:dyDescent="0.45">
      <c r="A128" s="29">
        <v>4104</v>
      </c>
      <c r="B128" s="29">
        <v>15906</v>
      </c>
      <c r="C128">
        <v>1056</v>
      </c>
      <c r="D128">
        <v>636</v>
      </c>
      <c r="E128">
        <v>1140</v>
      </c>
      <c r="F128">
        <v>1140</v>
      </c>
    </row>
    <row r="129" spans="1:6" x14ac:dyDescent="0.45">
      <c r="A129" s="29">
        <v>4104</v>
      </c>
      <c r="B129" s="29">
        <v>16336</v>
      </c>
      <c r="C129">
        <v>39999.96</v>
      </c>
      <c r="D129">
        <v>24684</v>
      </c>
      <c r="E129">
        <v>30564</v>
      </c>
      <c r="F129">
        <v>30564</v>
      </c>
    </row>
    <row r="130" spans="1:6" x14ac:dyDescent="0.45">
      <c r="A130" s="29">
        <v>4104</v>
      </c>
      <c r="B130" s="29">
        <v>16407</v>
      </c>
      <c r="C130">
        <v>126</v>
      </c>
      <c r="D130">
        <v>126</v>
      </c>
      <c r="E130">
        <v>144</v>
      </c>
      <c r="F130">
        <v>144</v>
      </c>
    </row>
    <row r="131" spans="1:6" x14ac:dyDescent="0.45">
      <c r="A131" s="29">
        <v>4104</v>
      </c>
      <c r="B131" s="29">
        <v>16984</v>
      </c>
      <c r="C131">
        <v>144</v>
      </c>
      <c r="D131">
        <v>264</v>
      </c>
      <c r="E131">
        <v>84</v>
      </c>
      <c r="F131">
        <v>84</v>
      </c>
    </row>
    <row r="132" spans="1:6" x14ac:dyDescent="0.45">
      <c r="A132" s="29">
        <v>4104</v>
      </c>
      <c r="B132" s="29">
        <v>16998</v>
      </c>
      <c r="C132">
        <v>4776</v>
      </c>
      <c r="D132">
        <v>4212</v>
      </c>
      <c r="E132">
        <v>5988</v>
      </c>
      <c r="F132">
        <v>5988</v>
      </c>
    </row>
    <row r="133" spans="1:6" x14ac:dyDescent="0.45">
      <c r="A133" s="29">
        <v>4104</v>
      </c>
      <c r="B133" s="29">
        <v>18098</v>
      </c>
      <c r="C133">
        <v>999.96</v>
      </c>
      <c r="D133">
        <v>492</v>
      </c>
      <c r="E133">
        <v>876</v>
      </c>
      <c r="F133">
        <v>876</v>
      </c>
    </row>
    <row r="134" spans="1:6" x14ac:dyDescent="0.45">
      <c r="A134" s="29">
        <v>4104</v>
      </c>
      <c r="B134" s="29">
        <v>19690</v>
      </c>
      <c r="C134">
        <v>60</v>
      </c>
      <c r="D134">
        <v>24</v>
      </c>
      <c r="E134">
        <v>132</v>
      </c>
      <c r="F134">
        <v>132</v>
      </c>
    </row>
    <row r="135" spans="1:6" x14ac:dyDescent="0.45">
      <c r="A135" s="29">
        <v>4104</v>
      </c>
      <c r="B135" s="29">
        <v>20661</v>
      </c>
      <c r="C135">
        <v>588</v>
      </c>
      <c r="D135">
        <v>168</v>
      </c>
      <c r="E135">
        <v>108</v>
      </c>
      <c r="F135">
        <v>108</v>
      </c>
    </row>
    <row r="136" spans="1:6" x14ac:dyDescent="0.45">
      <c r="A136" s="29">
        <v>4104</v>
      </c>
      <c r="B136" s="29">
        <v>20827</v>
      </c>
      <c r="C136">
        <v>3499.92</v>
      </c>
      <c r="D136">
        <v>1644</v>
      </c>
      <c r="E136">
        <v>6696</v>
      </c>
      <c r="F136">
        <v>6696</v>
      </c>
    </row>
    <row r="137" spans="1:6" x14ac:dyDescent="0.45">
      <c r="A137" s="29">
        <v>4104</v>
      </c>
      <c r="B137" s="29">
        <v>23081</v>
      </c>
      <c r="C137">
        <v>300</v>
      </c>
      <c r="D137">
        <v>84</v>
      </c>
      <c r="E137">
        <v>300</v>
      </c>
      <c r="F137">
        <v>300</v>
      </c>
    </row>
    <row r="138" spans="1:6" x14ac:dyDescent="0.45">
      <c r="A138" s="29">
        <v>4104</v>
      </c>
      <c r="B138" s="29">
        <v>23638</v>
      </c>
      <c r="C138">
        <v>12000</v>
      </c>
      <c r="D138">
        <v>10200</v>
      </c>
      <c r="E138">
        <v>624</v>
      </c>
      <c r="F138">
        <v>6168</v>
      </c>
    </row>
    <row r="139" spans="1:6" x14ac:dyDescent="0.45">
      <c r="A139" s="29">
        <v>4104</v>
      </c>
      <c r="B139" s="29">
        <v>24768</v>
      </c>
      <c r="C139">
        <v>3499.92</v>
      </c>
      <c r="D139">
        <v>3636</v>
      </c>
      <c r="E139">
        <v>2352</v>
      </c>
      <c r="F139">
        <v>2352</v>
      </c>
    </row>
    <row r="140" spans="1:6" x14ac:dyDescent="0.45">
      <c r="A140" s="29">
        <v>4104</v>
      </c>
      <c r="B140" s="29">
        <v>25570</v>
      </c>
      <c r="C140">
        <v>1008</v>
      </c>
      <c r="D140">
        <v>2472</v>
      </c>
      <c r="E140">
        <v>1560</v>
      </c>
      <c r="F140">
        <v>1560</v>
      </c>
    </row>
    <row r="141" spans="1:6" x14ac:dyDescent="0.45">
      <c r="A141" s="29">
        <v>4104</v>
      </c>
      <c r="B141" s="29">
        <v>25598</v>
      </c>
      <c r="C141">
        <v>36</v>
      </c>
      <c r="D141">
        <v>12</v>
      </c>
      <c r="E141">
        <v>336</v>
      </c>
      <c r="F141">
        <v>336</v>
      </c>
    </row>
    <row r="142" spans="1:6" x14ac:dyDescent="0.45">
      <c r="A142" s="29">
        <v>4104</v>
      </c>
      <c r="B142" s="29">
        <v>25885</v>
      </c>
      <c r="C142">
        <v>180</v>
      </c>
      <c r="D142">
        <v>0</v>
      </c>
      <c r="E142">
        <v>1200</v>
      </c>
      <c r="F142">
        <v>1200</v>
      </c>
    </row>
    <row r="143" spans="1:6" x14ac:dyDescent="0.45">
      <c r="A143" s="29">
        <v>4104</v>
      </c>
      <c r="B143" s="29">
        <v>26193</v>
      </c>
      <c r="C143">
        <v>0</v>
      </c>
      <c r="D143">
        <v>2556</v>
      </c>
      <c r="E143">
        <v>0</v>
      </c>
      <c r="F143">
        <v>0</v>
      </c>
    </row>
    <row r="144" spans="1:6" x14ac:dyDescent="0.45">
      <c r="A144" s="29">
        <v>4105</v>
      </c>
      <c r="B144" s="29">
        <v>189</v>
      </c>
      <c r="C144">
        <v>23215.200000000001</v>
      </c>
      <c r="D144">
        <v>19080</v>
      </c>
      <c r="E144">
        <v>7884</v>
      </c>
      <c r="F144">
        <v>7884</v>
      </c>
    </row>
    <row r="145" spans="1:6" x14ac:dyDescent="0.45">
      <c r="A145" s="29">
        <v>4105</v>
      </c>
      <c r="B145" s="29">
        <v>1167</v>
      </c>
      <c r="C145">
        <v>5920.8</v>
      </c>
      <c r="D145">
        <v>6036</v>
      </c>
      <c r="E145">
        <v>4236</v>
      </c>
      <c r="F145">
        <v>4236</v>
      </c>
    </row>
    <row r="146" spans="1:6" x14ac:dyDescent="0.45">
      <c r="A146" s="29">
        <v>4105</v>
      </c>
      <c r="B146" s="29">
        <v>1296</v>
      </c>
      <c r="C146">
        <v>2415</v>
      </c>
      <c r="D146">
        <v>2220</v>
      </c>
      <c r="E146">
        <v>2160</v>
      </c>
      <c r="F146">
        <v>2160</v>
      </c>
    </row>
    <row r="147" spans="1:6" x14ac:dyDescent="0.45">
      <c r="A147" s="29">
        <v>4105</v>
      </c>
      <c r="B147" s="29">
        <v>2122</v>
      </c>
      <c r="C147">
        <v>5621.88</v>
      </c>
      <c r="D147">
        <v>1188</v>
      </c>
      <c r="E147">
        <v>7116</v>
      </c>
      <c r="F147">
        <v>7116</v>
      </c>
    </row>
    <row r="148" spans="1:6" x14ac:dyDescent="0.45">
      <c r="A148" s="29">
        <v>4105</v>
      </c>
      <c r="B148" s="29">
        <v>4145</v>
      </c>
      <c r="C148">
        <v>240.48</v>
      </c>
      <c r="D148">
        <v>126</v>
      </c>
      <c r="E148">
        <v>315</v>
      </c>
      <c r="F148">
        <v>315</v>
      </c>
    </row>
    <row r="149" spans="1:6" x14ac:dyDescent="0.45">
      <c r="A149" s="29">
        <v>4105</v>
      </c>
      <c r="B149" s="29">
        <v>5159</v>
      </c>
      <c r="C149">
        <v>34.56</v>
      </c>
      <c r="D149">
        <v>0</v>
      </c>
      <c r="E149">
        <v>36</v>
      </c>
      <c r="F149">
        <v>36</v>
      </c>
    </row>
    <row r="150" spans="1:6" x14ac:dyDescent="0.45">
      <c r="A150" s="29">
        <v>4105</v>
      </c>
      <c r="B150" s="29">
        <v>6151</v>
      </c>
      <c r="C150">
        <v>10295.64</v>
      </c>
      <c r="D150">
        <v>8112</v>
      </c>
      <c r="E150">
        <v>7848</v>
      </c>
      <c r="F150">
        <v>9348</v>
      </c>
    </row>
    <row r="151" spans="1:6" x14ac:dyDescent="0.45">
      <c r="A151" s="29">
        <v>4105</v>
      </c>
      <c r="B151" s="29">
        <v>6982</v>
      </c>
      <c r="C151">
        <v>8971.32</v>
      </c>
      <c r="D151">
        <v>5460</v>
      </c>
      <c r="E151">
        <v>10620</v>
      </c>
      <c r="F151">
        <v>10620</v>
      </c>
    </row>
    <row r="152" spans="1:6" x14ac:dyDescent="0.45">
      <c r="A152" s="29">
        <v>4105</v>
      </c>
      <c r="B152" s="29">
        <v>7310</v>
      </c>
      <c r="C152">
        <v>13513.32</v>
      </c>
      <c r="D152">
        <v>7992</v>
      </c>
      <c r="E152">
        <v>20112</v>
      </c>
      <c r="F152">
        <v>20112</v>
      </c>
    </row>
    <row r="153" spans="1:6" x14ac:dyDescent="0.45">
      <c r="A153" s="29">
        <v>4105</v>
      </c>
      <c r="B153" s="29">
        <v>8529</v>
      </c>
      <c r="C153">
        <v>8263.56</v>
      </c>
      <c r="D153">
        <v>4992</v>
      </c>
      <c r="E153">
        <v>10032</v>
      </c>
      <c r="F153">
        <v>10032</v>
      </c>
    </row>
    <row r="154" spans="1:6" x14ac:dyDescent="0.45">
      <c r="A154" s="29">
        <v>4105</v>
      </c>
      <c r="B154" s="29">
        <v>13179</v>
      </c>
      <c r="C154">
        <v>16975.560000000001</v>
      </c>
      <c r="D154">
        <v>9768</v>
      </c>
      <c r="E154">
        <v>16212</v>
      </c>
      <c r="F154">
        <v>16212</v>
      </c>
    </row>
    <row r="155" spans="1:6" x14ac:dyDescent="0.45">
      <c r="A155" s="29">
        <v>4105</v>
      </c>
      <c r="B155" s="29">
        <v>13490</v>
      </c>
      <c r="C155">
        <v>2152.6999999999998</v>
      </c>
      <c r="D155">
        <v>1650</v>
      </c>
      <c r="E155">
        <v>2070</v>
      </c>
      <c r="F155">
        <v>2070</v>
      </c>
    </row>
    <row r="156" spans="1:6" x14ac:dyDescent="0.45">
      <c r="A156" s="29">
        <v>4105</v>
      </c>
      <c r="B156" s="29">
        <v>13678</v>
      </c>
      <c r="C156">
        <v>5385.36</v>
      </c>
      <c r="D156">
        <v>4956</v>
      </c>
      <c r="E156">
        <v>5496</v>
      </c>
      <c r="F156">
        <v>5496</v>
      </c>
    </row>
    <row r="157" spans="1:6" x14ac:dyDescent="0.45">
      <c r="A157" s="29">
        <v>4105</v>
      </c>
      <c r="B157" s="29">
        <v>14248</v>
      </c>
      <c r="C157">
        <v>1076.8</v>
      </c>
      <c r="D157">
        <v>880</v>
      </c>
      <c r="E157">
        <v>400</v>
      </c>
      <c r="F157">
        <v>400</v>
      </c>
    </row>
    <row r="158" spans="1:6" x14ac:dyDescent="0.45">
      <c r="A158" s="29">
        <v>4105</v>
      </c>
      <c r="B158" s="29">
        <v>14654</v>
      </c>
      <c r="C158">
        <v>1682.52</v>
      </c>
      <c r="D158">
        <v>984</v>
      </c>
      <c r="E158">
        <v>1116</v>
      </c>
      <c r="F158">
        <v>1116</v>
      </c>
    </row>
    <row r="159" spans="1:6" x14ac:dyDescent="0.45">
      <c r="A159" s="29">
        <v>4105</v>
      </c>
      <c r="B159" s="29">
        <v>14788</v>
      </c>
      <c r="C159">
        <v>34204.68</v>
      </c>
      <c r="D159">
        <v>19932</v>
      </c>
      <c r="E159">
        <v>20280</v>
      </c>
      <c r="F159">
        <v>20280</v>
      </c>
    </row>
    <row r="160" spans="1:6" x14ac:dyDescent="0.45">
      <c r="A160" s="29">
        <v>4105</v>
      </c>
      <c r="B160" s="29">
        <v>15300</v>
      </c>
      <c r="C160">
        <v>207.81</v>
      </c>
      <c r="D160">
        <v>99</v>
      </c>
      <c r="E160">
        <v>351</v>
      </c>
      <c r="F160">
        <v>351</v>
      </c>
    </row>
    <row r="161" spans="1:6" x14ac:dyDescent="0.45">
      <c r="A161" s="29">
        <v>4105</v>
      </c>
      <c r="B161" s="29">
        <v>15305</v>
      </c>
      <c r="C161">
        <v>73.17</v>
      </c>
      <c r="D161">
        <v>45</v>
      </c>
      <c r="E161">
        <v>90</v>
      </c>
      <c r="F161">
        <v>90</v>
      </c>
    </row>
    <row r="162" spans="1:6" x14ac:dyDescent="0.45">
      <c r="A162" s="29">
        <v>4105</v>
      </c>
      <c r="B162" s="29">
        <v>15312</v>
      </c>
      <c r="C162">
        <v>16.739999999999998</v>
      </c>
      <c r="D162">
        <v>9</v>
      </c>
      <c r="E162">
        <v>36</v>
      </c>
      <c r="F162">
        <v>36</v>
      </c>
    </row>
    <row r="163" spans="1:6" x14ac:dyDescent="0.45">
      <c r="A163" s="29">
        <v>4105</v>
      </c>
      <c r="B163" s="29">
        <v>15536</v>
      </c>
      <c r="C163">
        <v>4407.3599999999997</v>
      </c>
      <c r="D163">
        <v>2940</v>
      </c>
      <c r="E163">
        <v>6048</v>
      </c>
      <c r="F163">
        <v>6048</v>
      </c>
    </row>
    <row r="164" spans="1:6" x14ac:dyDescent="0.45">
      <c r="A164" s="29">
        <v>4105</v>
      </c>
      <c r="B164" s="29">
        <v>15906</v>
      </c>
      <c r="C164">
        <v>3875.88</v>
      </c>
      <c r="D164">
        <v>2784</v>
      </c>
      <c r="E164">
        <v>4104</v>
      </c>
      <c r="F164">
        <v>4104</v>
      </c>
    </row>
    <row r="165" spans="1:6" x14ac:dyDescent="0.45">
      <c r="A165" s="29">
        <v>4105</v>
      </c>
      <c r="B165" s="29">
        <v>16336</v>
      </c>
      <c r="C165">
        <v>57035.88</v>
      </c>
      <c r="D165">
        <v>38160</v>
      </c>
      <c r="E165">
        <v>51912</v>
      </c>
      <c r="F165">
        <v>51912</v>
      </c>
    </row>
    <row r="166" spans="1:6" x14ac:dyDescent="0.45">
      <c r="A166" s="29">
        <v>4105</v>
      </c>
      <c r="B166" s="29">
        <v>16407</v>
      </c>
      <c r="C166">
        <v>668.07</v>
      </c>
      <c r="D166">
        <v>423</v>
      </c>
      <c r="E166">
        <v>423</v>
      </c>
      <c r="F166">
        <v>423</v>
      </c>
    </row>
    <row r="167" spans="1:6" x14ac:dyDescent="0.45">
      <c r="A167" s="29">
        <v>4105</v>
      </c>
      <c r="B167" s="29">
        <v>16984</v>
      </c>
      <c r="C167">
        <v>64.319999999999993</v>
      </c>
      <c r="D167">
        <v>24</v>
      </c>
      <c r="E167">
        <v>228</v>
      </c>
      <c r="F167">
        <v>228</v>
      </c>
    </row>
    <row r="168" spans="1:6" x14ac:dyDescent="0.45">
      <c r="A168" s="29">
        <v>4105</v>
      </c>
      <c r="B168" s="29">
        <v>16998</v>
      </c>
      <c r="C168">
        <v>5804.04</v>
      </c>
      <c r="D168">
        <v>3204</v>
      </c>
      <c r="E168">
        <v>8364</v>
      </c>
      <c r="F168">
        <v>8364</v>
      </c>
    </row>
    <row r="169" spans="1:6" x14ac:dyDescent="0.45">
      <c r="A169" s="29">
        <v>4105</v>
      </c>
      <c r="B169" s="29">
        <v>18098</v>
      </c>
      <c r="C169">
        <v>579</v>
      </c>
      <c r="D169">
        <v>264</v>
      </c>
      <c r="E169">
        <v>696</v>
      </c>
      <c r="F169">
        <v>696</v>
      </c>
    </row>
    <row r="170" spans="1:6" x14ac:dyDescent="0.45">
      <c r="A170" s="29">
        <v>4105</v>
      </c>
      <c r="B170" s="29">
        <v>19690</v>
      </c>
      <c r="C170">
        <v>0</v>
      </c>
      <c r="D170">
        <v>36</v>
      </c>
      <c r="E170">
        <v>144</v>
      </c>
      <c r="F170">
        <v>144</v>
      </c>
    </row>
    <row r="171" spans="1:6" x14ac:dyDescent="0.45">
      <c r="A171" s="29">
        <v>4105</v>
      </c>
      <c r="B171" s="29">
        <v>20661</v>
      </c>
      <c r="C171">
        <v>1608.36</v>
      </c>
      <c r="D171">
        <v>1236</v>
      </c>
      <c r="E171">
        <v>780</v>
      </c>
      <c r="F171">
        <v>780</v>
      </c>
    </row>
    <row r="172" spans="1:6" x14ac:dyDescent="0.45">
      <c r="A172" s="29">
        <v>4105</v>
      </c>
      <c r="B172" s="29">
        <v>20827</v>
      </c>
      <c r="C172">
        <v>3305.76</v>
      </c>
      <c r="D172">
        <v>2232</v>
      </c>
      <c r="E172">
        <v>4152</v>
      </c>
      <c r="F172">
        <v>4152</v>
      </c>
    </row>
    <row r="173" spans="1:6" x14ac:dyDescent="0.45">
      <c r="A173" s="29">
        <v>4105</v>
      </c>
      <c r="B173" s="29">
        <v>23081</v>
      </c>
      <c r="C173">
        <v>257.27999999999997</v>
      </c>
      <c r="D173">
        <v>240</v>
      </c>
      <c r="E173">
        <v>132</v>
      </c>
      <c r="F173">
        <v>132</v>
      </c>
    </row>
    <row r="174" spans="1:6" x14ac:dyDescent="0.45">
      <c r="A174" s="29">
        <v>4105</v>
      </c>
      <c r="B174" s="29">
        <v>23401</v>
      </c>
      <c r="C174">
        <v>2500.08</v>
      </c>
      <c r="D174">
        <v>780</v>
      </c>
      <c r="E174">
        <v>4080</v>
      </c>
      <c r="F174">
        <v>4080</v>
      </c>
    </row>
    <row r="175" spans="1:6" x14ac:dyDescent="0.45">
      <c r="A175" s="29">
        <v>4105</v>
      </c>
      <c r="B175" s="29">
        <v>23638</v>
      </c>
      <c r="C175">
        <v>3499.92</v>
      </c>
      <c r="D175">
        <v>672</v>
      </c>
      <c r="E175">
        <v>7644</v>
      </c>
      <c r="F175">
        <v>7644</v>
      </c>
    </row>
    <row r="176" spans="1:6" x14ac:dyDescent="0.45">
      <c r="A176" s="29">
        <v>4105</v>
      </c>
      <c r="B176" s="29">
        <v>24768</v>
      </c>
      <c r="C176">
        <v>3364.2</v>
      </c>
      <c r="D176">
        <v>1992</v>
      </c>
      <c r="E176">
        <v>5520</v>
      </c>
      <c r="F176">
        <v>5520</v>
      </c>
    </row>
    <row r="177" spans="1:6" x14ac:dyDescent="0.45">
      <c r="A177" s="29">
        <v>4105</v>
      </c>
      <c r="B177" s="29">
        <v>25598</v>
      </c>
      <c r="C177">
        <v>307.8</v>
      </c>
      <c r="D177">
        <v>468</v>
      </c>
      <c r="E177">
        <v>12</v>
      </c>
      <c r="F177">
        <v>12</v>
      </c>
    </row>
    <row r="178" spans="1:6" x14ac:dyDescent="0.45">
      <c r="A178" s="29">
        <v>4105</v>
      </c>
      <c r="B178" s="29">
        <v>25885</v>
      </c>
      <c r="C178">
        <v>2320.92</v>
      </c>
      <c r="D178">
        <v>612</v>
      </c>
      <c r="E178">
        <v>2832</v>
      </c>
      <c r="F178">
        <v>2832</v>
      </c>
    </row>
    <row r="179" spans="1:6" x14ac:dyDescent="0.45">
      <c r="A179" s="29">
        <v>4105</v>
      </c>
      <c r="B179" s="29">
        <v>26744</v>
      </c>
      <c r="C179">
        <v>0</v>
      </c>
      <c r="D179">
        <v>0</v>
      </c>
      <c r="E179">
        <v>48</v>
      </c>
      <c r="F179">
        <v>48</v>
      </c>
    </row>
    <row r="180" spans="1:6" x14ac:dyDescent="0.45">
      <c r="A180" s="29">
        <v>4105</v>
      </c>
      <c r="B180" s="29">
        <v>26745</v>
      </c>
      <c r="C180">
        <v>0</v>
      </c>
      <c r="D180">
        <v>0</v>
      </c>
      <c r="E180">
        <v>192</v>
      </c>
      <c r="F180">
        <v>192</v>
      </c>
    </row>
    <row r="181" spans="1:6" x14ac:dyDescent="0.45">
      <c r="A181" s="29">
        <v>4106</v>
      </c>
      <c r="B181" s="29">
        <v>189</v>
      </c>
      <c r="C181">
        <v>0</v>
      </c>
      <c r="D181">
        <v>0</v>
      </c>
      <c r="E181">
        <v>0</v>
      </c>
      <c r="F181">
        <v>0</v>
      </c>
    </row>
    <row r="182" spans="1:6" x14ac:dyDescent="0.45">
      <c r="A182" s="29">
        <v>4108</v>
      </c>
      <c r="B182" s="29">
        <v>189</v>
      </c>
      <c r="C182">
        <v>10317.36</v>
      </c>
      <c r="D182">
        <v>26856</v>
      </c>
      <c r="E182">
        <v>107436</v>
      </c>
      <c r="F182">
        <v>107436</v>
      </c>
    </row>
    <row r="183" spans="1:6" x14ac:dyDescent="0.45">
      <c r="A183" s="29">
        <v>4108</v>
      </c>
      <c r="B183" s="29">
        <v>1167</v>
      </c>
      <c r="C183">
        <v>1615.2</v>
      </c>
      <c r="D183">
        <v>1224</v>
      </c>
      <c r="E183">
        <v>1344</v>
      </c>
      <c r="F183">
        <v>1344</v>
      </c>
    </row>
    <row r="184" spans="1:6" x14ac:dyDescent="0.45">
      <c r="A184" s="29">
        <v>4108</v>
      </c>
      <c r="B184" s="29">
        <v>1296</v>
      </c>
      <c r="C184">
        <v>1262.8800000000001</v>
      </c>
      <c r="D184">
        <v>900</v>
      </c>
      <c r="E184">
        <v>1680</v>
      </c>
      <c r="F184">
        <v>1680</v>
      </c>
    </row>
    <row r="185" spans="1:6" x14ac:dyDescent="0.45">
      <c r="A185" s="29">
        <v>4108</v>
      </c>
      <c r="B185" s="29">
        <v>2122</v>
      </c>
      <c r="C185">
        <v>3978.84</v>
      </c>
      <c r="D185">
        <v>2112</v>
      </c>
      <c r="E185">
        <v>4368</v>
      </c>
      <c r="F185">
        <v>4368</v>
      </c>
    </row>
    <row r="186" spans="1:6" x14ac:dyDescent="0.45">
      <c r="A186" s="29">
        <v>4108</v>
      </c>
      <c r="B186" s="29">
        <v>4145</v>
      </c>
      <c r="C186">
        <v>131.58000000000001</v>
      </c>
      <c r="D186">
        <v>72</v>
      </c>
      <c r="E186">
        <v>855</v>
      </c>
      <c r="F186">
        <v>855</v>
      </c>
    </row>
    <row r="187" spans="1:6" x14ac:dyDescent="0.45">
      <c r="A187" s="29">
        <v>4108</v>
      </c>
      <c r="B187" s="29">
        <v>6151</v>
      </c>
      <c r="C187">
        <v>7722.24</v>
      </c>
      <c r="D187">
        <v>4488</v>
      </c>
      <c r="E187">
        <v>12252</v>
      </c>
      <c r="F187">
        <v>12252</v>
      </c>
    </row>
    <row r="188" spans="1:6" x14ac:dyDescent="0.45">
      <c r="A188" s="29">
        <v>4108</v>
      </c>
      <c r="B188" s="29">
        <v>6982</v>
      </c>
      <c r="C188">
        <v>2242.8000000000002</v>
      </c>
      <c r="D188">
        <v>1524</v>
      </c>
      <c r="E188">
        <v>480</v>
      </c>
      <c r="F188">
        <v>480</v>
      </c>
    </row>
    <row r="189" spans="1:6" x14ac:dyDescent="0.45">
      <c r="A189" s="29">
        <v>4108</v>
      </c>
      <c r="B189" s="29">
        <v>7310</v>
      </c>
      <c r="C189">
        <v>37537.199999999997</v>
      </c>
      <c r="D189">
        <v>17340</v>
      </c>
      <c r="E189">
        <v>35292</v>
      </c>
      <c r="F189">
        <v>35292</v>
      </c>
    </row>
    <row r="190" spans="1:6" x14ac:dyDescent="0.45">
      <c r="A190" s="29">
        <v>4108</v>
      </c>
      <c r="B190" s="29">
        <v>8529</v>
      </c>
      <c r="C190">
        <v>4957.68</v>
      </c>
      <c r="D190">
        <v>4716</v>
      </c>
      <c r="E190">
        <v>5652</v>
      </c>
      <c r="F190">
        <v>5652</v>
      </c>
    </row>
    <row r="191" spans="1:6" x14ac:dyDescent="0.45">
      <c r="A191" s="29">
        <v>4108</v>
      </c>
      <c r="B191" s="29">
        <v>13179</v>
      </c>
      <c r="C191">
        <v>12266.28</v>
      </c>
      <c r="D191">
        <v>10968</v>
      </c>
      <c r="E191">
        <v>9168</v>
      </c>
      <c r="F191">
        <v>9168</v>
      </c>
    </row>
    <row r="192" spans="1:6" x14ac:dyDescent="0.45">
      <c r="A192" s="29">
        <v>4108</v>
      </c>
      <c r="B192" s="29">
        <v>13490</v>
      </c>
      <c r="C192">
        <v>774.9</v>
      </c>
      <c r="D192">
        <v>590</v>
      </c>
      <c r="E192">
        <v>8190</v>
      </c>
      <c r="F192">
        <v>8190</v>
      </c>
    </row>
    <row r="193" spans="1:6" x14ac:dyDescent="0.45">
      <c r="A193" s="29">
        <v>4108</v>
      </c>
      <c r="B193" s="29">
        <v>13678</v>
      </c>
      <c r="C193">
        <v>5574.36</v>
      </c>
      <c r="D193">
        <v>3120</v>
      </c>
      <c r="E193">
        <v>5088</v>
      </c>
      <c r="F193">
        <v>5088</v>
      </c>
    </row>
    <row r="194" spans="1:6" x14ac:dyDescent="0.45">
      <c r="A194" s="29">
        <v>4108</v>
      </c>
      <c r="B194" s="29">
        <v>14248</v>
      </c>
      <c r="C194">
        <v>129.6</v>
      </c>
      <c r="D194">
        <v>170</v>
      </c>
      <c r="E194">
        <v>17260</v>
      </c>
      <c r="F194">
        <v>17260</v>
      </c>
    </row>
    <row r="195" spans="1:6" x14ac:dyDescent="0.45">
      <c r="A195" s="29">
        <v>4108</v>
      </c>
      <c r="B195" s="29">
        <v>14654</v>
      </c>
      <c r="C195">
        <v>1682.52</v>
      </c>
      <c r="D195">
        <v>1392</v>
      </c>
      <c r="E195">
        <v>912</v>
      </c>
      <c r="F195">
        <v>912</v>
      </c>
    </row>
    <row r="196" spans="1:6" x14ac:dyDescent="0.45">
      <c r="A196" s="29">
        <v>4108</v>
      </c>
      <c r="B196" s="29">
        <v>14788</v>
      </c>
      <c r="C196">
        <v>7849.92</v>
      </c>
      <c r="D196">
        <v>4908</v>
      </c>
      <c r="E196">
        <v>4992</v>
      </c>
      <c r="F196">
        <v>4992</v>
      </c>
    </row>
    <row r="197" spans="1:6" x14ac:dyDescent="0.45">
      <c r="A197" s="29">
        <v>4108</v>
      </c>
      <c r="B197" s="29">
        <v>15300</v>
      </c>
      <c r="C197">
        <v>207.81</v>
      </c>
      <c r="D197">
        <v>90</v>
      </c>
      <c r="E197">
        <v>1053</v>
      </c>
      <c r="F197">
        <v>1053</v>
      </c>
    </row>
    <row r="198" spans="1:6" x14ac:dyDescent="0.45">
      <c r="A198" s="29">
        <v>4108</v>
      </c>
      <c r="B198" s="29">
        <v>15305</v>
      </c>
      <c r="C198">
        <v>54.36</v>
      </c>
      <c r="D198">
        <v>45</v>
      </c>
      <c r="E198">
        <v>3339</v>
      </c>
      <c r="F198">
        <v>3339</v>
      </c>
    </row>
    <row r="199" spans="1:6" x14ac:dyDescent="0.45">
      <c r="A199" s="29">
        <v>4108</v>
      </c>
      <c r="B199" s="29">
        <v>15312</v>
      </c>
      <c r="C199">
        <v>0</v>
      </c>
      <c r="D199">
        <v>0</v>
      </c>
      <c r="E199">
        <v>1422</v>
      </c>
      <c r="F199">
        <v>1422</v>
      </c>
    </row>
    <row r="200" spans="1:6" x14ac:dyDescent="0.45">
      <c r="A200" s="29">
        <v>4108</v>
      </c>
      <c r="B200" s="29">
        <v>15536</v>
      </c>
      <c r="C200">
        <v>2644.68</v>
      </c>
      <c r="D200">
        <v>2652</v>
      </c>
      <c r="E200">
        <v>59940</v>
      </c>
      <c r="F200">
        <v>59940</v>
      </c>
    </row>
    <row r="201" spans="1:6" x14ac:dyDescent="0.45">
      <c r="A201" s="29">
        <v>4108</v>
      </c>
      <c r="B201" s="29">
        <v>15906</v>
      </c>
      <c r="C201">
        <v>0</v>
      </c>
      <c r="D201">
        <v>0</v>
      </c>
      <c r="E201">
        <v>36</v>
      </c>
      <c r="F201">
        <v>480</v>
      </c>
    </row>
    <row r="202" spans="1:6" x14ac:dyDescent="0.45">
      <c r="A202" s="29">
        <v>4108</v>
      </c>
      <c r="B202" s="29">
        <v>16336</v>
      </c>
      <c r="C202">
        <v>13688.52</v>
      </c>
      <c r="D202">
        <v>11472</v>
      </c>
      <c r="E202">
        <v>2784</v>
      </c>
      <c r="F202">
        <v>2784</v>
      </c>
    </row>
    <row r="203" spans="1:6" x14ac:dyDescent="0.45">
      <c r="A203" s="29">
        <v>4108</v>
      </c>
      <c r="B203" s="29">
        <v>16407</v>
      </c>
      <c r="C203">
        <v>130.59</v>
      </c>
      <c r="D203">
        <v>27</v>
      </c>
      <c r="E203">
        <v>720</v>
      </c>
      <c r="F203">
        <v>720</v>
      </c>
    </row>
    <row r="204" spans="1:6" x14ac:dyDescent="0.45">
      <c r="A204" s="29">
        <v>4108</v>
      </c>
      <c r="B204" s="29">
        <v>16984</v>
      </c>
      <c r="C204">
        <v>2019.12</v>
      </c>
      <c r="D204">
        <v>960</v>
      </c>
      <c r="E204">
        <v>7920</v>
      </c>
      <c r="F204">
        <v>7920</v>
      </c>
    </row>
    <row r="205" spans="1:6" x14ac:dyDescent="0.45">
      <c r="A205" s="29">
        <v>4108</v>
      </c>
      <c r="B205" s="29">
        <v>16998</v>
      </c>
      <c r="C205">
        <v>4702.32</v>
      </c>
      <c r="D205">
        <v>3024</v>
      </c>
      <c r="E205">
        <v>28056</v>
      </c>
      <c r="F205">
        <v>28056</v>
      </c>
    </row>
    <row r="206" spans="1:6" x14ac:dyDescent="0.45">
      <c r="A206" s="29">
        <v>4108</v>
      </c>
      <c r="B206" s="29">
        <v>18098</v>
      </c>
      <c r="C206">
        <v>192.96</v>
      </c>
      <c r="D206">
        <v>0</v>
      </c>
      <c r="E206">
        <v>396</v>
      </c>
      <c r="F206">
        <v>396</v>
      </c>
    </row>
    <row r="207" spans="1:6" x14ac:dyDescent="0.45">
      <c r="A207" s="29">
        <v>4108</v>
      </c>
      <c r="B207" s="29">
        <v>19690</v>
      </c>
      <c r="C207">
        <v>206.76</v>
      </c>
      <c r="D207">
        <v>12</v>
      </c>
      <c r="E207">
        <v>180</v>
      </c>
      <c r="F207">
        <v>180</v>
      </c>
    </row>
    <row r="208" spans="1:6" x14ac:dyDescent="0.45">
      <c r="A208" s="29">
        <v>4108</v>
      </c>
      <c r="B208" s="29">
        <v>20308</v>
      </c>
      <c r="C208">
        <v>3034.56</v>
      </c>
      <c r="D208">
        <v>852</v>
      </c>
      <c r="E208">
        <v>5916</v>
      </c>
      <c r="F208">
        <v>5916</v>
      </c>
    </row>
    <row r="209" spans="1:6" x14ac:dyDescent="0.45">
      <c r="A209" s="29">
        <v>4108</v>
      </c>
      <c r="B209" s="29">
        <v>20661</v>
      </c>
      <c r="C209">
        <v>1286.6400000000001</v>
      </c>
      <c r="D209">
        <v>588</v>
      </c>
      <c r="E209">
        <v>48</v>
      </c>
      <c r="F209">
        <v>48</v>
      </c>
    </row>
    <row r="210" spans="1:6" x14ac:dyDescent="0.45">
      <c r="A210" s="29">
        <v>4108</v>
      </c>
      <c r="B210" s="29">
        <v>20827</v>
      </c>
      <c r="C210">
        <v>3305.76</v>
      </c>
      <c r="D210">
        <v>2316</v>
      </c>
      <c r="E210">
        <v>3528</v>
      </c>
      <c r="F210">
        <v>3528</v>
      </c>
    </row>
    <row r="211" spans="1:6" x14ac:dyDescent="0.45">
      <c r="A211" s="29">
        <v>4108</v>
      </c>
      <c r="B211" s="29">
        <v>23081</v>
      </c>
      <c r="C211">
        <v>25.68</v>
      </c>
      <c r="D211">
        <v>0</v>
      </c>
      <c r="E211">
        <v>132</v>
      </c>
      <c r="F211">
        <v>132</v>
      </c>
    </row>
    <row r="212" spans="1:6" x14ac:dyDescent="0.45">
      <c r="A212" s="29">
        <v>4108</v>
      </c>
      <c r="B212" s="29">
        <v>23401</v>
      </c>
      <c r="C212">
        <v>0</v>
      </c>
      <c r="D212">
        <v>48</v>
      </c>
      <c r="E212">
        <v>4356</v>
      </c>
      <c r="F212">
        <v>4356</v>
      </c>
    </row>
    <row r="213" spans="1:6" x14ac:dyDescent="0.45">
      <c r="A213" s="29">
        <v>4108</v>
      </c>
      <c r="B213" s="29">
        <v>23638</v>
      </c>
      <c r="C213">
        <v>4999.92</v>
      </c>
      <c r="D213">
        <v>3720</v>
      </c>
      <c r="E213">
        <v>1176</v>
      </c>
      <c r="F213">
        <v>1176</v>
      </c>
    </row>
    <row r="214" spans="1:6" x14ac:dyDescent="0.45">
      <c r="A214" s="29">
        <v>4108</v>
      </c>
      <c r="B214" s="29">
        <v>24768</v>
      </c>
      <c r="C214">
        <v>2242.8000000000002</v>
      </c>
      <c r="D214">
        <v>2172</v>
      </c>
      <c r="E214">
        <v>2316</v>
      </c>
      <c r="F214">
        <v>2316</v>
      </c>
    </row>
    <row r="215" spans="1:6" x14ac:dyDescent="0.45">
      <c r="A215" s="29">
        <v>4108</v>
      </c>
      <c r="B215" s="29">
        <v>25570</v>
      </c>
      <c r="C215">
        <v>0</v>
      </c>
      <c r="D215">
        <v>0</v>
      </c>
      <c r="E215">
        <v>180</v>
      </c>
      <c r="F215">
        <v>180</v>
      </c>
    </row>
    <row r="216" spans="1:6" x14ac:dyDescent="0.45">
      <c r="A216" s="29">
        <v>4108</v>
      </c>
      <c r="B216" s="29">
        <v>25598</v>
      </c>
      <c r="C216">
        <v>90</v>
      </c>
      <c r="D216">
        <v>36</v>
      </c>
      <c r="E216">
        <v>12</v>
      </c>
      <c r="F216">
        <v>12</v>
      </c>
    </row>
    <row r="217" spans="1:6" x14ac:dyDescent="0.45">
      <c r="A217" s="29">
        <v>4108</v>
      </c>
      <c r="B217" s="29">
        <v>25885</v>
      </c>
      <c r="C217">
        <v>1548</v>
      </c>
      <c r="D217">
        <v>72</v>
      </c>
      <c r="E217">
        <v>45372</v>
      </c>
      <c r="F217">
        <v>45372</v>
      </c>
    </row>
    <row r="218" spans="1:6" x14ac:dyDescent="0.45">
      <c r="A218" s="29">
        <v>4108</v>
      </c>
      <c r="B218" s="29">
        <v>26234</v>
      </c>
      <c r="C218">
        <v>0</v>
      </c>
      <c r="D218">
        <v>0</v>
      </c>
      <c r="E218">
        <v>10680</v>
      </c>
      <c r="F218">
        <v>10680</v>
      </c>
    </row>
    <row r="219" spans="1:6" x14ac:dyDescent="0.45">
      <c r="A219" s="29">
        <v>4108</v>
      </c>
      <c r="B219" s="29">
        <v>26984</v>
      </c>
      <c r="C219">
        <v>0</v>
      </c>
      <c r="D219">
        <v>0</v>
      </c>
      <c r="E219">
        <v>1152</v>
      </c>
      <c r="F219">
        <v>1152</v>
      </c>
    </row>
    <row r="220" spans="1:6" x14ac:dyDescent="0.45">
      <c r="A220" s="29">
        <v>4108</v>
      </c>
      <c r="B220" s="29">
        <v>27021</v>
      </c>
      <c r="C220">
        <v>0</v>
      </c>
      <c r="D220">
        <v>0</v>
      </c>
      <c r="E220">
        <v>696</v>
      </c>
      <c r="F220">
        <v>696</v>
      </c>
    </row>
    <row r="221" spans="1:6" x14ac:dyDescent="0.45">
      <c r="A221" s="29">
        <v>4200</v>
      </c>
      <c r="B221" s="29">
        <v>189</v>
      </c>
      <c r="C221">
        <v>120000</v>
      </c>
      <c r="D221">
        <v>93984</v>
      </c>
      <c r="E221">
        <v>26016</v>
      </c>
      <c r="F221">
        <v>26016</v>
      </c>
    </row>
    <row r="222" spans="1:6" x14ac:dyDescent="0.45">
      <c r="A222" s="29">
        <v>4200</v>
      </c>
      <c r="B222" s="29">
        <v>1167</v>
      </c>
      <c r="C222">
        <v>4504.4399999999996</v>
      </c>
      <c r="D222">
        <v>2004</v>
      </c>
      <c r="E222">
        <v>3756</v>
      </c>
      <c r="F222">
        <v>3756</v>
      </c>
    </row>
    <row r="223" spans="1:6" x14ac:dyDescent="0.45">
      <c r="A223" s="29">
        <v>4200</v>
      </c>
      <c r="B223" s="29">
        <v>1296</v>
      </c>
      <c r="C223">
        <v>7722.24</v>
      </c>
      <c r="D223">
        <v>3744</v>
      </c>
      <c r="E223">
        <v>6984</v>
      </c>
      <c r="F223">
        <v>6984</v>
      </c>
    </row>
    <row r="224" spans="1:6" x14ac:dyDescent="0.45">
      <c r="A224" s="29">
        <v>4200</v>
      </c>
      <c r="B224" s="29">
        <v>2122</v>
      </c>
      <c r="C224">
        <v>9652.2000000000007</v>
      </c>
      <c r="D224">
        <v>6768</v>
      </c>
      <c r="E224">
        <v>3948</v>
      </c>
      <c r="F224">
        <v>10944</v>
      </c>
    </row>
    <row r="225" spans="1:6" x14ac:dyDescent="0.45">
      <c r="A225" s="29">
        <v>4200</v>
      </c>
      <c r="B225" s="29">
        <v>4145</v>
      </c>
      <c r="C225">
        <v>720</v>
      </c>
      <c r="D225">
        <v>297</v>
      </c>
      <c r="E225">
        <v>1197</v>
      </c>
      <c r="F225">
        <v>1197</v>
      </c>
    </row>
    <row r="226" spans="1:6" x14ac:dyDescent="0.45">
      <c r="A226" s="29">
        <v>4200</v>
      </c>
      <c r="B226" s="29">
        <v>5159</v>
      </c>
      <c r="C226">
        <v>0</v>
      </c>
      <c r="D226">
        <v>0</v>
      </c>
      <c r="E226">
        <v>480</v>
      </c>
      <c r="F226">
        <v>480</v>
      </c>
    </row>
    <row r="227" spans="1:6" x14ac:dyDescent="0.45">
      <c r="A227" s="29">
        <v>4200</v>
      </c>
      <c r="B227" s="29">
        <v>6151</v>
      </c>
      <c r="C227">
        <v>16086.84</v>
      </c>
      <c r="D227">
        <v>7680</v>
      </c>
      <c r="E227">
        <v>14172</v>
      </c>
      <c r="F227">
        <v>14172</v>
      </c>
    </row>
    <row r="228" spans="1:6" x14ac:dyDescent="0.45">
      <c r="A228" s="29">
        <v>4200</v>
      </c>
      <c r="B228" s="29">
        <v>6982</v>
      </c>
      <c r="C228">
        <v>5147.76</v>
      </c>
      <c r="D228">
        <v>4032</v>
      </c>
      <c r="E228">
        <v>1212</v>
      </c>
      <c r="F228">
        <v>1212</v>
      </c>
    </row>
    <row r="229" spans="1:6" x14ac:dyDescent="0.45">
      <c r="A229" s="29">
        <v>4200</v>
      </c>
      <c r="B229" s="29">
        <v>7310</v>
      </c>
      <c r="C229">
        <v>25203.599999999999</v>
      </c>
      <c r="D229">
        <v>16968</v>
      </c>
      <c r="E229">
        <v>23328</v>
      </c>
      <c r="F229">
        <v>28332</v>
      </c>
    </row>
    <row r="230" spans="1:6" x14ac:dyDescent="0.45">
      <c r="A230" s="29">
        <v>4200</v>
      </c>
      <c r="B230" s="29">
        <v>8529</v>
      </c>
      <c r="C230">
        <v>7400.52</v>
      </c>
      <c r="D230">
        <v>4752</v>
      </c>
      <c r="E230">
        <v>7956</v>
      </c>
      <c r="F230">
        <v>7956</v>
      </c>
    </row>
    <row r="231" spans="1:6" x14ac:dyDescent="0.45">
      <c r="A231" s="29">
        <v>4200</v>
      </c>
      <c r="B231" s="29">
        <v>13179</v>
      </c>
      <c r="C231">
        <v>0</v>
      </c>
      <c r="D231">
        <v>0</v>
      </c>
      <c r="E231">
        <v>60</v>
      </c>
      <c r="F231">
        <v>60</v>
      </c>
    </row>
    <row r="232" spans="1:6" x14ac:dyDescent="0.45">
      <c r="A232" s="29">
        <v>4200</v>
      </c>
      <c r="B232" s="29">
        <v>13490</v>
      </c>
      <c r="C232">
        <v>5147.8</v>
      </c>
      <c r="D232">
        <v>1890</v>
      </c>
      <c r="E232">
        <v>4460</v>
      </c>
      <c r="F232">
        <v>4460</v>
      </c>
    </row>
    <row r="233" spans="1:6" x14ac:dyDescent="0.45">
      <c r="A233" s="29">
        <v>4200</v>
      </c>
      <c r="B233" s="29">
        <v>13678</v>
      </c>
      <c r="C233">
        <v>4504.4399999999996</v>
      </c>
      <c r="D233">
        <v>1992</v>
      </c>
      <c r="E233">
        <v>3720</v>
      </c>
      <c r="F233">
        <v>3912</v>
      </c>
    </row>
    <row r="234" spans="1:6" x14ac:dyDescent="0.45">
      <c r="A234" s="29">
        <v>4200</v>
      </c>
      <c r="B234" s="29">
        <v>14248</v>
      </c>
      <c r="C234">
        <v>1029.3</v>
      </c>
      <c r="D234">
        <v>490</v>
      </c>
      <c r="E234">
        <v>1150</v>
      </c>
      <c r="F234">
        <v>1150</v>
      </c>
    </row>
    <row r="235" spans="1:6" x14ac:dyDescent="0.45">
      <c r="A235" s="29">
        <v>4200</v>
      </c>
      <c r="B235" s="29">
        <v>14654</v>
      </c>
      <c r="C235">
        <v>9008.8799999999992</v>
      </c>
      <c r="D235">
        <v>2400</v>
      </c>
      <c r="E235">
        <v>7620</v>
      </c>
      <c r="F235">
        <v>7620</v>
      </c>
    </row>
    <row r="236" spans="1:6" x14ac:dyDescent="0.45">
      <c r="A236" s="29">
        <v>4200</v>
      </c>
      <c r="B236" s="29">
        <v>14788</v>
      </c>
      <c r="C236">
        <v>22522.32</v>
      </c>
      <c r="D236">
        <v>14232</v>
      </c>
      <c r="E236">
        <v>9972</v>
      </c>
      <c r="F236">
        <v>16248</v>
      </c>
    </row>
    <row r="237" spans="1:6" x14ac:dyDescent="0.45">
      <c r="A237" s="29">
        <v>4200</v>
      </c>
      <c r="B237" s="29">
        <v>15300</v>
      </c>
      <c r="C237">
        <v>257.31</v>
      </c>
      <c r="D237">
        <v>9</v>
      </c>
      <c r="E237">
        <v>117</v>
      </c>
      <c r="F237">
        <v>117</v>
      </c>
    </row>
    <row r="238" spans="1:6" x14ac:dyDescent="0.45">
      <c r="A238" s="29">
        <v>4200</v>
      </c>
      <c r="B238" s="29">
        <v>15305</v>
      </c>
      <c r="C238">
        <v>192.96</v>
      </c>
      <c r="D238">
        <v>99</v>
      </c>
      <c r="E238">
        <v>180</v>
      </c>
      <c r="F238">
        <v>180</v>
      </c>
    </row>
    <row r="239" spans="1:6" x14ac:dyDescent="0.45">
      <c r="A239" s="29">
        <v>4200</v>
      </c>
      <c r="B239" s="29">
        <v>15312</v>
      </c>
      <c r="C239">
        <v>144.44999999999999</v>
      </c>
      <c r="D239">
        <v>72</v>
      </c>
      <c r="E239">
        <v>189</v>
      </c>
      <c r="F239">
        <v>189</v>
      </c>
    </row>
    <row r="240" spans="1:6" x14ac:dyDescent="0.45">
      <c r="A240" s="29">
        <v>4200</v>
      </c>
      <c r="B240" s="29">
        <v>15536</v>
      </c>
      <c r="C240">
        <v>9652.2000000000007</v>
      </c>
      <c r="D240">
        <v>3084</v>
      </c>
      <c r="E240">
        <v>10008</v>
      </c>
      <c r="F240">
        <v>10008</v>
      </c>
    </row>
    <row r="241" spans="1:6" x14ac:dyDescent="0.45">
      <c r="A241" s="29">
        <v>4200</v>
      </c>
      <c r="B241" s="29">
        <v>15906</v>
      </c>
      <c r="C241">
        <v>964.92</v>
      </c>
      <c r="D241">
        <v>600</v>
      </c>
      <c r="E241">
        <v>1164</v>
      </c>
      <c r="F241">
        <v>1164</v>
      </c>
    </row>
    <row r="242" spans="1:6" x14ac:dyDescent="0.45">
      <c r="A242" s="29">
        <v>4200</v>
      </c>
      <c r="B242" s="29">
        <v>16336</v>
      </c>
      <c r="C242">
        <v>64349.279999999999</v>
      </c>
      <c r="D242">
        <v>37944</v>
      </c>
      <c r="E242">
        <v>54216</v>
      </c>
      <c r="F242">
        <v>54216</v>
      </c>
    </row>
    <row r="243" spans="1:6" x14ac:dyDescent="0.45">
      <c r="A243" s="29">
        <v>4200</v>
      </c>
      <c r="B243" s="29">
        <v>16407</v>
      </c>
      <c r="C243">
        <v>578.97</v>
      </c>
      <c r="D243">
        <v>216</v>
      </c>
      <c r="E243">
        <v>459</v>
      </c>
      <c r="F243">
        <v>459</v>
      </c>
    </row>
    <row r="244" spans="1:6" x14ac:dyDescent="0.45">
      <c r="A244" s="29">
        <v>4200</v>
      </c>
      <c r="B244" s="29">
        <v>16984</v>
      </c>
      <c r="C244">
        <v>2574.36</v>
      </c>
      <c r="D244">
        <v>1428</v>
      </c>
      <c r="E244">
        <v>1164</v>
      </c>
      <c r="F244">
        <v>1464</v>
      </c>
    </row>
    <row r="245" spans="1:6" x14ac:dyDescent="0.45">
      <c r="A245" s="29">
        <v>4200</v>
      </c>
      <c r="B245" s="29">
        <v>16998</v>
      </c>
      <c r="C245">
        <v>5147.76</v>
      </c>
      <c r="D245">
        <v>1980</v>
      </c>
      <c r="E245">
        <v>4464</v>
      </c>
      <c r="F245">
        <v>4464</v>
      </c>
    </row>
    <row r="246" spans="1:6" x14ac:dyDescent="0.45">
      <c r="A246" s="29">
        <v>4200</v>
      </c>
      <c r="B246" s="29">
        <v>18098</v>
      </c>
      <c r="C246">
        <v>1929.96</v>
      </c>
      <c r="D246">
        <v>624</v>
      </c>
      <c r="E246">
        <v>1392</v>
      </c>
      <c r="F246">
        <v>1884</v>
      </c>
    </row>
    <row r="247" spans="1:6" x14ac:dyDescent="0.45">
      <c r="A247" s="29">
        <v>4200</v>
      </c>
      <c r="B247" s="29">
        <v>19690</v>
      </c>
      <c r="C247">
        <v>257.27999999999997</v>
      </c>
      <c r="D247">
        <v>48</v>
      </c>
      <c r="E247">
        <v>336</v>
      </c>
      <c r="F247">
        <v>336</v>
      </c>
    </row>
    <row r="248" spans="1:6" x14ac:dyDescent="0.45">
      <c r="A248" s="29">
        <v>4200</v>
      </c>
      <c r="B248" s="29">
        <v>20160</v>
      </c>
      <c r="C248">
        <v>128.63999999999999</v>
      </c>
      <c r="D248">
        <v>0</v>
      </c>
      <c r="E248">
        <v>0</v>
      </c>
      <c r="F248">
        <v>0</v>
      </c>
    </row>
    <row r="249" spans="1:6" x14ac:dyDescent="0.45">
      <c r="A249" s="29">
        <v>4200</v>
      </c>
      <c r="B249" s="29">
        <v>20308</v>
      </c>
      <c r="C249">
        <v>8043.84</v>
      </c>
      <c r="D249">
        <v>1800</v>
      </c>
      <c r="E249">
        <v>6348</v>
      </c>
      <c r="F249">
        <v>9348</v>
      </c>
    </row>
    <row r="250" spans="1:6" x14ac:dyDescent="0.45">
      <c r="A250" s="29">
        <v>4200</v>
      </c>
      <c r="B250" s="29">
        <v>20309</v>
      </c>
      <c r="C250">
        <v>77.16</v>
      </c>
      <c r="D250">
        <v>0</v>
      </c>
      <c r="E250">
        <v>0</v>
      </c>
      <c r="F250">
        <v>0</v>
      </c>
    </row>
    <row r="251" spans="1:6" x14ac:dyDescent="0.45">
      <c r="A251" s="29">
        <v>4200</v>
      </c>
      <c r="B251" s="29">
        <v>20661</v>
      </c>
      <c r="C251">
        <v>1876.56</v>
      </c>
      <c r="D251">
        <v>840</v>
      </c>
      <c r="E251">
        <v>1104</v>
      </c>
      <c r="F251">
        <v>1104</v>
      </c>
    </row>
    <row r="252" spans="1:6" x14ac:dyDescent="0.45">
      <c r="A252" s="29">
        <v>4200</v>
      </c>
      <c r="B252" s="29">
        <v>20827</v>
      </c>
      <c r="C252">
        <v>1286.6400000000001</v>
      </c>
      <c r="D252">
        <v>1584</v>
      </c>
      <c r="E252">
        <v>912</v>
      </c>
      <c r="F252">
        <v>912</v>
      </c>
    </row>
    <row r="253" spans="1:6" x14ac:dyDescent="0.45">
      <c r="A253" s="29">
        <v>4200</v>
      </c>
      <c r="B253" s="29">
        <v>21910</v>
      </c>
      <c r="C253">
        <v>1286.6400000000001</v>
      </c>
      <c r="D253">
        <v>3780</v>
      </c>
      <c r="E253">
        <v>2904</v>
      </c>
      <c r="F253">
        <v>2904</v>
      </c>
    </row>
    <row r="254" spans="1:6" x14ac:dyDescent="0.45">
      <c r="A254" s="29">
        <v>4200</v>
      </c>
      <c r="B254" s="29">
        <v>23081</v>
      </c>
      <c r="C254">
        <v>900.6</v>
      </c>
      <c r="D254">
        <v>48</v>
      </c>
      <c r="E254">
        <v>744</v>
      </c>
      <c r="F254">
        <v>744</v>
      </c>
    </row>
    <row r="255" spans="1:6" x14ac:dyDescent="0.45">
      <c r="A255" s="29">
        <v>4200</v>
      </c>
      <c r="B255" s="29">
        <v>23401</v>
      </c>
      <c r="C255">
        <v>5791.08</v>
      </c>
      <c r="D255">
        <v>2076</v>
      </c>
      <c r="E255">
        <v>4080</v>
      </c>
      <c r="F255">
        <v>4080</v>
      </c>
    </row>
    <row r="256" spans="1:6" x14ac:dyDescent="0.45">
      <c r="A256" s="29">
        <v>4200</v>
      </c>
      <c r="B256" s="29">
        <v>23638</v>
      </c>
      <c r="C256">
        <v>5791.08</v>
      </c>
      <c r="D256">
        <v>1716</v>
      </c>
      <c r="E256">
        <v>1308</v>
      </c>
      <c r="F256">
        <v>1308</v>
      </c>
    </row>
    <row r="257" spans="1:6" x14ac:dyDescent="0.45">
      <c r="A257" s="29">
        <v>4200</v>
      </c>
      <c r="B257" s="29">
        <v>24768</v>
      </c>
      <c r="C257">
        <v>5469.48</v>
      </c>
      <c r="D257">
        <v>2544</v>
      </c>
      <c r="E257">
        <v>4128</v>
      </c>
      <c r="F257">
        <v>4128</v>
      </c>
    </row>
    <row r="258" spans="1:6" x14ac:dyDescent="0.45">
      <c r="A258" s="29">
        <v>4200</v>
      </c>
      <c r="B258" s="29">
        <v>25570</v>
      </c>
      <c r="C258">
        <v>8043.84</v>
      </c>
      <c r="D258">
        <v>8184</v>
      </c>
      <c r="E258">
        <v>4872</v>
      </c>
      <c r="F258">
        <v>5268</v>
      </c>
    </row>
    <row r="259" spans="1:6" x14ac:dyDescent="0.45">
      <c r="A259" s="29">
        <v>4200</v>
      </c>
      <c r="B259" s="29">
        <v>25598</v>
      </c>
      <c r="C259">
        <v>4504.4399999999996</v>
      </c>
      <c r="D259">
        <v>1188</v>
      </c>
      <c r="E259">
        <v>24</v>
      </c>
      <c r="F259">
        <v>2040</v>
      </c>
    </row>
    <row r="260" spans="1:6" x14ac:dyDescent="0.45">
      <c r="A260" s="29">
        <v>4200</v>
      </c>
      <c r="B260" s="29">
        <v>25885</v>
      </c>
      <c r="C260">
        <v>771.96</v>
      </c>
      <c r="D260">
        <v>276</v>
      </c>
      <c r="E260">
        <v>504</v>
      </c>
      <c r="F260">
        <v>504</v>
      </c>
    </row>
    <row r="261" spans="1:6" x14ac:dyDescent="0.45">
      <c r="A261" s="29">
        <v>4200</v>
      </c>
      <c r="B261" s="29">
        <v>26234</v>
      </c>
      <c r="C261">
        <v>0</v>
      </c>
      <c r="D261">
        <v>0</v>
      </c>
      <c r="E261">
        <v>552</v>
      </c>
      <c r="F261">
        <v>552</v>
      </c>
    </row>
    <row r="262" spans="1:6" x14ac:dyDescent="0.45">
      <c r="A262" s="29">
        <v>4200</v>
      </c>
      <c r="B262" s="29">
        <v>26745</v>
      </c>
      <c r="C262">
        <v>128.63999999999999</v>
      </c>
      <c r="D262">
        <v>0</v>
      </c>
      <c r="E262">
        <v>0</v>
      </c>
      <c r="F262">
        <v>0</v>
      </c>
    </row>
    <row r="263" spans="1:6" x14ac:dyDescent="0.45">
      <c r="A263" s="29">
        <v>4201</v>
      </c>
      <c r="B263" s="29">
        <v>189</v>
      </c>
      <c r="C263">
        <v>31357.08</v>
      </c>
      <c r="D263">
        <v>20784</v>
      </c>
      <c r="E263">
        <v>24864</v>
      </c>
      <c r="F263">
        <v>31872</v>
      </c>
    </row>
    <row r="264" spans="1:6" x14ac:dyDescent="0.45">
      <c r="A264" s="29">
        <v>4201</v>
      </c>
      <c r="B264" s="29">
        <v>1167</v>
      </c>
      <c r="C264">
        <v>1929.96</v>
      </c>
      <c r="D264">
        <v>216</v>
      </c>
      <c r="E264">
        <v>3192</v>
      </c>
      <c r="F264">
        <v>3192</v>
      </c>
    </row>
    <row r="265" spans="1:6" x14ac:dyDescent="0.45">
      <c r="A265" s="29">
        <v>4201</v>
      </c>
      <c r="B265" s="29">
        <v>1296</v>
      </c>
      <c r="C265">
        <v>514.67999999999995</v>
      </c>
      <c r="D265">
        <v>192</v>
      </c>
      <c r="E265">
        <v>576</v>
      </c>
      <c r="F265">
        <v>576</v>
      </c>
    </row>
    <row r="266" spans="1:6" x14ac:dyDescent="0.45">
      <c r="A266" s="29">
        <v>4201</v>
      </c>
      <c r="B266" s="29">
        <v>2122</v>
      </c>
      <c r="C266">
        <v>1448.04</v>
      </c>
      <c r="D266">
        <v>1248</v>
      </c>
      <c r="E266">
        <v>1464</v>
      </c>
      <c r="F266">
        <v>1656</v>
      </c>
    </row>
    <row r="267" spans="1:6" x14ac:dyDescent="0.45">
      <c r="A267" s="29">
        <v>4201</v>
      </c>
      <c r="B267" s="29">
        <v>4145</v>
      </c>
      <c r="C267">
        <v>192.96</v>
      </c>
      <c r="D267">
        <v>135</v>
      </c>
      <c r="E267">
        <v>144</v>
      </c>
      <c r="F267">
        <v>144</v>
      </c>
    </row>
    <row r="268" spans="1:6" x14ac:dyDescent="0.45">
      <c r="A268" s="29">
        <v>4201</v>
      </c>
      <c r="B268" s="29">
        <v>5159</v>
      </c>
      <c r="C268">
        <v>3861.12</v>
      </c>
      <c r="D268">
        <v>1512</v>
      </c>
      <c r="E268">
        <v>1224</v>
      </c>
      <c r="F268">
        <v>3708</v>
      </c>
    </row>
    <row r="269" spans="1:6" x14ac:dyDescent="0.45">
      <c r="A269" s="29">
        <v>4201</v>
      </c>
      <c r="B269" s="29">
        <v>6151</v>
      </c>
      <c r="C269">
        <v>4504.4399999999996</v>
      </c>
      <c r="D269">
        <v>1956</v>
      </c>
      <c r="E269">
        <v>2292</v>
      </c>
      <c r="F269">
        <v>2292</v>
      </c>
    </row>
    <row r="270" spans="1:6" x14ac:dyDescent="0.45">
      <c r="A270" s="29">
        <v>4201</v>
      </c>
      <c r="B270" s="29">
        <v>6982</v>
      </c>
      <c r="C270">
        <v>1126.32</v>
      </c>
      <c r="D270">
        <v>36</v>
      </c>
      <c r="E270">
        <v>1524</v>
      </c>
      <c r="F270">
        <v>1524</v>
      </c>
    </row>
    <row r="271" spans="1:6" x14ac:dyDescent="0.45">
      <c r="A271" s="29">
        <v>4201</v>
      </c>
      <c r="B271" s="29">
        <v>7310</v>
      </c>
      <c r="C271">
        <v>2574.36</v>
      </c>
      <c r="D271">
        <v>1956</v>
      </c>
      <c r="E271">
        <v>3108</v>
      </c>
      <c r="F271">
        <v>4704</v>
      </c>
    </row>
    <row r="272" spans="1:6" x14ac:dyDescent="0.45">
      <c r="A272" s="29">
        <v>4201</v>
      </c>
      <c r="B272" s="29">
        <v>8529</v>
      </c>
      <c r="C272">
        <v>3217.68</v>
      </c>
      <c r="D272">
        <v>1284</v>
      </c>
      <c r="E272">
        <v>4272</v>
      </c>
      <c r="F272">
        <v>4272</v>
      </c>
    </row>
    <row r="273" spans="1:6" x14ac:dyDescent="0.45">
      <c r="A273" s="29">
        <v>4201</v>
      </c>
      <c r="B273" s="29">
        <v>13490</v>
      </c>
      <c r="C273">
        <v>858.1</v>
      </c>
      <c r="D273">
        <v>90</v>
      </c>
      <c r="E273">
        <v>690</v>
      </c>
      <c r="F273">
        <v>690</v>
      </c>
    </row>
    <row r="274" spans="1:6" x14ac:dyDescent="0.45">
      <c r="A274" s="29">
        <v>4201</v>
      </c>
      <c r="B274" s="29">
        <v>13678</v>
      </c>
      <c r="C274">
        <v>771.96</v>
      </c>
      <c r="D274">
        <v>432</v>
      </c>
      <c r="E274">
        <v>372</v>
      </c>
      <c r="F274">
        <v>972</v>
      </c>
    </row>
    <row r="275" spans="1:6" x14ac:dyDescent="0.45">
      <c r="A275" s="29">
        <v>4201</v>
      </c>
      <c r="B275" s="29">
        <v>14248</v>
      </c>
      <c r="C275">
        <v>268.2</v>
      </c>
      <c r="D275">
        <v>140</v>
      </c>
      <c r="E275">
        <v>440</v>
      </c>
      <c r="F275">
        <v>440</v>
      </c>
    </row>
    <row r="276" spans="1:6" x14ac:dyDescent="0.45">
      <c r="A276" s="29">
        <v>4201</v>
      </c>
      <c r="B276" s="29">
        <v>14654</v>
      </c>
      <c r="C276">
        <v>2896.08</v>
      </c>
      <c r="D276">
        <v>2220</v>
      </c>
      <c r="E276">
        <v>1584</v>
      </c>
      <c r="F276">
        <v>3576</v>
      </c>
    </row>
    <row r="277" spans="1:6" x14ac:dyDescent="0.45">
      <c r="A277" s="29">
        <v>4201</v>
      </c>
      <c r="B277" s="29">
        <v>14788</v>
      </c>
      <c r="C277">
        <v>13500</v>
      </c>
      <c r="D277">
        <v>10152</v>
      </c>
      <c r="E277">
        <v>12516</v>
      </c>
      <c r="F277">
        <v>16536</v>
      </c>
    </row>
    <row r="278" spans="1:6" x14ac:dyDescent="0.45">
      <c r="A278" s="29">
        <v>4201</v>
      </c>
      <c r="B278" s="29">
        <v>15300</v>
      </c>
      <c r="C278">
        <v>90</v>
      </c>
      <c r="D278">
        <v>90</v>
      </c>
      <c r="E278">
        <v>0</v>
      </c>
      <c r="F278">
        <v>0</v>
      </c>
    </row>
    <row r="279" spans="1:6" x14ac:dyDescent="0.45">
      <c r="A279" s="29">
        <v>4201</v>
      </c>
      <c r="B279" s="29">
        <v>15305</v>
      </c>
      <c r="C279">
        <v>48.42</v>
      </c>
      <c r="D279">
        <v>108</v>
      </c>
      <c r="E279">
        <v>0</v>
      </c>
      <c r="F279">
        <v>0</v>
      </c>
    </row>
    <row r="280" spans="1:6" x14ac:dyDescent="0.45">
      <c r="A280" s="29">
        <v>4201</v>
      </c>
      <c r="B280" s="29">
        <v>15312</v>
      </c>
      <c r="C280">
        <v>67.23</v>
      </c>
      <c r="D280">
        <v>0</v>
      </c>
      <c r="E280">
        <v>144</v>
      </c>
      <c r="F280">
        <v>144</v>
      </c>
    </row>
    <row r="281" spans="1:6" x14ac:dyDescent="0.45">
      <c r="A281" s="29">
        <v>4201</v>
      </c>
      <c r="B281" s="29">
        <v>15536</v>
      </c>
      <c r="C281">
        <v>2574.36</v>
      </c>
      <c r="D281">
        <v>1752</v>
      </c>
      <c r="E281">
        <v>1344</v>
      </c>
      <c r="F281">
        <v>3336</v>
      </c>
    </row>
    <row r="282" spans="1:6" x14ac:dyDescent="0.45">
      <c r="A282" s="29">
        <v>4201</v>
      </c>
      <c r="B282" s="29">
        <v>16336</v>
      </c>
      <c r="C282">
        <v>9008.8799999999992</v>
      </c>
      <c r="D282">
        <v>5472</v>
      </c>
      <c r="E282">
        <v>9792</v>
      </c>
      <c r="F282">
        <v>9792</v>
      </c>
    </row>
    <row r="283" spans="1:6" x14ac:dyDescent="0.45">
      <c r="A283" s="29">
        <v>4201</v>
      </c>
      <c r="B283" s="29">
        <v>16407</v>
      </c>
      <c r="C283">
        <v>48.42</v>
      </c>
      <c r="D283">
        <v>36</v>
      </c>
      <c r="E283">
        <v>153</v>
      </c>
      <c r="F283">
        <v>153</v>
      </c>
    </row>
    <row r="284" spans="1:6" x14ac:dyDescent="0.45">
      <c r="A284" s="29">
        <v>4201</v>
      </c>
      <c r="B284" s="29">
        <v>16984</v>
      </c>
      <c r="C284">
        <v>257.27999999999997</v>
      </c>
      <c r="D284">
        <v>300</v>
      </c>
      <c r="E284">
        <v>660</v>
      </c>
      <c r="F284">
        <v>660</v>
      </c>
    </row>
    <row r="285" spans="1:6" x14ac:dyDescent="0.45">
      <c r="A285" s="29">
        <v>4201</v>
      </c>
      <c r="B285" s="29">
        <v>16998</v>
      </c>
      <c r="C285">
        <v>2574.36</v>
      </c>
      <c r="D285">
        <v>360</v>
      </c>
      <c r="E285">
        <v>3336</v>
      </c>
      <c r="F285">
        <v>3336</v>
      </c>
    </row>
    <row r="286" spans="1:6" x14ac:dyDescent="0.45">
      <c r="A286" s="29">
        <v>4201</v>
      </c>
      <c r="B286" s="29">
        <v>18098</v>
      </c>
      <c r="C286">
        <v>128.63999999999999</v>
      </c>
      <c r="D286">
        <v>0</v>
      </c>
      <c r="E286">
        <v>348</v>
      </c>
      <c r="F286">
        <v>348</v>
      </c>
    </row>
    <row r="287" spans="1:6" x14ac:dyDescent="0.45">
      <c r="A287" s="29">
        <v>4201</v>
      </c>
      <c r="B287" s="29">
        <v>19690</v>
      </c>
      <c r="C287">
        <v>128.63999999999999</v>
      </c>
      <c r="D287">
        <v>0</v>
      </c>
      <c r="E287">
        <v>168</v>
      </c>
      <c r="F287">
        <v>168</v>
      </c>
    </row>
    <row r="288" spans="1:6" x14ac:dyDescent="0.45">
      <c r="A288" s="29">
        <v>4201</v>
      </c>
      <c r="B288" s="29">
        <v>20308</v>
      </c>
      <c r="C288">
        <v>0</v>
      </c>
      <c r="D288">
        <v>0</v>
      </c>
      <c r="E288">
        <v>2880</v>
      </c>
      <c r="F288">
        <v>2880</v>
      </c>
    </row>
    <row r="289" spans="1:6" x14ac:dyDescent="0.45">
      <c r="A289" s="29">
        <v>4201</v>
      </c>
      <c r="B289" s="29">
        <v>20309</v>
      </c>
      <c r="C289">
        <v>192.96</v>
      </c>
      <c r="D289">
        <v>0</v>
      </c>
      <c r="E289">
        <v>0</v>
      </c>
      <c r="F289">
        <v>0</v>
      </c>
    </row>
    <row r="290" spans="1:6" x14ac:dyDescent="0.45">
      <c r="A290" s="29">
        <v>4201</v>
      </c>
      <c r="B290" s="29">
        <v>20661</v>
      </c>
      <c r="C290">
        <v>154.32</v>
      </c>
      <c r="D290">
        <v>0</v>
      </c>
      <c r="E290">
        <v>0</v>
      </c>
      <c r="F290">
        <v>0</v>
      </c>
    </row>
    <row r="291" spans="1:6" x14ac:dyDescent="0.45">
      <c r="A291" s="29">
        <v>4201</v>
      </c>
      <c r="B291" s="29">
        <v>20827</v>
      </c>
      <c r="C291">
        <v>1126.32</v>
      </c>
      <c r="D291">
        <v>576</v>
      </c>
      <c r="E291">
        <v>828</v>
      </c>
      <c r="F291">
        <v>828</v>
      </c>
    </row>
    <row r="292" spans="1:6" x14ac:dyDescent="0.45">
      <c r="A292" s="29">
        <v>4201</v>
      </c>
      <c r="B292" s="29">
        <v>23081</v>
      </c>
      <c r="C292">
        <v>128.63999999999999</v>
      </c>
      <c r="D292">
        <v>0</v>
      </c>
      <c r="E292">
        <v>132</v>
      </c>
      <c r="F292">
        <v>132</v>
      </c>
    </row>
    <row r="293" spans="1:6" x14ac:dyDescent="0.45">
      <c r="A293" s="29">
        <v>4201</v>
      </c>
      <c r="B293" s="29">
        <v>23401</v>
      </c>
      <c r="C293">
        <v>4826.04</v>
      </c>
      <c r="D293">
        <v>2436</v>
      </c>
      <c r="E293">
        <v>5544</v>
      </c>
      <c r="F293">
        <v>5556</v>
      </c>
    </row>
    <row r="294" spans="1:6" x14ac:dyDescent="0.45">
      <c r="A294" s="29">
        <v>4201</v>
      </c>
      <c r="B294" s="29">
        <v>23638</v>
      </c>
      <c r="C294">
        <v>1608.36</v>
      </c>
      <c r="D294">
        <v>468</v>
      </c>
      <c r="E294">
        <v>2280</v>
      </c>
      <c r="F294">
        <v>2280</v>
      </c>
    </row>
    <row r="295" spans="1:6" x14ac:dyDescent="0.45">
      <c r="A295" s="29">
        <v>4201</v>
      </c>
      <c r="B295" s="29">
        <v>24768</v>
      </c>
      <c r="C295">
        <v>4504.4399999999996</v>
      </c>
      <c r="D295">
        <v>2280</v>
      </c>
      <c r="E295">
        <v>2244</v>
      </c>
      <c r="F295">
        <v>2244</v>
      </c>
    </row>
    <row r="296" spans="1:6" x14ac:dyDescent="0.45">
      <c r="A296" s="29">
        <v>4201</v>
      </c>
      <c r="B296" s="29">
        <v>25570</v>
      </c>
      <c r="C296">
        <v>3217.68</v>
      </c>
      <c r="D296">
        <v>156</v>
      </c>
      <c r="E296">
        <v>4608</v>
      </c>
      <c r="F296">
        <v>4608</v>
      </c>
    </row>
    <row r="297" spans="1:6" x14ac:dyDescent="0.45">
      <c r="A297" s="29">
        <v>4201</v>
      </c>
      <c r="B297" s="29">
        <v>25598</v>
      </c>
      <c r="C297">
        <v>2574.36</v>
      </c>
      <c r="D297">
        <v>1368</v>
      </c>
      <c r="E297">
        <v>1320</v>
      </c>
      <c r="F297">
        <v>1824</v>
      </c>
    </row>
    <row r="298" spans="1:6" x14ac:dyDescent="0.45">
      <c r="A298" s="29">
        <v>4201</v>
      </c>
      <c r="B298" s="29">
        <v>25885</v>
      </c>
      <c r="C298">
        <v>2574.36</v>
      </c>
      <c r="D298">
        <v>816</v>
      </c>
      <c r="E298">
        <v>1920</v>
      </c>
      <c r="F298">
        <v>1920</v>
      </c>
    </row>
    <row r="299" spans="1:6" x14ac:dyDescent="0.45">
      <c r="A299" s="29">
        <v>4201</v>
      </c>
      <c r="B299" s="29">
        <v>26234</v>
      </c>
      <c r="C299">
        <v>0</v>
      </c>
      <c r="D299">
        <v>0</v>
      </c>
      <c r="E299">
        <v>228</v>
      </c>
      <c r="F299">
        <v>228</v>
      </c>
    </row>
    <row r="300" spans="1:6" x14ac:dyDescent="0.45">
      <c r="A300" s="29">
        <v>4203</v>
      </c>
      <c r="B300" s="29">
        <v>189</v>
      </c>
      <c r="C300">
        <v>82045.440000000002</v>
      </c>
      <c r="D300">
        <v>46584</v>
      </c>
      <c r="E300">
        <v>30240</v>
      </c>
      <c r="F300">
        <v>45528</v>
      </c>
    </row>
    <row r="301" spans="1:6" x14ac:dyDescent="0.45">
      <c r="A301" s="29">
        <v>4203</v>
      </c>
      <c r="B301" s="29">
        <v>1167</v>
      </c>
      <c r="C301">
        <v>1286.6400000000001</v>
      </c>
      <c r="D301">
        <v>732</v>
      </c>
      <c r="E301">
        <v>1344</v>
      </c>
      <c r="F301">
        <v>1344</v>
      </c>
    </row>
    <row r="302" spans="1:6" x14ac:dyDescent="0.45">
      <c r="A302" s="29">
        <v>4203</v>
      </c>
      <c r="B302" s="29">
        <v>1296</v>
      </c>
      <c r="C302">
        <v>1350.96</v>
      </c>
      <c r="D302">
        <v>240</v>
      </c>
      <c r="E302">
        <v>1116</v>
      </c>
      <c r="F302">
        <v>1116</v>
      </c>
    </row>
    <row r="303" spans="1:6" x14ac:dyDescent="0.45">
      <c r="A303" s="29">
        <v>4203</v>
      </c>
      <c r="B303" s="29">
        <v>2122</v>
      </c>
      <c r="C303">
        <v>257.27999999999997</v>
      </c>
      <c r="D303">
        <v>108</v>
      </c>
      <c r="E303">
        <v>360</v>
      </c>
      <c r="F303">
        <v>360</v>
      </c>
    </row>
    <row r="304" spans="1:6" x14ac:dyDescent="0.45">
      <c r="A304" s="29">
        <v>4203</v>
      </c>
      <c r="B304" s="29">
        <v>4145</v>
      </c>
      <c r="C304">
        <v>48.42</v>
      </c>
      <c r="D304">
        <v>144</v>
      </c>
      <c r="E304">
        <v>234</v>
      </c>
      <c r="F304">
        <v>234</v>
      </c>
    </row>
    <row r="305" spans="1:6" x14ac:dyDescent="0.45">
      <c r="A305" s="29">
        <v>4203</v>
      </c>
      <c r="B305" s="29">
        <v>6151</v>
      </c>
      <c r="C305">
        <v>6756</v>
      </c>
      <c r="D305">
        <v>5244</v>
      </c>
      <c r="E305">
        <v>10644</v>
      </c>
      <c r="F305">
        <v>10644</v>
      </c>
    </row>
    <row r="306" spans="1:6" x14ac:dyDescent="0.45">
      <c r="A306" s="29">
        <v>4203</v>
      </c>
      <c r="B306" s="29">
        <v>6982</v>
      </c>
      <c r="C306">
        <v>0</v>
      </c>
      <c r="D306">
        <v>0</v>
      </c>
      <c r="E306">
        <v>504</v>
      </c>
      <c r="F306">
        <v>504</v>
      </c>
    </row>
    <row r="307" spans="1:6" x14ac:dyDescent="0.45">
      <c r="A307" s="29">
        <v>4203</v>
      </c>
      <c r="B307" s="29">
        <v>7310</v>
      </c>
      <c r="C307">
        <v>5147.76</v>
      </c>
      <c r="D307">
        <v>4104</v>
      </c>
      <c r="E307">
        <v>1668</v>
      </c>
      <c r="F307">
        <v>11244</v>
      </c>
    </row>
    <row r="308" spans="1:6" x14ac:dyDescent="0.45">
      <c r="A308" s="29">
        <v>4203</v>
      </c>
      <c r="B308" s="29">
        <v>8529</v>
      </c>
      <c r="C308">
        <v>11904</v>
      </c>
      <c r="D308">
        <v>5952</v>
      </c>
      <c r="E308">
        <v>6048</v>
      </c>
      <c r="F308">
        <v>13032</v>
      </c>
    </row>
    <row r="309" spans="1:6" x14ac:dyDescent="0.45">
      <c r="A309" s="29">
        <v>4203</v>
      </c>
      <c r="B309" s="29">
        <v>13490</v>
      </c>
      <c r="C309">
        <v>1930</v>
      </c>
      <c r="D309">
        <v>780</v>
      </c>
      <c r="E309">
        <v>3140</v>
      </c>
      <c r="F309">
        <v>3140</v>
      </c>
    </row>
    <row r="310" spans="1:6" x14ac:dyDescent="0.45">
      <c r="A310" s="29">
        <v>4203</v>
      </c>
      <c r="B310" s="29">
        <v>13678</v>
      </c>
      <c r="C310">
        <v>1929.96</v>
      </c>
      <c r="D310">
        <v>996</v>
      </c>
      <c r="E310">
        <v>1056</v>
      </c>
      <c r="F310">
        <v>2256</v>
      </c>
    </row>
    <row r="311" spans="1:6" x14ac:dyDescent="0.45">
      <c r="A311" s="29">
        <v>4203</v>
      </c>
      <c r="B311" s="29">
        <v>14248</v>
      </c>
      <c r="C311">
        <v>1501.4</v>
      </c>
      <c r="D311">
        <v>860</v>
      </c>
      <c r="E311">
        <v>930</v>
      </c>
      <c r="F311">
        <v>2430</v>
      </c>
    </row>
    <row r="312" spans="1:6" x14ac:dyDescent="0.45">
      <c r="A312" s="29">
        <v>4203</v>
      </c>
      <c r="B312" s="29">
        <v>14654</v>
      </c>
      <c r="C312">
        <v>2573.2800000000002</v>
      </c>
      <c r="D312">
        <v>288</v>
      </c>
      <c r="E312">
        <v>2304</v>
      </c>
      <c r="F312">
        <v>2808</v>
      </c>
    </row>
    <row r="313" spans="1:6" x14ac:dyDescent="0.45">
      <c r="A313" s="29">
        <v>4203</v>
      </c>
      <c r="B313" s="29">
        <v>14788</v>
      </c>
      <c r="C313">
        <v>14401.2</v>
      </c>
      <c r="D313">
        <v>11388</v>
      </c>
      <c r="E313">
        <v>4488</v>
      </c>
      <c r="F313">
        <v>17700</v>
      </c>
    </row>
    <row r="314" spans="1:6" x14ac:dyDescent="0.45">
      <c r="A314" s="29">
        <v>4203</v>
      </c>
      <c r="B314" s="29">
        <v>15300</v>
      </c>
      <c r="C314">
        <v>177.03</v>
      </c>
      <c r="D314">
        <v>72</v>
      </c>
      <c r="E314">
        <v>342</v>
      </c>
      <c r="F314">
        <v>342</v>
      </c>
    </row>
    <row r="315" spans="1:6" x14ac:dyDescent="0.45">
      <c r="A315" s="29">
        <v>4203</v>
      </c>
      <c r="B315" s="29">
        <v>15305</v>
      </c>
      <c r="C315">
        <v>177.03</v>
      </c>
      <c r="D315">
        <v>63</v>
      </c>
      <c r="E315">
        <v>297</v>
      </c>
      <c r="F315">
        <v>297</v>
      </c>
    </row>
    <row r="316" spans="1:6" x14ac:dyDescent="0.45">
      <c r="A316" s="29">
        <v>4203</v>
      </c>
      <c r="B316" s="29">
        <v>15312</v>
      </c>
      <c r="C316">
        <v>177.03</v>
      </c>
      <c r="D316">
        <v>45</v>
      </c>
      <c r="E316">
        <v>135</v>
      </c>
      <c r="F316">
        <v>315</v>
      </c>
    </row>
    <row r="317" spans="1:6" x14ac:dyDescent="0.45">
      <c r="A317" s="29">
        <v>4203</v>
      </c>
      <c r="B317" s="29">
        <v>15536</v>
      </c>
      <c r="C317">
        <v>16409.400000000001</v>
      </c>
      <c r="D317">
        <v>5664</v>
      </c>
      <c r="E317">
        <v>16260</v>
      </c>
      <c r="F317">
        <v>23460</v>
      </c>
    </row>
    <row r="318" spans="1:6" x14ac:dyDescent="0.45">
      <c r="A318" s="29">
        <v>4203</v>
      </c>
      <c r="B318" s="29">
        <v>16336</v>
      </c>
      <c r="C318">
        <v>90877.2</v>
      </c>
      <c r="D318">
        <v>64020</v>
      </c>
      <c r="E318">
        <v>29928</v>
      </c>
      <c r="F318">
        <v>41520</v>
      </c>
    </row>
    <row r="319" spans="1:6" x14ac:dyDescent="0.45">
      <c r="A319" s="29">
        <v>4203</v>
      </c>
      <c r="B319" s="29">
        <v>16407</v>
      </c>
      <c r="C319">
        <v>386.91</v>
      </c>
      <c r="D319">
        <v>153</v>
      </c>
      <c r="E319">
        <v>234</v>
      </c>
      <c r="F319">
        <v>531</v>
      </c>
    </row>
    <row r="320" spans="1:6" x14ac:dyDescent="0.45">
      <c r="A320" s="29">
        <v>4203</v>
      </c>
      <c r="B320" s="29">
        <v>16984</v>
      </c>
      <c r="C320">
        <v>128.63999999999999</v>
      </c>
      <c r="D320">
        <v>60</v>
      </c>
      <c r="E320">
        <v>24</v>
      </c>
      <c r="F320">
        <v>72</v>
      </c>
    </row>
    <row r="321" spans="1:6" x14ac:dyDescent="0.45">
      <c r="A321" s="29">
        <v>4203</v>
      </c>
      <c r="B321" s="29">
        <v>16998</v>
      </c>
      <c r="C321">
        <v>1093.56</v>
      </c>
      <c r="D321">
        <v>660</v>
      </c>
      <c r="E321">
        <v>1392</v>
      </c>
      <c r="F321">
        <v>1392</v>
      </c>
    </row>
    <row r="322" spans="1:6" x14ac:dyDescent="0.45">
      <c r="A322" s="29">
        <v>4203</v>
      </c>
      <c r="B322" s="29">
        <v>18098</v>
      </c>
      <c r="C322">
        <v>964.92</v>
      </c>
      <c r="D322">
        <v>240</v>
      </c>
      <c r="E322">
        <v>1560</v>
      </c>
      <c r="F322">
        <v>1560</v>
      </c>
    </row>
    <row r="323" spans="1:6" x14ac:dyDescent="0.45">
      <c r="A323" s="29">
        <v>4203</v>
      </c>
      <c r="B323" s="29">
        <v>19690</v>
      </c>
      <c r="C323">
        <v>192.96</v>
      </c>
      <c r="D323">
        <v>108</v>
      </c>
      <c r="E323">
        <v>84</v>
      </c>
      <c r="F323">
        <v>84</v>
      </c>
    </row>
    <row r="324" spans="1:6" x14ac:dyDescent="0.45">
      <c r="A324" s="29">
        <v>4203</v>
      </c>
      <c r="B324" s="29">
        <v>20160</v>
      </c>
      <c r="C324">
        <v>128.63999999999999</v>
      </c>
      <c r="D324">
        <v>0</v>
      </c>
      <c r="E324">
        <v>0</v>
      </c>
      <c r="F324">
        <v>0</v>
      </c>
    </row>
    <row r="325" spans="1:6" x14ac:dyDescent="0.45">
      <c r="A325" s="29">
        <v>4203</v>
      </c>
      <c r="B325" s="29">
        <v>20308</v>
      </c>
      <c r="C325">
        <v>4504.4399999999996</v>
      </c>
      <c r="D325">
        <v>0</v>
      </c>
      <c r="E325">
        <v>5820</v>
      </c>
      <c r="F325">
        <v>5820</v>
      </c>
    </row>
    <row r="326" spans="1:6" x14ac:dyDescent="0.45">
      <c r="A326" s="29">
        <v>4203</v>
      </c>
      <c r="B326" s="29">
        <v>20309</v>
      </c>
      <c r="C326">
        <v>128.63999999999999</v>
      </c>
      <c r="D326">
        <v>0</v>
      </c>
      <c r="E326">
        <v>0</v>
      </c>
      <c r="F326">
        <v>0</v>
      </c>
    </row>
    <row r="327" spans="1:6" x14ac:dyDescent="0.45">
      <c r="A327" s="29">
        <v>4203</v>
      </c>
      <c r="B327" s="29">
        <v>20661</v>
      </c>
      <c r="C327">
        <v>463.08</v>
      </c>
      <c r="D327">
        <v>300</v>
      </c>
      <c r="E327">
        <v>1164</v>
      </c>
      <c r="F327">
        <v>1164</v>
      </c>
    </row>
    <row r="328" spans="1:6" x14ac:dyDescent="0.45">
      <c r="A328" s="29">
        <v>4203</v>
      </c>
      <c r="B328" s="29">
        <v>20827</v>
      </c>
      <c r="C328">
        <v>1286.6400000000001</v>
      </c>
      <c r="D328">
        <v>900</v>
      </c>
      <c r="E328">
        <v>1248</v>
      </c>
      <c r="F328">
        <v>1248</v>
      </c>
    </row>
    <row r="329" spans="1:6" x14ac:dyDescent="0.45">
      <c r="A329" s="29">
        <v>4203</v>
      </c>
      <c r="B329" s="29">
        <v>21910</v>
      </c>
      <c r="C329">
        <v>6434.52</v>
      </c>
      <c r="D329">
        <v>1680</v>
      </c>
      <c r="E329">
        <v>5304</v>
      </c>
      <c r="F329">
        <v>7812</v>
      </c>
    </row>
    <row r="330" spans="1:6" x14ac:dyDescent="0.45">
      <c r="A330" s="29">
        <v>4203</v>
      </c>
      <c r="B330" s="29">
        <v>22059</v>
      </c>
      <c r="C330">
        <v>128.63999999999999</v>
      </c>
      <c r="D330">
        <v>0</v>
      </c>
      <c r="E330">
        <v>0</v>
      </c>
      <c r="F330">
        <v>0</v>
      </c>
    </row>
    <row r="331" spans="1:6" x14ac:dyDescent="0.45">
      <c r="A331" s="29">
        <v>4203</v>
      </c>
      <c r="B331" s="29">
        <v>23081</v>
      </c>
      <c r="C331">
        <v>643.32000000000005</v>
      </c>
      <c r="D331">
        <v>24</v>
      </c>
      <c r="E331">
        <v>1188</v>
      </c>
      <c r="F331">
        <v>1188</v>
      </c>
    </row>
    <row r="332" spans="1:6" x14ac:dyDescent="0.45">
      <c r="A332" s="29">
        <v>4203</v>
      </c>
      <c r="B332" s="29">
        <v>23401</v>
      </c>
      <c r="C332">
        <v>1093.56</v>
      </c>
      <c r="D332">
        <v>360</v>
      </c>
      <c r="E332">
        <v>912</v>
      </c>
      <c r="F332">
        <v>1512</v>
      </c>
    </row>
    <row r="333" spans="1:6" x14ac:dyDescent="0.45">
      <c r="A333" s="29">
        <v>4203</v>
      </c>
      <c r="B333" s="29">
        <v>23638</v>
      </c>
      <c r="C333">
        <v>2251.6799999999998</v>
      </c>
      <c r="D333">
        <v>1740</v>
      </c>
      <c r="E333">
        <v>2052</v>
      </c>
      <c r="F333">
        <v>2892</v>
      </c>
    </row>
    <row r="334" spans="1:6" x14ac:dyDescent="0.45">
      <c r="A334" s="29">
        <v>4203</v>
      </c>
      <c r="B334" s="29">
        <v>24768</v>
      </c>
      <c r="C334">
        <v>2251.56</v>
      </c>
      <c r="D334">
        <v>1032</v>
      </c>
      <c r="E334">
        <v>3648</v>
      </c>
      <c r="F334">
        <v>3648</v>
      </c>
    </row>
    <row r="335" spans="1:6" x14ac:dyDescent="0.45">
      <c r="A335" s="29">
        <v>4203</v>
      </c>
      <c r="B335" s="29">
        <v>25570</v>
      </c>
      <c r="C335">
        <v>1286.6400000000001</v>
      </c>
      <c r="D335">
        <v>192</v>
      </c>
      <c r="E335">
        <v>1116</v>
      </c>
      <c r="F335">
        <v>1320</v>
      </c>
    </row>
    <row r="336" spans="1:6" x14ac:dyDescent="0.45">
      <c r="A336" s="29">
        <v>4203</v>
      </c>
      <c r="B336" s="29">
        <v>25598</v>
      </c>
      <c r="C336">
        <v>1415.28</v>
      </c>
      <c r="D336">
        <v>612</v>
      </c>
      <c r="E336">
        <v>912</v>
      </c>
      <c r="F336">
        <v>1404</v>
      </c>
    </row>
    <row r="337" spans="1:6" x14ac:dyDescent="0.45">
      <c r="A337" s="29">
        <v>4203</v>
      </c>
      <c r="B337" s="29">
        <v>25885</v>
      </c>
      <c r="C337">
        <v>1286.6400000000001</v>
      </c>
      <c r="D337">
        <v>180</v>
      </c>
      <c r="E337">
        <v>1128</v>
      </c>
      <c r="F337">
        <v>2328</v>
      </c>
    </row>
    <row r="338" spans="1:6" x14ac:dyDescent="0.45">
      <c r="A338" s="29">
        <v>4203</v>
      </c>
      <c r="B338" s="29">
        <v>26745</v>
      </c>
      <c r="C338">
        <v>128.63999999999999</v>
      </c>
      <c r="D338">
        <v>0</v>
      </c>
      <c r="E338">
        <v>0</v>
      </c>
      <c r="F338">
        <v>0</v>
      </c>
    </row>
    <row r="339" spans="1:6" x14ac:dyDescent="0.45">
      <c r="A339" s="29">
        <v>4300</v>
      </c>
      <c r="B339" s="29">
        <v>19690</v>
      </c>
      <c r="C339">
        <v>0</v>
      </c>
      <c r="D339">
        <v>0</v>
      </c>
      <c r="E339">
        <v>0</v>
      </c>
      <c r="F339">
        <v>0</v>
      </c>
    </row>
    <row r="340" spans="1:6" x14ac:dyDescent="0.45">
      <c r="A340" s="29">
        <v>4301</v>
      </c>
      <c r="B340" s="29">
        <v>189</v>
      </c>
      <c r="C340">
        <v>119058.6</v>
      </c>
      <c r="D340">
        <v>76272</v>
      </c>
      <c r="E340">
        <v>23964</v>
      </c>
      <c r="F340">
        <v>23964</v>
      </c>
    </row>
    <row r="341" spans="1:6" x14ac:dyDescent="0.45">
      <c r="A341" s="29">
        <v>4301</v>
      </c>
      <c r="B341" s="29">
        <v>1167</v>
      </c>
      <c r="C341">
        <v>6721.92</v>
      </c>
      <c r="D341">
        <v>9120</v>
      </c>
      <c r="E341">
        <v>3624</v>
      </c>
      <c r="F341">
        <v>3624</v>
      </c>
    </row>
    <row r="342" spans="1:6" x14ac:dyDescent="0.45">
      <c r="A342" s="29">
        <v>4301</v>
      </c>
      <c r="B342" s="29">
        <v>1296</v>
      </c>
      <c r="C342">
        <v>3128.64</v>
      </c>
      <c r="D342">
        <v>1908</v>
      </c>
      <c r="E342">
        <v>1548</v>
      </c>
      <c r="F342">
        <v>1548</v>
      </c>
    </row>
    <row r="343" spans="1:6" x14ac:dyDescent="0.45">
      <c r="A343" s="29">
        <v>4301</v>
      </c>
      <c r="B343" s="29">
        <v>2122</v>
      </c>
      <c r="C343">
        <v>15000</v>
      </c>
      <c r="D343">
        <v>16572</v>
      </c>
      <c r="E343">
        <v>88764</v>
      </c>
      <c r="F343">
        <v>88764</v>
      </c>
    </row>
    <row r="344" spans="1:6" x14ac:dyDescent="0.45">
      <c r="A344" s="29">
        <v>4301</v>
      </c>
      <c r="B344" s="29">
        <v>4145</v>
      </c>
      <c r="C344">
        <v>180</v>
      </c>
      <c r="D344">
        <v>108</v>
      </c>
      <c r="E344">
        <v>261</v>
      </c>
      <c r="F344">
        <v>261</v>
      </c>
    </row>
    <row r="345" spans="1:6" x14ac:dyDescent="0.45">
      <c r="A345" s="29">
        <v>4301</v>
      </c>
      <c r="B345" s="29">
        <v>5159</v>
      </c>
      <c r="C345">
        <v>0</v>
      </c>
      <c r="D345">
        <v>0</v>
      </c>
      <c r="E345">
        <v>13716</v>
      </c>
      <c r="F345">
        <v>13716</v>
      </c>
    </row>
    <row r="346" spans="1:6" x14ac:dyDescent="0.45">
      <c r="A346" s="29">
        <v>4301</v>
      </c>
      <c r="B346" s="29">
        <v>6151</v>
      </c>
      <c r="C346">
        <v>15999.96</v>
      </c>
      <c r="D346">
        <v>10260</v>
      </c>
      <c r="E346">
        <v>2676</v>
      </c>
      <c r="F346">
        <v>3676</v>
      </c>
    </row>
    <row r="347" spans="1:6" x14ac:dyDescent="0.45">
      <c r="A347" s="29">
        <v>4301</v>
      </c>
      <c r="B347" s="29">
        <v>6982</v>
      </c>
      <c r="C347">
        <v>3120</v>
      </c>
      <c r="D347">
        <v>3012</v>
      </c>
      <c r="E347">
        <v>1752</v>
      </c>
      <c r="F347">
        <v>1752</v>
      </c>
    </row>
    <row r="348" spans="1:6" x14ac:dyDescent="0.45">
      <c r="A348" s="29">
        <v>4301</v>
      </c>
      <c r="B348" s="29">
        <v>7310</v>
      </c>
      <c r="C348">
        <v>62964.84</v>
      </c>
      <c r="D348">
        <v>53940</v>
      </c>
      <c r="E348">
        <v>63636</v>
      </c>
      <c r="F348">
        <v>63636</v>
      </c>
    </row>
    <row r="349" spans="1:6" x14ac:dyDescent="0.45">
      <c r="A349" s="29">
        <v>4301</v>
      </c>
      <c r="B349" s="29">
        <v>8529</v>
      </c>
      <c r="C349">
        <v>20182.560000000001</v>
      </c>
      <c r="D349">
        <v>11124</v>
      </c>
      <c r="E349">
        <v>8292</v>
      </c>
      <c r="F349">
        <v>8292</v>
      </c>
    </row>
    <row r="350" spans="1:6" x14ac:dyDescent="0.45">
      <c r="A350" s="29">
        <v>4301</v>
      </c>
      <c r="B350" s="29">
        <v>13179</v>
      </c>
      <c r="C350">
        <v>77199.960000000006</v>
      </c>
      <c r="D350">
        <v>72132</v>
      </c>
      <c r="E350">
        <v>120708</v>
      </c>
      <c r="F350">
        <v>134136</v>
      </c>
    </row>
    <row r="351" spans="1:6" x14ac:dyDescent="0.45">
      <c r="A351" s="29">
        <v>4301</v>
      </c>
      <c r="B351" s="29">
        <v>13490</v>
      </c>
      <c r="C351">
        <v>4000</v>
      </c>
      <c r="D351">
        <v>3150</v>
      </c>
      <c r="E351">
        <v>4800</v>
      </c>
      <c r="F351">
        <v>4800</v>
      </c>
    </row>
    <row r="352" spans="1:6" x14ac:dyDescent="0.45">
      <c r="A352" s="29">
        <v>4301</v>
      </c>
      <c r="B352" s="29">
        <v>13678</v>
      </c>
      <c r="C352">
        <v>14179.92</v>
      </c>
      <c r="D352">
        <v>10284</v>
      </c>
      <c r="E352">
        <v>7344</v>
      </c>
      <c r="F352">
        <v>7344</v>
      </c>
    </row>
    <row r="353" spans="1:6" x14ac:dyDescent="0.45">
      <c r="A353" s="29">
        <v>4301</v>
      </c>
      <c r="B353" s="29">
        <v>14248</v>
      </c>
      <c r="C353">
        <v>1070</v>
      </c>
      <c r="D353">
        <v>1080</v>
      </c>
      <c r="E353">
        <v>230</v>
      </c>
      <c r="F353">
        <v>230</v>
      </c>
    </row>
    <row r="354" spans="1:6" x14ac:dyDescent="0.45">
      <c r="A354" s="29">
        <v>4301</v>
      </c>
      <c r="B354" s="29">
        <v>14654</v>
      </c>
      <c r="C354">
        <v>11321.52</v>
      </c>
      <c r="D354">
        <v>10332</v>
      </c>
      <c r="E354">
        <v>11304</v>
      </c>
      <c r="F354">
        <v>11304</v>
      </c>
    </row>
    <row r="355" spans="1:6" x14ac:dyDescent="0.45">
      <c r="A355" s="29">
        <v>4301</v>
      </c>
      <c r="B355" s="29">
        <v>14788</v>
      </c>
      <c r="C355">
        <v>8434.44</v>
      </c>
      <c r="D355">
        <v>7740</v>
      </c>
      <c r="E355">
        <v>12300</v>
      </c>
      <c r="F355">
        <v>12300</v>
      </c>
    </row>
    <row r="356" spans="1:6" x14ac:dyDescent="0.45">
      <c r="A356" s="29">
        <v>4301</v>
      </c>
      <c r="B356" s="29">
        <v>15300</v>
      </c>
      <c r="C356">
        <v>189</v>
      </c>
      <c r="D356">
        <v>18</v>
      </c>
      <c r="E356">
        <v>198</v>
      </c>
      <c r="F356">
        <v>198</v>
      </c>
    </row>
    <row r="357" spans="1:6" x14ac:dyDescent="0.45">
      <c r="A357" s="29">
        <v>4301</v>
      </c>
      <c r="B357" s="29">
        <v>15305</v>
      </c>
      <c r="C357">
        <v>18</v>
      </c>
      <c r="D357">
        <v>45</v>
      </c>
      <c r="E357">
        <v>198</v>
      </c>
      <c r="F357">
        <v>198</v>
      </c>
    </row>
    <row r="358" spans="1:6" x14ac:dyDescent="0.45">
      <c r="A358" s="29">
        <v>4301</v>
      </c>
      <c r="B358" s="29">
        <v>15312</v>
      </c>
      <c r="C358">
        <v>36</v>
      </c>
      <c r="D358">
        <v>36</v>
      </c>
      <c r="E358">
        <v>369</v>
      </c>
      <c r="F358">
        <v>369</v>
      </c>
    </row>
    <row r="359" spans="1:6" x14ac:dyDescent="0.45">
      <c r="A359" s="29">
        <v>4301</v>
      </c>
      <c r="B359" s="29">
        <v>15459</v>
      </c>
      <c r="C359">
        <v>0</v>
      </c>
      <c r="D359">
        <v>0</v>
      </c>
      <c r="E359">
        <v>39920</v>
      </c>
      <c r="F359">
        <v>39920</v>
      </c>
    </row>
    <row r="360" spans="1:6" x14ac:dyDescent="0.45">
      <c r="A360" s="29">
        <v>4301</v>
      </c>
      <c r="B360" s="29">
        <v>15536</v>
      </c>
      <c r="C360">
        <v>22182.6</v>
      </c>
      <c r="D360">
        <v>14880</v>
      </c>
      <c r="E360">
        <v>13560</v>
      </c>
      <c r="F360">
        <v>19560</v>
      </c>
    </row>
    <row r="361" spans="1:6" x14ac:dyDescent="0.45">
      <c r="A361" s="29">
        <v>4301</v>
      </c>
      <c r="B361" s="29">
        <v>15906</v>
      </c>
      <c r="C361">
        <v>0</v>
      </c>
      <c r="D361">
        <v>0</v>
      </c>
      <c r="E361">
        <v>10176</v>
      </c>
      <c r="F361">
        <v>10200</v>
      </c>
    </row>
    <row r="362" spans="1:6" x14ac:dyDescent="0.45">
      <c r="A362" s="29">
        <v>4301</v>
      </c>
      <c r="B362" s="29">
        <v>16336</v>
      </c>
      <c r="C362">
        <v>79503.12</v>
      </c>
      <c r="D362">
        <v>63144</v>
      </c>
      <c r="E362">
        <v>6888</v>
      </c>
      <c r="F362">
        <v>16908</v>
      </c>
    </row>
    <row r="363" spans="1:6" x14ac:dyDescent="0.45">
      <c r="A363" s="29">
        <v>4301</v>
      </c>
      <c r="B363" s="29">
        <v>16407</v>
      </c>
      <c r="C363">
        <v>468</v>
      </c>
      <c r="D363">
        <v>396</v>
      </c>
      <c r="E363">
        <v>513</v>
      </c>
      <c r="F363">
        <v>513</v>
      </c>
    </row>
    <row r="364" spans="1:6" x14ac:dyDescent="0.45">
      <c r="A364" s="29">
        <v>4301</v>
      </c>
      <c r="B364" s="29">
        <v>16984</v>
      </c>
      <c r="C364">
        <v>204</v>
      </c>
      <c r="D364">
        <v>156</v>
      </c>
      <c r="E364">
        <v>48</v>
      </c>
      <c r="F364">
        <v>48</v>
      </c>
    </row>
    <row r="365" spans="1:6" x14ac:dyDescent="0.45">
      <c r="A365" s="29">
        <v>4301</v>
      </c>
      <c r="B365" s="29">
        <v>16998</v>
      </c>
      <c r="C365">
        <v>9000</v>
      </c>
      <c r="D365">
        <v>7464</v>
      </c>
      <c r="E365">
        <v>10248</v>
      </c>
      <c r="F365">
        <v>15612</v>
      </c>
    </row>
    <row r="366" spans="1:6" x14ac:dyDescent="0.45">
      <c r="A366" s="29">
        <v>4301</v>
      </c>
      <c r="B366" s="29">
        <v>18098</v>
      </c>
      <c r="C366">
        <v>1299.96</v>
      </c>
      <c r="D366">
        <v>840</v>
      </c>
      <c r="E366">
        <v>40548</v>
      </c>
      <c r="F366">
        <v>40548</v>
      </c>
    </row>
    <row r="367" spans="1:6" x14ac:dyDescent="0.45">
      <c r="A367" s="29">
        <v>4301</v>
      </c>
      <c r="B367" s="29">
        <v>19690</v>
      </c>
      <c r="C367">
        <v>72</v>
      </c>
      <c r="D367">
        <v>96</v>
      </c>
      <c r="E367">
        <v>168</v>
      </c>
      <c r="F367">
        <v>168</v>
      </c>
    </row>
    <row r="368" spans="1:6" x14ac:dyDescent="0.45">
      <c r="A368" s="29">
        <v>4301</v>
      </c>
      <c r="B368" s="29">
        <v>20308</v>
      </c>
      <c r="C368">
        <v>0</v>
      </c>
      <c r="D368">
        <v>360</v>
      </c>
      <c r="E368">
        <v>13032</v>
      </c>
      <c r="F368">
        <v>13032</v>
      </c>
    </row>
    <row r="369" spans="1:6" x14ac:dyDescent="0.45">
      <c r="A369" s="29">
        <v>4301</v>
      </c>
      <c r="B369" s="29">
        <v>20661</v>
      </c>
      <c r="C369">
        <v>2035.92</v>
      </c>
      <c r="D369">
        <v>600</v>
      </c>
      <c r="E369">
        <v>2016</v>
      </c>
      <c r="F369">
        <v>2016</v>
      </c>
    </row>
    <row r="370" spans="1:6" x14ac:dyDescent="0.45">
      <c r="A370" s="29">
        <v>4301</v>
      </c>
      <c r="B370" s="29">
        <v>20827</v>
      </c>
      <c r="C370">
        <v>6799.92</v>
      </c>
      <c r="D370">
        <v>7968</v>
      </c>
      <c r="E370">
        <v>6804</v>
      </c>
      <c r="F370">
        <v>6804</v>
      </c>
    </row>
    <row r="371" spans="1:6" x14ac:dyDescent="0.45">
      <c r="A371" s="29">
        <v>4301</v>
      </c>
      <c r="B371" s="29">
        <v>21910</v>
      </c>
      <c r="C371">
        <v>0</v>
      </c>
      <c r="D371">
        <v>0</v>
      </c>
      <c r="E371">
        <v>49908</v>
      </c>
      <c r="F371">
        <v>49908</v>
      </c>
    </row>
    <row r="372" spans="1:6" x14ac:dyDescent="0.45">
      <c r="A372" s="29">
        <v>4301</v>
      </c>
      <c r="B372" s="29">
        <v>23081</v>
      </c>
      <c r="C372">
        <v>540</v>
      </c>
      <c r="D372">
        <v>36</v>
      </c>
      <c r="E372">
        <v>16068</v>
      </c>
      <c r="F372">
        <v>28680</v>
      </c>
    </row>
    <row r="373" spans="1:6" x14ac:dyDescent="0.45">
      <c r="A373" s="29">
        <v>4301</v>
      </c>
      <c r="B373" s="29">
        <v>23401</v>
      </c>
      <c r="C373">
        <v>4206</v>
      </c>
      <c r="D373">
        <v>0</v>
      </c>
      <c r="E373">
        <v>2088</v>
      </c>
      <c r="F373">
        <v>4488</v>
      </c>
    </row>
    <row r="374" spans="1:6" x14ac:dyDescent="0.45">
      <c r="A374" s="29">
        <v>4301</v>
      </c>
      <c r="B374" s="29">
        <v>23638</v>
      </c>
      <c r="C374">
        <v>14599.92</v>
      </c>
      <c r="D374">
        <v>5856</v>
      </c>
      <c r="E374">
        <v>3156</v>
      </c>
      <c r="F374">
        <v>3906</v>
      </c>
    </row>
    <row r="375" spans="1:6" x14ac:dyDescent="0.45">
      <c r="A375" s="29">
        <v>4301</v>
      </c>
      <c r="B375" s="29">
        <v>23890</v>
      </c>
      <c r="C375">
        <v>0</v>
      </c>
      <c r="D375">
        <v>0</v>
      </c>
      <c r="E375">
        <v>1356</v>
      </c>
      <c r="F375">
        <v>1356</v>
      </c>
    </row>
    <row r="376" spans="1:6" x14ac:dyDescent="0.45">
      <c r="A376" s="29">
        <v>4301</v>
      </c>
      <c r="B376" s="29">
        <v>24768</v>
      </c>
      <c r="C376">
        <v>2404.92</v>
      </c>
      <c r="D376">
        <v>2160</v>
      </c>
      <c r="E376">
        <v>1392</v>
      </c>
      <c r="F376">
        <v>2592</v>
      </c>
    </row>
    <row r="377" spans="1:6" x14ac:dyDescent="0.45">
      <c r="A377" s="29">
        <v>4301</v>
      </c>
      <c r="B377" s="29">
        <v>25570</v>
      </c>
      <c r="C377">
        <v>300</v>
      </c>
      <c r="D377">
        <v>120</v>
      </c>
      <c r="E377">
        <v>6744</v>
      </c>
      <c r="F377">
        <v>6768</v>
      </c>
    </row>
    <row r="378" spans="1:6" x14ac:dyDescent="0.45">
      <c r="A378" s="29">
        <v>4301</v>
      </c>
      <c r="B378" s="29">
        <v>25598</v>
      </c>
      <c r="C378">
        <v>1845.6</v>
      </c>
      <c r="D378">
        <v>792</v>
      </c>
      <c r="E378">
        <v>6744</v>
      </c>
      <c r="F378">
        <v>6744</v>
      </c>
    </row>
    <row r="379" spans="1:6" x14ac:dyDescent="0.45">
      <c r="A379" s="29">
        <v>4301</v>
      </c>
      <c r="B379" s="29">
        <v>25616</v>
      </c>
      <c r="C379">
        <v>0</v>
      </c>
      <c r="D379">
        <v>0</v>
      </c>
      <c r="E379">
        <v>16180</v>
      </c>
      <c r="F379">
        <v>16180</v>
      </c>
    </row>
    <row r="380" spans="1:6" x14ac:dyDescent="0.45">
      <c r="A380" s="29">
        <v>4301</v>
      </c>
      <c r="B380" s="29">
        <v>25885</v>
      </c>
      <c r="C380">
        <v>1680</v>
      </c>
      <c r="D380">
        <v>1176</v>
      </c>
      <c r="E380">
        <v>1704</v>
      </c>
      <c r="F380">
        <v>1704</v>
      </c>
    </row>
    <row r="381" spans="1:6" x14ac:dyDescent="0.45">
      <c r="A381" s="29">
        <v>4301</v>
      </c>
      <c r="B381" s="29">
        <v>26193</v>
      </c>
      <c r="C381">
        <v>0</v>
      </c>
      <c r="D381">
        <v>360</v>
      </c>
      <c r="E381">
        <v>0</v>
      </c>
      <c r="F381">
        <v>0</v>
      </c>
    </row>
    <row r="382" spans="1:6" x14ac:dyDescent="0.45">
      <c r="A382" s="29">
        <v>4301</v>
      </c>
      <c r="B382" s="29">
        <v>26234</v>
      </c>
      <c r="C382">
        <v>36</v>
      </c>
      <c r="D382">
        <v>0</v>
      </c>
      <c r="E382">
        <v>924</v>
      </c>
      <c r="F382">
        <v>924</v>
      </c>
    </row>
    <row r="383" spans="1:6" x14ac:dyDescent="0.45">
      <c r="A383" s="29">
        <v>4302</v>
      </c>
      <c r="B383" s="29">
        <v>189</v>
      </c>
      <c r="C383">
        <v>25739.040000000001</v>
      </c>
      <c r="D383">
        <v>19092</v>
      </c>
      <c r="E383">
        <v>16848</v>
      </c>
      <c r="F383">
        <v>16848</v>
      </c>
    </row>
    <row r="384" spans="1:6" x14ac:dyDescent="0.45">
      <c r="A384" s="29">
        <v>4302</v>
      </c>
      <c r="B384" s="29">
        <v>1167</v>
      </c>
      <c r="C384">
        <v>2251.6799999999998</v>
      </c>
      <c r="D384">
        <v>1740</v>
      </c>
      <c r="E384">
        <v>1980</v>
      </c>
      <c r="F384">
        <v>1980</v>
      </c>
    </row>
    <row r="385" spans="1:6" x14ac:dyDescent="0.45">
      <c r="A385" s="29">
        <v>4302</v>
      </c>
      <c r="B385" s="29">
        <v>1296</v>
      </c>
      <c r="C385">
        <v>2896.08</v>
      </c>
      <c r="D385">
        <v>1644</v>
      </c>
      <c r="E385">
        <v>2604</v>
      </c>
      <c r="F385">
        <v>2796</v>
      </c>
    </row>
    <row r="386" spans="1:6" x14ac:dyDescent="0.45">
      <c r="A386" s="29">
        <v>4302</v>
      </c>
      <c r="B386" s="29">
        <v>2122</v>
      </c>
      <c r="C386">
        <v>5791.08</v>
      </c>
      <c r="D386">
        <v>5256</v>
      </c>
      <c r="E386">
        <v>3624</v>
      </c>
      <c r="F386">
        <v>5628</v>
      </c>
    </row>
    <row r="387" spans="1:6" x14ac:dyDescent="0.45">
      <c r="A387" s="29">
        <v>4302</v>
      </c>
      <c r="B387" s="29">
        <v>4145</v>
      </c>
      <c r="C387">
        <v>289.98</v>
      </c>
      <c r="D387">
        <v>126</v>
      </c>
      <c r="E387">
        <v>522</v>
      </c>
      <c r="F387">
        <v>522</v>
      </c>
    </row>
    <row r="388" spans="1:6" x14ac:dyDescent="0.45">
      <c r="A388" s="29">
        <v>4302</v>
      </c>
      <c r="B388" s="29">
        <v>6151</v>
      </c>
      <c r="C388">
        <v>15229.68</v>
      </c>
      <c r="D388">
        <v>9300</v>
      </c>
      <c r="E388">
        <v>8112</v>
      </c>
      <c r="F388">
        <v>8112</v>
      </c>
    </row>
    <row r="389" spans="1:6" x14ac:dyDescent="0.45">
      <c r="A389" s="29">
        <v>4302</v>
      </c>
      <c r="B389" s="29">
        <v>6982</v>
      </c>
      <c r="C389">
        <v>4182.72</v>
      </c>
      <c r="D389">
        <v>636</v>
      </c>
      <c r="E389">
        <v>7728</v>
      </c>
      <c r="F389">
        <v>7728</v>
      </c>
    </row>
    <row r="390" spans="1:6" x14ac:dyDescent="0.45">
      <c r="A390" s="29">
        <v>4302</v>
      </c>
      <c r="B390" s="29">
        <v>7310</v>
      </c>
      <c r="C390">
        <v>30565.200000000001</v>
      </c>
      <c r="D390">
        <v>14436</v>
      </c>
      <c r="E390">
        <v>27144</v>
      </c>
      <c r="F390">
        <v>28152</v>
      </c>
    </row>
    <row r="391" spans="1:6" x14ac:dyDescent="0.45">
      <c r="A391" s="29">
        <v>4302</v>
      </c>
      <c r="B391" s="29">
        <v>8529</v>
      </c>
      <c r="C391">
        <v>7722.24</v>
      </c>
      <c r="D391">
        <v>5088</v>
      </c>
      <c r="E391">
        <v>6360</v>
      </c>
      <c r="F391">
        <v>8352</v>
      </c>
    </row>
    <row r="392" spans="1:6" x14ac:dyDescent="0.45">
      <c r="A392" s="29">
        <v>4302</v>
      </c>
      <c r="B392" s="29">
        <v>13179</v>
      </c>
      <c r="C392">
        <v>57913.8</v>
      </c>
      <c r="D392">
        <v>34080</v>
      </c>
      <c r="E392">
        <v>45168</v>
      </c>
      <c r="F392">
        <v>50160</v>
      </c>
    </row>
    <row r="393" spans="1:6" x14ac:dyDescent="0.45">
      <c r="A393" s="29">
        <v>4302</v>
      </c>
      <c r="B393" s="29">
        <v>13490</v>
      </c>
      <c r="C393">
        <v>1930</v>
      </c>
      <c r="D393">
        <v>1430</v>
      </c>
      <c r="E393">
        <v>2540</v>
      </c>
      <c r="F393">
        <v>2540</v>
      </c>
    </row>
    <row r="394" spans="1:6" x14ac:dyDescent="0.45">
      <c r="A394" s="29">
        <v>4302</v>
      </c>
      <c r="B394" s="29">
        <v>13678</v>
      </c>
      <c r="C394">
        <v>9000</v>
      </c>
      <c r="D394">
        <v>7284</v>
      </c>
      <c r="E394">
        <v>6192</v>
      </c>
      <c r="F394">
        <v>6192</v>
      </c>
    </row>
    <row r="395" spans="1:6" x14ac:dyDescent="0.45">
      <c r="A395" s="29">
        <v>4302</v>
      </c>
      <c r="B395" s="29">
        <v>14248</v>
      </c>
      <c r="C395">
        <v>1930</v>
      </c>
      <c r="D395">
        <v>700</v>
      </c>
      <c r="E395">
        <v>2260</v>
      </c>
      <c r="F395">
        <v>2260</v>
      </c>
    </row>
    <row r="396" spans="1:6" x14ac:dyDescent="0.45">
      <c r="A396" s="29">
        <v>4302</v>
      </c>
      <c r="B396" s="29">
        <v>14654</v>
      </c>
      <c r="C396">
        <v>5147.76</v>
      </c>
      <c r="D396">
        <v>3492</v>
      </c>
      <c r="E396">
        <v>708</v>
      </c>
      <c r="F396">
        <v>3708</v>
      </c>
    </row>
    <row r="397" spans="1:6" x14ac:dyDescent="0.45">
      <c r="A397" s="29">
        <v>4302</v>
      </c>
      <c r="B397" s="29">
        <v>15300</v>
      </c>
      <c r="C397">
        <v>482.94</v>
      </c>
      <c r="D397">
        <v>306</v>
      </c>
      <c r="E397">
        <v>567</v>
      </c>
      <c r="F397">
        <v>567</v>
      </c>
    </row>
    <row r="398" spans="1:6" x14ac:dyDescent="0.45">
      <c r="A398" s="29">
        <v>4302</v>
      </c>
      <c r="B398" s="29">
        <v>15305</v>
      </c>
      <c r="C398">
        <v>482.94</v>
      </c>
      <c r="D398">
        <v>207</v>
      </c>
      <c r="E398">
        <v>279</v>
      </c>
      <c r="F398">
        <v>279</v>
      </c>
    </row>
    <row r="399" spans="1:6" x14ac:dyDescent="0.45">
      <c r="A399" s="29">
        <v>4302</v>
      </c>
      <c r="B399" s="29">
        <v>15312</v>
      </c>
      <c r="C399">
        <v>96.93</v>
      </c>
      <c r="D399">
        <v>27</v>
      </c>
      <c r="E399">
        <v>162</v>
      </c>
      <c r="F399">
        <v>162</v>
      </c>
    </row>
    <row r="400" spans="1:6" x14ac:dyDescent="0.45">
      <c r="A400" s="29">
        <v>4302</v>
      </c>
      <c r="B400" s="29">
        <v>15536</v>
      </c>
      <c r="C400">
        <v>9652.2000000000007</v>
      </c>
      <c r="D400">
        <v>6012</v>
      </c>
      <c r="E400">
        <v>12048</v>
      </c>
      <c r="F400">
        <v>12048</v>
      </c>
    </row>
    <row r="401" spans="1:6" x14ac:dyDescent="0.45">
      <c r="A401" s="29">
        <v>4302</v>
      </c>
      <c r="B401" s="29">
        <v>15906</v>
      </c>
      <c r="C401">
        <v>0</v>
      </c>
      <c r="D401">
        <v>0</v>
      </c>
      <c r="E401">
        <v>252</v>
      </c>
      <c r="F401">
        <v>252</v>
      </c>
    </row>
    <row r="402" spans="1:6" x14ac:dyDescent="0.45">
      <c r="A402" s="29">
        <v>4302</v>
      </c>
      <c r="B402" s="29">
        <v>16336</v>
      </c>
      <c r="C402">
        <v>66172.44</v>
      </c>
      <c r="D402">
        <v>48492</v>
      </c>
      <c r="E402">
        <v>36576</v>
      </c>
      <c r="F402">
        <v>42576</v>
      </c>
    </row>
    <row r="403" spans="1:6" x14ac:dyDescent="0.45">
      <c r="A403" s="29">
        <v>4302</v>
      </c>
      <c r="B403" s="29">
        <v>16407</v>
      </c>
      <c r="C403">
        <v>643.32000000000005</v>
      </c>
      <c r="D403">
        <v>243</v>
      </c>
      <c r="E403">
        <v>405</v>
      </c>
      <c r="F403">
        <v>405</v>
      </c>
    </row>
    <row r="404" spans="1:6" x14ac:dyDescent="0.45">
      <c r="A404" s="29">
        <v>4302</v>
      </c>
      <c r="B404" s="29">
        <v>16984</v>
      </c>
      <c r="C404">
        <v>257.27999999999997</v>
      </c>
      <c r="D404">
        <v>48</v>
      </c>
      <c r="E404">
        <v>444</v>
      </c>
      <c r="F404">
        <v>444</v>
      </c>
    </row>
    <row r="405" spans="1:6" x14ac:dyDescent="0.45">
      <c r="A405" s="29">
        <v>4302</v>
      </c>
      <c r="B405" s="29">
        <v>16998</v>
      </c>
      <c r="C405">
        <v>2574.36</v>
      </c>
      <c r="D405">
        <v>1020</v>
      </c>
      <c r="E405">
        <v>4068</v>
      </c>
      <c r="F405">
        <v>4068</v>
      </c>
    </row>
    <row r="406" spans="1:6" x14ac:dyDescent="0.45">
      <c r="A406" s="29">
        <v>4302</v>
      </c>
      <c r="B406" s="29">
        <v>18098</v>
      </c>
      <c r="C406">
        <v>2251.6799999999998</v>
      </c>
      <c r="D406">
        <v>432</v>
      </c>
      <c r="E406">
        <v>2148</v>
      </c>
      <c r="F406">
        <v>2148</v>
      </c>
    </row>
    <row r="407" spans="1:6" x14ac:dyDescent="0.45">
      <c r="A407" s="29">
        <v>4302</v>
      </c>
      <c r="B407" s="29">
        <v>19690</v>
      </c>
      <c r="C407">
        <v>771.96</v>
      </c>
      <c r="D407">
        <v>36</v>
      </c>
      <c r="E407">
        <v>840</v>
      </c>
      <c r="F407">
        <v>840</v>
      </c>
    </row>
    <row r="408" spans="1:6" x14ac:dyDescent="0.45">
      <c r="A408" s="29">
        <v>4302</v>
      </c>
      <c r="B408" s="29">
        <v>20160</v>
      </c>
      <c r="C408">
        <v>192.96</v>
      </c>
      <c r="D408">
        <v>0</v>
      </c>
      <c r="E408">
        <v>0</v>
      </c>
      <c r="F408">
        <v>0</v>
      </c>
    </row>
    <row r="409" spans="1:6" x14ac:dyDescent="0.45">
      <c r="A409" s="29">
        <v>4302</v>
      </c>
      <c r="B409" s="29">
        <v>20308</v>
      </c>
      <c r="C409">
        <v>4826.04</v>
      </c>
      <c r="D409">
        <v>1572</v>
      </c>
      <c r="E409">
        <v>5388</v>
      </c>
      <c r="F409">
        <v>5388</v>
      </c>
    </row>
    <row r="410" spans="1:6" x14ac:dyDescent="0.45">
      <c r="A410" s="29">
        <v>4302</v>
      </c>
      <c r="B410" s="29">
        <v>20309</v>
      </c>
      <c r="C410">
        <v>192.96</v>
      </c>
      <c r="D410">
        <v>0</v>
      </c>
      <c r="E410">
        <v>0</v>
      </c>
      <c r="F410">
        <v>0</v>
      </c>
    </row>
    <row r="411" spans="1:6" x14ac:dyDescent="0.45">
      <c r="A411" s="29">
        <v>4302</v>
      </c>
      <c r="B411" s="29">
        <v>20661</v>
      </c>
      <c r="C411">
        <v>1929.96</v>
      </c>
      <c r="D411">
        <v>96</v>
      </c>
      <c r="E411">
        <v>1680</v>
      </c>
      <c r="F411">
        <v>1680</v>
      </c>
    </row>
    <row r="412" spans="1:6" x14ac:dyDescent="0.45">
      <c r="A412" s="29">
        <v>4302</v>
      </c>
      <c r="B412" s="29">
        <v>20827</v>
      </c>
      <c r="C412">
        <v>3539.4</v>
      </c>
      <c r="D412">
        <v>2328</v>
      </c>
      <c r="E412">
        <v>2832</v>
      </c>
      <c r="F412">
        <v>2832</v>
      </c>
    </row>
    <row r="413" spans="1:6" x14ac:dyDescent="0.45">
      <c r="A413" s="29">
        <v>4302</v>
      </c>
      <c r="B413" s="29">
        <v>21910</v>
      </c>
      <c r="C413">
        <v>7722.24</v>
      </c>
      <c r="D413">
        <v>3960</v>
      </c>
      <c r="E413">
        <v>6048</v>
      </c>
      <c r="F413">
        <v>7056</v>
      </c>
    </row>
    <row r="414" spans="1:6" x14ac:dyDescent="0.45">
      <c r="A414" s="29">
        <v>4302</v>
      </c>
      <c r="B414" s="29">
        <v>23081</v>
      </c>
      <c r="C414">
        <v>2574.36</v>
      </c>
      <c r="D414">
        <v>924</v>
      </c>
      <c r="E414">
        <v>1488</v>
      </c>
      <c r="F414">
        <v>1488</v>
      </c>
    </row>
    <row r="415" spans="1:6" x14ac:dyDescent="0.45">
      <c r="A415" s="29">
        <v>4302</v>
      </c>
      <c r="B415" s="29">
        <v>23401</v>
      </c>
      <c r="C415">
        <v>964.92</v>
      </c>
      <c r="D415">
        <v>0</v>
      </c>
      <c r="E415">
        <v>540</v>
      </c>
      <c r="F415">
        <v>540</v>
      </c>
    </row>
    <row r="416" spans="1:6" x14ac:dyDescent="0.45">
      <c r="A416" s="29">
        <v>4302</v>
      </c>
      <c r="B416" s="29">
        <v>23638</v>
      </c>
      <c r="C416">
        <v>4397.5200000000004</v>
      </c>
      <c r="D416">
        <v>2220</v>
      </c>
      <c r="E416">
        <v>5316</v>
      </c>
      <c r="F416">
        <v>5316</v>
      </c>
    </row>
    <row r="417" spans="1:6" x14ac:dyDescent="0.45">
      <c r="A417" s="29">
        <v>4302</v>
      </c>
      <c r="B417" s="29">
        <v>24768</v>
      </c>
      <c r="C417">
        <v>4826.04</v>
      </c>
      <c r="D417">
        <v>1728</v>
      </c>
      <c r="E417">
        <v>6516</v>
      </c>
      <c r="F417">
        <v>6516</v>
      </c>
    </row>
    <row r="418" spans="1:6" x14ac:dyDescent="0.45">
      <c r="A418" s="29">
        <v>4302</v>
      </c>
      <c r="B418" s="29">
        <v>25570</v>
      </c>
      <c r="C418">
        <v>3217.68</v>
      </c>
      <c r="D418">
        <v>840</v>
      </c>
      <c r="E418">
        <v>3240</v>
      </c>
      <c r="F418">
        <v>3240</v>
      </c>
    </row>
    <row r="419" spans="1:6" x14ac:dyDescent="0.45">
      <c r="A419" s="29">
        <v>4302</v>
      </c>
      <c r="B419" s="29">
        <v>25598</v>
      </c>
      <c r="C419">
        <v>1286.6400000000001</v>
      </c>
      <c r="D419">
        <v>516</v>
      </c>
      <c r="E419">
        <v>720</v>
      </c>
      <c r="F419">
        <v>924</v>
      </c>
    </row>
    <row r="420" spans="1:6" x14ac:dyDescent="0.45">
      <c r="A420" s="29">
        <v>4302</v>
      </c>
      <c r="B420" s="29">
        <v>25885</v>
      </c>
      <c r="C420">
        <v>771.96</v>
      </c>
      <c r="D420">
        <v>336</v>
      </c>
      <c r="E420">
        <v>528</v>
      </c>
      <c r="F420">
        <v>528</v>
      </c>
    </row>
    <row r="421" spans="1:6" x14ac:dyDescent="0.45">
      <c r="A421" s="29">
        <v>4302</v>
      </c>
      <c r="B421" s="29">
        <v>26234</v>
      </c>
      <c r="C421">
        <v>0</v>
      </c>
      <c r="D421">
        <v>0</v>
      </c>
      <c r="E421">
        <v>336</v>
      </c>
      <c r="F421">
        <v>336</v>
      </c>
    </row>
    <row r="422" spans="1:6" x14ac:dyDescent="0.45">
      <c r="A422" s="29">
        <v>4302</v>
      </c>
      <c r="B422" s="29">
        <v>26745</v>
      </c>
      <c r="C422">
        <v>192.96</v>
      </c>
      <c r="D422">
        <v>0</v>
      </c>
      <c r="E422">
        <v>0</v>
      </c>
      <c r="F422">
        <v>0</v>
      </c>
    </row>
    <row r="423" spans="1:6" x14ac:dyDescent="0.45">
      <c r="A423" s="29">
        <v>4304</v>
      </c>
      <c r="B423" s="29">
        <v>189</v>
      </c>
      <c r="C423">
        <v>33999.96</v>
      </c>
      <c r="D423">
        <v>26580</v>
      </c>
      <c r="E423">
        <v>8676</v>
      </c>
      <c r="F423">
        <v>8676</v>
      </c>
    </row>
    <row r="424" spans="1:6" x14ac:dyDescent="0.45">
      <c r="A424" s="29">
        <v>4304</v>
      </c>
      <c r="B424" s="29">
        <v>1167</v>
      </c>
      <c r="C424">
        <v>5151.96</v>
      </c>
      <c r="D424">
        <v>3024</v>
      </c>
      <c r="E424">
        <v>3744</v>
      </c>
      <c r="F424">
        <v>3744</v>
      </c>
    </row>
    <row r="425" spans="1:6" x14ac:dyDescent="0.45">
      <c r="A425" s="29">
        <v>4304</v>
      </c>
      <c r="B425" s="29">
        <v>1296</v>
      </c>
      <c r="C425">
        <v>4872</v>
      </c>
      <c r="D425">
        <v>2316</v>
      </c>
      <c r="E425">
        <v>3372</v>
      </c>
      <c r="F425">
        <v>3372</v>
      </c>
    </row>
    <row r="426" spans="1:6" x14ac:dyDescent="0.45">
      <c r="A426" s="29">
        <v>4304</v>
      </c>
      <c r="B426" s="29">
        <v>2122</v>
      </c>
      <c r="C426">
        <v>87999.96</v>
      </c>
      <c r="D426">
        <v>54444</v>
      </c>
      <c r="E426">
        <v>44652</v>
      </c>
      <c r="F426">
        <v>44652</v>
      </c>
    </row>
    <row r="427" spans="1:6" x14ac:dyDescent="0.45">
      <c r="A427" s="29">
        <v>4304</v>
      </c>
      <c r="B427" s="29">
        <v>4145</v>
      </c>
      <c r="C427">
        <v>252</v>
      </c>
      <c r="D427">
        <v>261</v>
      </c>
      <c r="E427">
        <v>378</v>
      </c>
      <c r="F427">
        <v>378</v>
      </c>
    </row>
    <row r="428" spans="1:6" x14ac:dyDescent="0.45">
      <c r="A428" s="29">
        <v>4304</v>
      </c>
      <c r="B428" s="29">
        <v>6151</v>
      </c>
      <c r="C428">
        <v>16999.919999999998</v>
      </c>
      <c r="D428">
        <v>14904</v>
      </c>
      <c r="E428">
        <v>11616</v>
      </c>
      <c r="F428">
        <v>11616</v>
      </c>
    </row>
    <row r="429" spans="1:6" x14ac:dyDescent="0.45">
      <c r="A429" s="29">
        <v>4304</v>
      </c>
      <c r="B429" s="29">
        <v>6982</v>
      </c>
      <c r="C429">
        <v>2799.96</v>
      </c>
      <c r="D429">
        <v>2028</v>
      </c>
      <c r="E429">
        <v>2220</v>
      </c>
      <c r="F429">
        <v>2220</v>
      </c>
    </row>
    <row r="430" spans="1:6" x14ac:dyDescent="0.45">
      <c r="A430" s="29">
        <v>4304</v>
      </c>
      <c r="B430" s="29">
        <v>7310</v>
      </c>
      <c r="C430">
        <v>78000</v>
      </c>
      <c r="D430">
        <v>79008</v>
      </c>
      <c r="E430">
        <v>32904</v>
      </c>
      <c r="F430">
        <v>32904</v>
      </c>
    </row>
    <row r="431" spans="1:6" x14ac:dyDescent="0.45">
      <c r="A431" s="29">
        <v>4304</v>
      </c>
      <c r="B431" s="29">
        <v>8529</v>
      </c>
      <c r="C431">
        <v>21799.919999999998</v>
      </c>
      <c r="D431">
        <v>13356</v>
      </c>
      <c r="E431">
        <v>12660</v>
      </c>
      <c r="F431">
        <v>12660</v>
      </c>
    </row>
    <row r="432" spans="1:6" x14ac:dyDescent="0.45">
      <c r="A432" s="29">
        <v>4304</v>
      </c>
      <c r="B432" s="29">
        <v>13179</v>
      </c>
      <c r="C432">
        <v>99999.96</v>
      </c>
      <c r="D432">
        <v>73308</v>
      </c>
      <c r="E432">
        <v>31848</v>
      </c>
      <c r="F432">
        <v>31848</v>
      </c>
    </row>
    <row r="433" spans="1:6" x14ac:dyDescent="0.45">
      <c r="A433" s="29">
        <v>4304</v>
      </c>
      <c r="B433" s="29">
        <v>13490</v>
      </c>
      <c r="C433">
        <v>2890</v>
      </c>
      <c r="D433">
        <v>2100</v>
      </c>
      <c r="E433">
        <v>3250</v>
      </c>
      <c r="F433">
        <v>3250</v>
      </c>
    </row>
    <row r="434" spans="1:6" x14ac:dyDescent="0.45">
      <c r="A434" s="29">
        <v>4304</v>
      </c>
      <c r="B434" s="29">
        <v>13678</v>
      </c>
      <c r="C434">
        <v>7587.96</v>
      </c>
      <c r="D434">
        <v>3432</v>
      </c>
      <c r="E434">
        <v>5388</v>
      </c>
      <c r="F434">
        <v>5388</v>
      </c>
    </row>
    <row r="435" spans="1:6" x14ac:dyDescent="0.45">
      <c r="A435" s="29">
        <v>4304</v>
      </c>
      <c r="B435" s="29">
        <v>14248</v>
      </c>
      <c r="C435">
        <v>1470</v>
      </c>
      <c r="D435">
        <v>1230</v>
      </c>
      <c r="E435">
        <v>1750</v>
      </c>
      <c r="F435">
        <v>1750</v>
      </c>
    </row>
    <row r="436" spans="1:6" x14ac:dyDescent="0.45">
      <c r="A436" s="29">
        <v>4304</v>
      </c>
      <c r="B436" s="29">
        <v>14654</v>
      </c>
      <c r="C436">
        <v>12199.92</v>
      </c>
      <c r="D436">
        <v>7668</v>
      </c>
      <c r="E436">
        <v>3948</v>
      </c>
      <c r="F436">
        <v>3948</v>
      </c>
    </row>
    <row r="437" spans="1:6" x14ac:dyDescent="0.45">
      <c r="A437" s="29">
        <v>4304</v>
      </c>
      <c r="B437" s="29">
        <v>14788</v>
      </c>
      <c r="C437">
        <v>480</v>
      </c>
      <c r="D437">
        <v>0</v>
      </c>
      <c r="E437">
        <v>804</v>
      </c>
      <c r="F437">
        <v>804</v>
      </c>
    </row>
    <row r="438" spans="1:6" x14ac:dyDescent="0.45">
      <c r="A438" s="29">
        <v>4304</v>
      </c>
      <c r="B438" s="29">
        <v>15300</v>
      </c>
      <c r="C438">
        <v>306</v>
      </c>
      <c r="D438">
        <v>72</v>
      </c>
      <c r="E438">
        <v>468</v>
      </c>
      <c r="F438">
        <v>468</v>
      </c>
    </row>
    <row r="439" spans="1:6" x14ac:dyDescent="0.45">
      <c r="A439" s="29">
        <v>4304</v>
      </c>
      <c r="B439" s="29">
        <v>15305</v>
      </c>
      <c r="C439">
        <v>315</v>
      </c>
      <c r="D439">
        <v>144</v>
      </c>
      <c r="E439">
        <v>450</v>
      </c>
      <c r="F439">
        <v>450</v>
      </c>
    </row>
    <row r="440" spans="1:6" x14ac:dyDescent="0.45">
      <c r="A440" s="29">
        <v>4304</v>
      </c>
      <c r="B440" s="29">
        <v>15536</v>
      </c>
      <c r="C440">
        <v>25500</v>
      </c>
      <c r="D440">
        <v>14712</v>
      </c>
      <c r="E440">
        <v>23580</v>
      </c>
      <c r="F440">
        <v>23580</v>
      </c>
    </row>
    <row r="441" spans="1:6" x14ac:dyDescent="0.45">
      <c r="A441" s="29">
        <v>4304</v>
      </c>
      <c r="B441" s="29">
        <v>15906</v>
      </c>
      <c r="C441">
        <v>4500</v>
      </c>
      <c r="D441">
        <v>2100</v>
      </c>
      <c r="E441">
        <v>3696</v>
      </c>
      <c r="F441">
        <v>3696</v>
      </c>
    </row>
    <row r="442" spans="1:6" x14ac:dyDescent="0.45">
      <c r="A442" s="29">
        <v>4304</v>
      </c>
      <c r="B442" s="29">
        <v>16336</v>
      </c>
      <c r="C442">
        <v>87000</v>
      </c>
      <c r="D442">
        <v>62676</v>
      </c>
      <c r="E442">
        <v>27444</v>
      </c>
      <c r="F442">
        <v>27444</v>
      </c>
    </row>
    <row r="443" spans="1:6" x14ac:dyDescent="0.45">
      <c r="A443" s="29">
        <v>4304</v>
      </c>
      <c r="B443" s="29">
        <v>16407</v>
      </c>
      <c r="C443">
        <v>387</v>
      </c>
      <c r="D443">
        <v>432</v>
      </c>
      <c r="E443">
        <v>378</v>
      </c>
      <c r="F443">
        <v>378</v>
      </c>
    </row>
    <row r="444" spans="1:6" x14ac:dyDescent="0.45">
      <c r="A444" s="29">
        <v>4304</v>
      </c>
      <c r="B444" s="29">
        <v>16984</v>
      </c>
      <c r="C444">
        <v>1483.92</v>
      </c>
      <c r="D444">
        <v>672</v>
      </c>
      <c r="E444">
        <v>1920</v>
      </c>
      <c r="F444">
        <v>1920</v>
      </c>
    </row>
    <row r="445" spans="1:6" x14ac:dyDescent="0.45">
      <c r="A445" s="29">
        <v>4304</v>
      </c>
      <c r="B445" s="29">
        <v>16998</v>
      </c>
      <c r="C445">
        <v>3999.96</v>
      </c>
      <c r="D445">
        <v>3180</v>
      </c>
      <c r="E445">
        <v>4752</v>
      </c>
      <c r="F445">
        <v>4752</v>
      </c>
    </row>
    <row r="446" spans="1:6" x14ac:dyDescent="0.45">
      <c r="A446" s="29">
        <v>4304</v>
      </c>
      <c r="B446" s="29">
        <v>18098</v>
      </c>
      <c r="C446">
        <v>4999.92</v>
      </c>
      <c r="D446">
        <v>180</v>
      </c>
      <c r="E446">
        <v>4860</v>
      </c>
      <c r="F446">
        <v>4860</v>
      </c>
    </row>
    <row r="447" spans="1:6" x14ac:dyDescent="0.45">
      <c r="A447" s="29">
        <v>4304</v>
      </c>
      <c r="B447" s="29">
        <v>19690</v>
      </c>
      <c r="C447">
        <v>312</v>
      </c>
      <c r="D447">
        <v>2076</v>
      </c>
      <c r="E447">
        <v>216</v>
      </c>
      <c r="F447">
        <v>216</v>
      </c>
    </row>
    <row r="448" spans="1:6" x14ac:dyDescent="0.45">
      <c r="A448" s="29">
        <v>4304</v>
      </c>
      <c r="B448" s="29">
        <v>20308</v>
      </c>
      <c r="C448">
        <v>1599.96</v>
      </c>
      <c r="D448">
        <v>1320</v>
      </c>
      <c r="E448">
        <v>1320</v>
      </c>
      <c r="F448">
        <v>1320</v>
      </c>
    </row>
    <row r="449" spans="1:6" x14ac:dyDescent="0.45">
      <c r="A449" s="29">
        <v>4304</v>
      </c>
      <c r="B449" s="29">
        <v>20661</v>
      </c>
      <c r="C449">
        <v>3499.92</v>
      </c>
      <c r="D449">
        <v>2700</v>
      </c>
      <c r="E449">
        <v>2952</v>
      </c>
      <c r="F449">
        <v>2952</v>
      </c>
    </row>
    <row r="450" spans="1:6" x14ac:dyDescent="0.45">
      <c r="A450" s="29">
        <v>4304</v>
      </c>
      <c r="B450" s="29">
        <v>20827</v>
      </c>
      <c r="C450">
        <v>11199.96</v>
      </c>
      <c r="D450">
        <v>9360</v>
      </c>
      <c r="E450">
        <v>10404</v>
      </c>
      <c r="F450">
        <v>10404</v>
      </c>
    </row>
    <row r="451" spans="1:6" x14ac:dyDescent="0.45">
      <c r="A451" s="29">
        <v>4304</v>
      </c>
      <c r="B451" s="29">
        <v>21910</v>
      </c>
      <c r="C451">
        <v>9999.9599999999991</v>
      </c>
      <c r="D451">
        <v>4920</v>
      </c>
      <c r="E451">
        <v>8592</v>
      </c>
      <c r="F451">
        <v>8592</v>
      </c>
    </row>
    <row r="452" spans="1:6" x14ac:dyDescent="0.45">
      <c r="A452" s="29">
        <v>4304</v>
      </c>
      <c r="B452" s="29">
        <v>23081</v>
      </c>
      <c r="C452">
        <v>2899.92</v>
      </c>
      <c r="D452">
        <v>1272</v>
      </c>
      <c r="E452">
        <v>1404</v>
      </c>
      <c r="F452">
        <v>1404</v>
      </c>
    </row>
    <row r="453" spans="1:6" x14ac:dyDescent="0.45">
      <c r="A453" s="29">
        <v>4304</v>
      </c>
      <c r="B453" s="29">
        <v>23401</v>
      </c>
      <c r="C453">
        <v>204</v>
      </c>
      <c r="D453">
        <v>240</v>
      </c>
      <c r="E453">
        <v>156</v>
      </c>
      <c r="F453">
        <v>156</v>
      </c>
    </row>
    <row r="454" spans="1:6" x14ac:dyDescent="0.45">
      <c r="A454" s="29">
        <v>4304</v>
      </c>
      <c r="B454" s="29">
        <v>23638</v>
      </c>
      <c r="C454">
        <v>11499.84</v>
      </c>
      <c r="D454">
        <v>7260</v>
      </c>
      <c r="E454">
        <v>4740</v>
      </c>
      <c r="F454">
        <v>10272</v>
      </c>
    </row>
    <row r="455" spans="1:6" x14ac:dyDescent="0.45">
      <c r="A455" s="29">
        <v>4304</v>
      </c>
      <c r="B455" s="29">
        <v>23890</v>
      </c>
      <c r="C455">
        <v>0</v>
      </c>
      <c r="D455">
        <v>0</v>
      </c>
      <c r="E455">
        <v>120</v>
      </c>
      <c r="F455">
        <v>120</v>
      </c>
    </row>
    <row r="456" spans="1:6" x14ac:dyDescent="0.45">
      <c r="A456" s="29">
        <v>4304</v>
      </c>
      <c r="B456" s="29">
        <v>24768</v>
      </c>
      <c r="C456">
        <v>19499.88</v>
      </c>
      <c r="D456">
        <v>12312</v>
      </c>
      <c r="E456">
        <v>13224</v>
      </c>
      <c r="F456">
        <v>13224</v>
      </c>
    </row>
    <row r="457" spans="1:6" x14ac:dyDescent="0.45">
      <c r="A457" s="29">
        <v>4304</v>
      </c>
      <c r="B457" s="29">
        <v>25570</v>
      </c>
      <c r="C457">
        <v>2304</v>
      </c>
      <c r="D457">
        <v>2016</v>
      </c>
      <c r="E457">
        <v>1332</v>
      </c>
      <c r="F457">
        <v>1332</v>
      </c>
    </row>
    <row r="458" spans="1:6" x14ac:dyDescent="0.45">
      <c r="A458" s="29">
        <v>4304</v>
      </c>
      <c r="B458" s="29">
        <v>25598</v>
      </c>
      <c r="C458">
        <v>571.91999999999996</v>
      </c>
      <c r="D458">
        <v>336</v>
      </c>
      <c r="E458">
        <v>192</v>
      </c>
      <c r="F458">
        <v>192</v>
      </c>
    </row>
    <row r="459" spans="1:6" x14ac:dyDescent="0.45">
      <c r="A459" s="29">
        <v>4304</v>
      </c>
      <c r="B459" s="29">
        <v>25885</v>
      </c>
      <c r="C459">
        <v>3096</v>
      </c>
      <c r="D459">
        <v>2424</v>
      </c>
      <c r="E459">
        <v>2136</v>
      </c>
      <c r="F459">
        <v>2136</v>
      </c>
    </row>
    <row r="460" spans="1:6" x14ac:dyDescent="0.45">
      <c r="A460" s="29">
        <v>4304</v>
      </c>
      <c r="B460" s="29">
        <v>26026</v>
      </c>
      <c r="C460">
        <v>0</v>
      </c>
      <c r="D460">
        <v>0</v>
      </c>
      <c r="E460">
        <v>348</v>
      </c>
      <c r="F460">
        <v>348</v>
      </c>
    </row>
    <row r="461" spans="1:6" x14ac:dyDescent="0.45">
      <c r="A461" s="29">
        <v>4304</v>
      </c>
      <c r="B461" s="29">
        <v>26193</v>
      </c>
      <c r="C461">
        <v>2772</v>
      </c>
      <c r="D461">
        <v>6888</v>
      </c>
      <c r="E461">
        <v>0</v>
      </c>
      <c r="F461">
        <v>0</v>
      </c>
    </row>
    <row r="462" spans="1:6" x14ac:dyDescent="0.45">
      <c r="A462" s="29">
        <v>4304</v>
      </c>
      <c r="B462" s="29">
        <v>26234</v>
      </c>
      <c r="C462">
        <v>24</v>
      </c>
      <c r="D462">
        <v>0</v>
      </c>
      <c r="E462">
        <v>1056</v>
      </c>
      <c r="F462">
        <v>1056</v>
      </c>
    </row>
    <row r="463" spans="1:6" x14ac:dyDescent="0.45">
      <c r="A463" s="29">
        <v>4400</v>
      </c>
      <c r="B463" s="29">
        <v>189</v>
      </c>
      <c r="C463">
        <v>47499.96</v>
      </c>
      <c r="D463">
        <v>29316</v>
      </c>
      <c r="E463">
        <v>33900</v>
      </c>
      <c r="F463">
        <v>47856</v>
      </c>
    </row>
    <row r="464" spans="1:6" x14ac:dyDescent="0.45">
      <c r="A464" s="29">
        <v>4400</v>
      </c>
      <c r="B464" s="29">
        <v>1167</v>
      </c>
      <c r="C464">
        <v>9108.84</v>
      </c>
      <c r="D464">
        <v>3996</v>
      </c>
      <c r="E464">
        <v>5172</v>
      </c>
      <c r="F464">
        <v>5172</v>
      </c>
    </row>
    <row r="465" spans="1:6" x14ac:dyDescent="0.45">
      <c r="A465" s="29">
        <v>4400</v>
      </c>
      <c r="B465" s="29">
        <v>1296</v>
      </c>
      <c r="C465">
        <v>1107.48</v>
      </c>
      <c r="D465">
        <v>768</v>
      </c>
      <c r="E465">
        <v>1044</v>
      </c>
      <c r="F465">
        <v>1044</v>
      </c>
    </row>
    <row r="466" spans="1:6" x14ac:dyDescent="0.45">
      <c r="A466" s="29">
        <v>4400</v>
      </c>
      <c r="B466" s="29">
        <v>2122</v>
      </c>
      <c r="C466">
        <v>10531.2</v>
      </c>
      <c r="D466">
        <v>5688</v>
      </c>
      <c r="E466">
        <v>10236</v>
      </c>
      <c r="F466">
        <v>11244</v>
      </c>
    </row>
    <row r="467" spans="1:6" x14ac:dyDescent="0.45">
      <c r="A467" s="29">
        <v>4400</v>
      </c>
      <c r="B467" s="29">
        <v>4145</v>
      </c>
      <c r="C467">
        <v>32.58</v>
      </c>
      <c r="D467">
        <v>0</v>
      </c>
      <c r="E467">
        <v>45</v>
      </c>
      <c r="F467">
        <v>45</v>
      </c>
    </row>
    <row r="468" spans="1:6" x14ac:dyDescent="0.45">
      <c r="A468" s="29">
        <v>4400</v>
      </c>
      <c r="B468" s="29">
        <v>5159</v>
      </c>
      <c r="C468">
        <v>258.24</v>
      </c>
      <c r="D468">
        <v>72</v>
      </c>
      <c r="E468">
        <v>252</v>
      </c>
      <c r="F468">
        <v>360</v>
      </c>
    </row>
    <row r="469" spans="1:6" x14ac:dyDescent="0.45">
      <c r="A469" s="29">
        <v>4400</v>
      </c>
      <c r="B469" s="29">
        <v>6151</v>
      </c>
      <c r="C469">
        <v>9416.64</v>
      </c>
      <c r="D469">
        <v>4104</v>
      </c>
      <c r="E469">
        <v>15648</v>
      </c>
      <c r="F469">
        <v>15648</v>
      </c>
    </row>
    <row r="470" spans="1:6" x14ac:dyDescent="0.45">
      <c r="A470" s="29">
        <v>4400</v>
      </c>
      <c r="B470" s="29">
        <v>6982</v>
      </c>
      <c r="C470">
        <v>4603.4399999999996</v>
      </c>
      <c r="D470">
        <v>2448</v>
      </c>
      <c r="E470">
        <v>2208</v>
      </c>
      <c r="F470">
        <v>4608</v>
      </c>
    </row>
    <row r="471" spans="1:6" x14ac:dyDescent="0.45">
      <c r="A471" s="29">
        <v>4400</v>
      </c>
      <c r="B471" s="29">
        <v>7310</v>
      </c>
      <c r="C471">
        <v>20871.36</v>
      </c>
      <c r="D471">
        <v>9960</v>
      </c>
      <c r="E471">
        <v>25944</v>
      </c>
      <c r="F471">
        <v>25944</v>
      </c>
    </row>
    <row r="472" spans="1:6" x14ac:dyDescent="0.45">
      <c r="A472" s="29">
        <v>4400</v>
      </c>
      <c r="B472" s="29">
        <v>8529</v>
      </c>
      <c r="C472">
        <v>13233.24</v>
      </c>
      <c r="D472">
        <v>6948</v>
      </c>
      <c r="E472">
        <v>13308</v>
      </c>
      <c r="F472">
        <v>14316</v>
      </c>
    </row>
    <row r="473" spans="1:6" x14ac:dyDescent="0.45">
      <c r="A473" s="29">
        <v>4400</v>
      </c>
      <c r="B473" s="29">
        <v>13179</v>
      </c>
      <c r="C473">
        <v>59037.120000000003</v>
      </c>
      <c r="D473">
        <v>35292</v>
      </c>
      <c r="E473">
        <v>34428</v>
      </c>
      <c r="F473">
        <v>46008</v>
      </c>
    </row>
    <row r="474" spans="1:6" x14ac:dyDescent="0.45">
      <c r="A474" s="29">
        <v>4400</v>
      </c>
      <c r="B474" s="29">
        <v>13490</v>
      </c>
      <c r="C474">
        <v>4564.8</v>
      </c>
      <c r="D474">
        <v>2850</v>
      </c>
      <c r="E474">
        <v>1780</v>
      </c>
      <c r="F474">
        <v>6280</v>
      </c>
    </row>
    <row r="475" spans="1:6" x14ac:dyDescent="0.45">
      <c r="A475" s="29">
        <v>4400</v>
      </c>
      <c r="B475" s="29">
        <v>13678</v>
      </c>
      <c r="C475">
        <v>271.08</v>
      </c>
      <c r="D475">
        <v>276</v>
      </c>
      <c r="E475">
        <v>1488</v>
      </c>
      <c r="F475">
        <v>1488</v>
      </c>
    </row>
    <row r="476" spans="1:6" x14ac:dyDescent="0.45">
      <c r="A476" s="29">
        <v>4400</v>
      </c>
      <c r="B476" s="29">
        <v>14248</v>
      </c>
      <c r="C476">
        <v>302.8</v>
      </c>
      <c r="D476">
        <v>180</v>
      </c>
      <c r="E476">
        <v>120</v>
      </c>
      <c r="F476">
        <v>720</v>
      </c>
    </row>
    <row r="477" spans="1:6" x14ac:dyDescent="0.45">
      <c r="A477" s="29">
        <v>4400</v>
      </c>
      <c r="B477" s="29">
        <v>14654</v>
      </c>
      <c r="C477">
        <v>1378.68</v>
      </c>
      <c r="D477">
        <v>1080</v>
      </c>
      <c r="E477">
        <v>180</v>
      </c>
      <c r="F477">
        <v>1188</v>
      </c>
    </row>
    <row r="478" spans="1:6" x14ac:dyDescent="0.45">
      <c r="A478" s="29">
        <v>4400</v>
      </c>
      <c r="B478" s="29">
        <v>14788</v>
      </c>
      <c r="C478">
        <v>12137.52</v>
      </c>
      <c r="D478">
        <v>5772</v>
      </c>
      <c r="E478">
        <v>7776</v>
      </c>
      <c r="F478">
        <v>11256</v>
      </c>
    </row>
    <row r="479" spans="1:6" x14ac:dyDescent="0.45">
      <c r="A479" s="29">
        <v>4400</v>
      </c>
      <c r="B479" s="29">
        <v>15300</v>
      </c>
      <c r="C479">
        <v>13.77</v>
      </c>
      <c r="D479">
        <v>18</v>
      </c>
      <c r="E479">
        <v>0</v>
      </c>
      <c r="F479">
        <v>36</v>
      </c>
    </row>
    <row r="480" spans="1:6" x14ac:dyDescent="0.45">
      <c r="A480" s="29">
        <v>4400</v>
      </c>
      <c r="B480" s="29">
        <v>15305</v>
      </c>
      <c r="C480">
        <v>55.35</v>
      </c>
      <c r="D480">
        <v>36</v>
      </c>
      <c r="E480">
        <v>0</v>
      </c>
      <c r="F480">
        <v>99</v>
      </c>
    </row>
    <row r="481" spans="1:6" x14ac:dyDescent="0.45">
      <c r="A481" s="29">
        <v>4400</v>
      </c>
      <c r="B481" s="29">
        <v>15312</v>
      </c>
      <c r="C481">
        <v>13.77</v>
      </c>
      <c r="D481">
        <v>9</v>
      </c>
      <c r="E481">
        <v>18</v>
      </c>
      <c r="F481">
        <v>18</v>
      </c>
    </row>
    <row r="482" spans="1:6" x14ac:dyDescent="0.45">
      <c r="A482" s="29">
        <v>4400</v>
      </c>
      <c r="B482" s="29">
        <v>15536</v>
      </c>
      <c r="C482">
        <v>8506.08</v>
      </c>
      <c r="D482">
        <v>5316</v>
      </c>
      <c r="E482">
        <v>7152</v>
      </c>
      <c r="F482">
        <v>7152</v>
      </c>
    </row>
    <row r="483" spans="1:6" x14ac:dyDescent="0.45">
      <c r="A483" s="29">
        <v>4400</v>
      </c>
      <c r="B483" s="29">
        <v>15906</v>
      </c>
      <c r="C483">
        <v>405.72</v>
      </c>
      <c r="D483">
        <v>312</v>
      </c>
      <c r="E483">
        <v>504</v>
      </c>
      <c r="F483">
        <v>504</v>
      </c>
    </row>
    <row r="484" spans="1:6" x14ac:dyDescent="0.45">
      <c r="A484" s="29">
        <v>4400</v>
      </c>
      <c r="B484" s="29">
        <v>16336</v>
      </c>
      <c r="C484">
        <v>37882.68</v>
      </c>
      <c r="D484">
        <v>20736</v>
      </c>
      <c r="E484">
        <v>22164</v>
      </c>
      <c r="F484">
        <v>32748</v>
      </c>
    </row>
    <row r="485" spans="1:6" x14ac:dyDescent="0.45">
      <c r="A485" s="29">
        <v>4400</v>
      </c>
      <c r="B485" s="29">
        <v>16407</v>
      </c>
      <c r="C485">
        <v>138.51</v>
      </c>
      <c r="D485">
        <v>54</v>
      </c>
      <c r="E485">
        <v>90</v>
      </c>
      <c r="F485">
        <v>207</v>
      </c>
    </row>
    <row r="486" spans="1:6" x14ac:dyDescent="0.45">
      <c r="A486" s="29">
        <v>4400</v>
      </c>
      <c r="B486" s="29">
        <v>16984</v>
      </c>
      <c r="C486">
        <v>1495.44</v>
      </c>
      <c r="D486">
        <v>1092</v>
      </c>
      <c r="E486">
        <v>1020</v>
      </c>
      <c r="F486">
        <v>1020</v>
      </c>
    </row>
    <row r="487" spans="1:6" x14ac:dyDescent="0.45">
      <c r="A487" s="29">
        <v>4400</v>
      </c>
      <c r="B487" s="29">
        <v>16998</v>
      </c>
      <c r="C487">
        <v>104.88</v>
      </c>
      <c r="D487">
        <v>60</v>
      </c>
      <c r="E487">
        <v>48</v>
      </c>
      <c r="F487">
        <v>168</v>
      </c>
    </row>
    <row r="488" spans="1:6" x14ac:dyDescent="0.45">
      <c r="A488" s="29">
        <v>4400</v>
      </c>
      <c r="B488" s="29">
        <v>18098</v>
      </c>
      <c r="C488">
        <v>0</v>
      </c>
      <c r="D488">
        <v>24</v>
      </c>
      <c r="E488">
        <v>96</v>
      </c>
      <c r="F488">
        <v>96</v>
      </c>
    </row>
    <row r="489" spans="1:6" x14ac:dyDescent="0.45">
      <c r="A489" s="29">
        <v>4400</v>
      </c>
      <c r="B489" s="29">
        <v>19690</v>
      </c>
      <c r="C489">
        <v>122.64</v>
      </c>
      <c r="D489">
        <v>24</v>
      </c>
      <c r="E489">
        <v>204</v>
      </c>
      <c r="F489">
        <v>204</v>
      </c>
    </row>
    <row r="490" spans="1:6" x14ac:dyDescent="0.45">
      <c r="A490" s="29">
        <v>4400</v>
      </c>
      <c r="B490" s="29">
        <v>20308</v>
      </c>
      <c r="C490">
        <v>10173.84</v>
      </c>
      <c r="D490">
        <v>1272</v>
      </c>
      <c r="E490">
        <v>11832</v>
      </c>
      <c r="F490">
        <v>11832</v>
      </c>
    </row>
    <row r="491" spans="1:6" x14ac:dyDescent="0.45">
      <c r="A491" s="29">
        <v>4400</v>
      </c>
      <c r="B491" s="29">
        <v>20661</v>
      </c>
      <c r="C491">
        <v>560.16</v>
      </c>
      <c r="D491">
        <v>648</v>
      </c>
      <c r="E491">
        <v>1152</v>
      </c>
      <c r="F491">
        <v>1152</v>
      </c>
    </row>
    <row r="492" spans="1:6" x14ac:dyDescent="0.45">
      <c r="A492" s="29">
        <v>4400</v>
      </c>
      <c r="B492" s="29">
        <v>20827</v>
      </c>
      <c r="C492">
        <v>1520.28</v>
      </c>
      <c r="D492">
        <v>936</v>
      </c>
      <c r="E492">
        <v>912</v>
      </c>
      <c r="F492">
        <v>1512</v>
      </c>
    </row>
    <row r="493" spans="1:6" x14ac:dyDescent="0.45">
      <c r="A493" s="29">
        <v>4400</v>
      </c>
      <c r="B493" s="29">
        <v>21910</v>
      </c>
      <c r="C493">
        <v>92.04</v>
      </c>
      <c r="D493">
        <v>180</v>
      </c>
      <c r="E493">
        <v>696</v>
      </c>
      <c r="F493">
        <v>696</v>
      </c>
    </row>
    <row r="494" spans="1:6" x14ac:dyDescent="0.45">
      <c r="A494" s="29">
        <v>4400</v>
      </c>
      <c r="B494" s="29">
        <v>23081</v>
      </c>
      <c r="C494">
        <v>215.76</v>
      </c>
      <c r="D494">
        <v>144</v>
      </c>
      <c r="E494">
        <v>264</v>
      </c>
      <c r="F494">
        <v>264</v>
      </c>
    </row>
    <row r="495" spans="1:6" x14ac:dyDescent="0.45">
      <c r="A495" s="29">
        <v>4400</v>
      </c>
      <c r="B495" s="29">
        <v>23401</v>
      </c>
      <c r="C495">
        <v>5957.4</v>
      </c>
      <c r="D495">
        <v>2808</v>
      </c>
      <c r="E495">
        <v>3168</v>
      </c>
      <c r="F495">
        <v>7968</v>
      </c>
    </row>
    <row r="496" spans="1:6" x14ac:dyDescent="0.45">
      <c r="A496" s="29">
        <v>4400</v>
      </c>
      <c r="B496" s="29">
        <v>23638</v>
      </c>
      <c r="C496">
        <v>3477</v>
      </c>
      <c r="D496">
        <v>2640</v>
      </c>
      <c r="E496">
        <v>1752</v>
      </c>
      <c r="F496">
        <v>1752</v>
      </c>
    </row>
    <row r="497" spans="1:6" x14ac:dyDescent="0.45">
      <c r="A497" s="29">
        <v>4400</v>
      </c>
      <c r="B497" s="29">
        <v>24768</v>
      </c>
      <c r="C497">
        <v>3348.36</v>
      </c>
      <c r="D497">
        <v>1152</v>
      </c>
      <c r="E497">
        <v>3336</v>
      </c>
      <c r="F497">
        <v>3336</v>
      </c>
    </row>
    <row r="498" spans="1:6" x14ac:dyDescent="0.45">
      <c r="A498" s="29">
        <v>4400</v>
      </c>
      <c r="B498" s="29">
        <v>25570</v>
      </c>
      <c r="C498">
        <v>2178.48</v>
      </c>
      <c r="D498">
        <v>1296</v>
      </c>
      <c r="E498">
        <v>2220</v>
      </c>
      <c r="F498">
        <v>3228</v>
      </c>
    </row>
    <row r="499" spans="1:6" x14ac:dyDescent="0.45">
      <c r="A499" s="29">
        <v>4400</v>
      </c>
      <c r="B499" s="29">
        <v>25598</v>
      </c>
      <c r="C499">
        <v>1846.92</v>
      </c>
      <c r="D499">
        <v>972</v>
      </c>
      <c r="E499">
        <v>156</v>
      </c>
      <c r="F499">
        <v>1356</v>
      </c>
    </row>
    <row r="500" spans="1:6" x14ac:dyDescent="0.45">
      <c r="A500" s="29">
        <v>4400</v>
      </c>
      <c r="B500" s="29">
        <v>25616</v>
      </c>
      <c r="C500">
        <v>35359.699999999997</v>
      </c>
      <c r="D500">
        <v>4200</v>
      </c>
      <c r="E500">
        <v>34680</v>
      </c>
      <c r="F500">
        <v>34680</v>
      </c>
    </row>
    <row r="501" spans="1:6" x14ac:dyDescent="0.45">
      <c r="A501" s="29">
        <v>4400</v>
      </c>
      <c r="B501" s="29">
        <v>25885</v>
      </c>
      <c r="C501">
        <v>2751.48</v>
      </c>
      <c r="D501">
        <v>864</v>
      </c>
      <c r="E501">
        <v>1848</v>
      </c>
      <c r="F501">
        <v>1848</v>
      </c>
    </row>
    <row r="502" spans="1:6" x14ac:dyDescent="0.45">
      <c r="A502" s="29">
        <v>4401</v>
      </c>
      <c r="B502" s="29">
        <v>189</v>
      </c>
      <c r="C502">
        <v>146227.20000000001</v>
      </c>
      <c r="D502">
        <v>101484</v>
      </c>
      <c r="E502">
        <v>16728</v>
      </c>
      <c r="F502">
        <v>41736</v>
      </c>
    </row>
    <row r="503" spans="1:6" x14ac:dyDescent="0.45">
      <c r="A503" s="29">
        <v>4401</v>
      </c>
      <c r="B503" s="29">
        <v>1167</v>
      </c>
      <c r="C503">
        <v>20976.84</v>
      </c>
      <c r="D503">
        <v>14400</v>
      </c>
      <c r="E503">
        <v>10104</v>
      </c>
      <c r="F503">
        <v>10704</v>
      </c>
    </row>
    <row r="504" spans="1:6" x14ac:dyDescent="0.45">
      <c r="A504" s="29">
        <v>4401</v>
      </c>
      <c r="B504" s="29">
        <v>1296</v>
      </c>
      <c r="C504">
        <v>7576.68</v>
      </c>
      <c r="D504">
        <v>3564</v>
      </c>
      <c r="E504">
        <v>4056</v>
      </c>
      <c r="F504">
        <v>5064</v>
      </c>
    </row>
    <row r="505" spans="1:6" x14ac:dyDescent="0.45">
      <c r="A505" s="29">
        <v>4401</v>
      </c>
      <c r="B505" s="29">
        <v>2122</v>
      </c>
      <c r="C505">
        <v>64853.04</v>
      </c>
      <c r="D505">
        <v>47208</v>
      </c>
      <c r="E505">
        <v>32796</v>
      </c>
      <c r="F505">
        <v>52824</v>
      </c>
    </row>
    <row r="506" spans="1:6" x14ac:dyDescent="0.45">
      <c r="A506" s="29">
        <v>4401</v>
      </c>
      <c r="B506" s="29">
        <v>4145</v>
      </c>
      <c r="C506">
        <v>299.79000000000002</v>
      </c>
      <c r="D506">
        <v>306</v>
      </c>
      <c r="E506">
        <v>288</v>
      </c>
      <c r="F506">
        <v>288</v>
      </c>
    </row>
    <row r="507" spans="1:6" x14ac:dyDescent="0.45">
      <c r="A507" s="29">
        <v>4401</v>
      </c>
      <c r="B507" s="29">
        <v>5159</v>
      </c>
      <c r="C507">
        <v>898.56</v>
      </c>
      <c r="D507">
        <v>408</v>
      </c>
      <c r="E507">
        <v>336</v>
      </c>
      <c r="F507">
        <v>1008</v>
      </c>
    </row>
    <row r="508" spans="1:6" x14ac:dyDescent="0.45">
      <c r="A508" s="29">
        <v>4401</v>
      </c>
      <c r="B508" s="29">
        <v>6151</v>
      </c>
      <c r="C508">
        <v>49792.56</v>
      </c>
      <c r="D508">
        <v>35676</v>
      </c>
      <c r="E508">
        <v>2340</v>
      </c>
      <c r="F508">
        <v>13416</v>
      </c>
    </row>
    <row r="509" spans="1:6" x14ac:dyDescent="0.45">
      <c r="A509" s="29">
        <v>4401</v>
      </c>
      <c r="B509" s="29">
        <v>6982</v>
      </c>
      <c r="C509">
        <v>12305.4</v>
      </c>
      <c r="D509">
        <v>7956</v>
      </c>
      <c r="E509">
        <v>6144</v>
      </c>
      <c r="F509">
        <v>8544</v>
      </c>
    </row>
    <row r="510" spans="1:6" x14ac:dyDescent="0.45">
      <c r="A510" s="29">
        <v>4401</v>
      </c>
      <c r="B510" s="29">
        <v>7310</v>
      </c>
      <c r="C510">
        <v>85860</v>
      </c>
      <c r="D510">
        <v>52776</v>
      </c>
      <c r="E510">
        <v>49368</v>
      </c>
      <c r="F510">
        <v>62460</v>
      </c>
    </row>
    <row r="511" spans="1:6" x14ac:dyDescent="0.45">
      <c r="A511" s="29">
        <v>4401</v>
      </c>
      <c r="B511" s="29">
        <v>8529</v>
      </c>
      <c r="C511">
        <v>20045.88</v>
      </c>
      <c r="D511">
        <v>14640</v>
      </c>
      <c r="E511">
        <v>13740</v>
      </c>
      <c r="F511">
        <v>20748</v>
      </c>
    </row>
    <row r="512" spans="1:6" x14ac:dyDescent="0.45">
      <c r="A512" s="29">
        <v>4401</v>
      </c>
      <c r="B512" s="29">
        <v>13179</v>
      </c>
      <c r="C512">
        <v>94490.64</v>
      </c>
      <c r="D512">
        <v>69444</v>
      </c>
      <c r="E512">
        <v>33324</v>
      </c>
      <c r="F512">
        <v>72408</v>
      </c>
    </row>
    <row r="513" spans="1:6" x14ac:dyDescent="0.45">
      <c r="A513" s="29">
        <v>4401</v>
      </c>
      <c r="B513" s="29">
        <v>13490</v>
      </c>
      <c r="C513">
        <v>8175.4</v>
      </c>
      <c r="D513">
        <v>7220</v>
      </c>
      <c r="E513">
        <v>5750</v>
      </c>
      <c r="F513">
        <v>5750</v>
      </c>
    </row>
    <row r="514" spans="1:6" x14ac:dyDescent="0.45">
      <c r="A514" s="29">
        <v>4401</v>
      </c>
      <c r="B514" s="29">
        <v>13678</v>
      </c>
      <c r="C514">
        <v>3686.76</v>
      </c>
      <c r="D514">
        <v>1956</v>
      </c>
      <c r="E514">
        <v>2196</v>
      </c>
      <c r="F514">
        <v>3300</v>
      </c>
    </row>
    <row r="515" spans="1:6" x14ac:dyDescent="0.45">
      <c r="A515" s="29">
        <v>4401</v>
      </c>
      <c r="B515" s="29">
        <v>14248</v>
      </c>
      <c r="C515">
        <v>1226.2</v>
      </c>
      <c r="D515">
        <v>780</v>
      </c>
      <c r="E515">
        <v>1700</v>
      </c>
      <c r="F515">
        <v>1700</v>
      </c>
    </row>
    <row r="516" spans="1:6" x14ac:dyDescent="0.45">
      <c r="A516" s="29">
        <v>4401</v>
      </c>
      <c r="B516" s="29">
        <v>14654</v>
      </c>
      <c r="C516">
        <v>7152.12</v>
      </c>
      <c r="D516">
        <v>6168</v>
      </c>
      <c r="E516">
        <v>1020</v>
      </c>
      <c r="F516">
        <v>5268</v>
      </c>
    </row>
    <row r="517" spans="1:6" x14ac:dyDescent="0.45">
      <c r="A517" s="29">
        <v>4401</v>
      </c>
      <c r="B517" s="29">
        <v>14788</v>
      </c>
      <c r="C517">
        <v>14711.52</v>
      </c>
      <c r="D517">
        <v>10368</v>
      </c>
      <c r="E517">
        <v>7296</v>
      </c>
      <c r="F517">
        <v>8496</v>
      </c>
    </row>
    <row r="518" spans="1:6" x14ac:dyDescent="0.45">
      <c r="A518" s="29">
        <v>4401</v>
      </c>
      <c r="B518" s="29">
        <v>15300</v>
      </c>
      <c r="C518">
        <v>221.58</v>
      </c>
      <c r="D518">
        <v>207</v>
      </c>
      <c r="E518">
        <v>252</v>
      </c>
      <c r="F518">
        <v>252</v>
      </c>
    </row>
    <row r="519" spans="1:6" x14ac:dyDescent="0.45">
      <c r="A519" s="29">
        <v>4401</v>
      </c>
      <c r="B519" s="29">
        <v>15305</v>
      </c>
      <c r="C519">
        <v>78.03</v>
      </c>
      <c r="D519">
        <v>108</v>
      </c>
      <c r="E519">
        <v>72</v>
      </c>
      <c r="F519">
        <v>72</v>
      </c>
    </row>
    <row r="520" spans="1:6" x14ac:dyDescent="0.45">
      <c r="A520" s="29">
        <v>4401</v>
      </c>
      <c r="B520" s="29">
        <v>15312</v>
      </c>
      <c r="C520">
        <v>91.89</v>
      </c>
      <c r="D520">
        <v>153</v>
      </c>
      <c r="E520">
        <v>18</v>
      </c>
      <c r="F520">
        <v>18</v>
      </c>
    </row>
    <row r="521" spans="1:6" x14ac:dyDescent="0.45">
      <c r="A521" s="29">
        <v>4401</v>
      </c>
      <c r="B521" s="29">
        <v>15536</v>
      </c>
      <c r="C521">
        <v>31130.400000000001</v>
      </c>
      <c r="D521">
        <v>19764</v>
      </c>
      <c r="E521">
        <v>22752</v>
      </c>
      <c r="F521">
        <v>33312</v>
      </c>
    </row>
    <row r="522" spans="1:6" x14ac:dyDescent="0.45">
      <c r="A522" s="29">
        <v>4401</v>
      </c>
      <c r="B522" s="29">
        <v>15906</v>
      </c>
      <c r="C522">
        <v>4264.8</v>
      </c>
      <c r="D522">
        <v>6852</v>
      </c>
      <c r="E522">
        <v>12960</v>
      </c>
      <c r="F522">
        <v>12960</v>
      </c>
    </row>
    <row r="523" spans="1:6" x14ac:dyDescent="0.45">
      <c r="A523" s="29">
        <v>4401</v>
      </c>
      <c r="B523" s="29">
        <v>16336</v>
      </c>
      <c r="C523">
        <v>80240.28</v>
      </c>
      <c r="D523">
        <v>56616</v>
      </c>
      <c r="E523">
        <v>50472</v>
      </c>
      <c r="F523">
        <v>57432</v>
      </c>
    </row>
    <row r="524" spans="1:6" x14ac:dyDescent="0.45">
      <c r="A524" s="29">
        <v>4401</v>
      </c>
      <c r="B524" s="29">
        <v>16407</v>
      </c>
      <c r="C524">
        <v>415.62</v>
      </c>
      <c r="D524">
        <v>378</v>
      </c>
      <c r="E524">
        <v>558</v>
      </c>
      <c r="F524">
        <v>558</v>
      </c>
    </row>
    <row r="525" spans="1:6" x14ac:dyDescent="0.45">
      <c r="A525" s="29">
        <v>4401</v>
      </c>
      <c r="B525" s="29">
        <v>16984</v>
      </c>
      <c r="C525">
        <v>578.88</v>
      </c>
      <c r="D525">
        <v>708</v>
      </c>
      <c r="E525">
        <v>432</v>
      </c>
      <c r="F525">
        <v>432</v>
      </c>
    </row>
    <row r="526" spans="1:6" x14ac:dyDescent="0.45">
      <c r="A526" s="29">
        <v>4401</v>
      </c>
      <c r="B526" s="29">
        <v>16998</v>
      </c>
      <c r="C526">
        <v>1200.48</v>
      </c>
      <c r="D526">
        <v>840</v>
      </c>
      <c r="E526">
        <v>1572</v>
      </c>
      <c r="F526">
        <v>1572</v>
      </c>
    </row>
    <row r="527" spans="1:6" x14ac:dyDescent="0.45">
      <c r="A527" s="29">
        <v>4401</v>
      </c>
      <c r="B527" s="29">
        <v>18098</v>
      </c>
      <c r="C527">
        <v>2922.6</v>
      </c>
      <c r="D527">
        <v>2748</v>
      </c>
      <c r="E527">
        <v>1020</v>
      </c>
      <c r="F527">
        <v>3420</v>
      </c>
    </row>
    <row r="528" spans="1:6" x14ac:dyDescent="0.45">
      <c r="A528" s="29">
        <v>4401</v>
      </c>
      <c r="B528" s="29">
        <v>19690</v>
      </c>
      <c r="C528">
        <v>209.76</v>
      </c>
      <c r="D528">
        <v>252</v>
      </c>
      <c r="E528">
        <v>816</v>
      </c>
      <c r="F528">
        <v>816</v>
      </c>
    </row>
    <row r="529" spans="1:6" x14ac:dyDescent="0.45">
      <c r="A529" s="29">
        <v>4401</v>
      </c>
      <c r="B529" s="29">
        <v>20308</v>
      </c>
      <c r="C529">
        <v>9355.32</v>
      </c>
      <c r="D529">
        <v>6636</v>
      </c>
      <c r="E529">
        <v>4560</v>
      </c>
      <c r="F529">
        <v>11556</v>
      </c>
    </row>
    <row r="530" spans="1:6" x14ac:dyDescent="0.45">
      <c r="A530" s="29">
        <v>4401</v>
      </c>
      <c r="B530" s="29">
        <v>20661</v>
      </c>
      <c r="C530">
        <v>8843.4</v>
      </c>
      <c r="D530">
        <v>7176</v>
      </c>
      <c r="E530">
        <v>3972</v>
      </c>
      <c r="F530">
        <v>3972</v>
      </c>
    </row>
    <row r="531" spans="1:6" x14ac:dyDescent="0.45">
      <c r="A531" s="29">
        <v>4401</v>
      </c>
      <c r="B531" s="29">
        <v>20827</v>
      </c>
      <c r="C531">
        <v>8601.1200000000008</v>
      </c>
      <c r="D531">
        <v>7068</v>
      </c>
      <c r="E531">
        <v>0</v>
      </c>
      <c r="F531">
        <v>3600</v>
      </c>
    </row>
    <row r="532" spans="1:6" x14ac:dyDescent="0.45">
      <c r="A532" s="29">
        <v>4401</v>
      </c>
      <c r="B532" s="29">
        <v>21910</v>
      </c>
      <c r="C532">
        <v>104.76</v>
      </c>
      <c r="D532">
        <v>0</v>
      </c>
      <c r="E532">
        <v>108</v>
      </c>
      <c r="F532">
        <v>108</v>
      </c>
    </row>
    <row r="533" spans="1:6" x14ac:dyDescent="0.45">
      <c r="A533" s="29">
        <v>4401</v>
      </c>
      <c r="B533" s="29">
        <v>23081</v>
      </c>
      <c r="C533">
        <v>3353.16</v>
      </c>
      <c r="D533">
        <v>636</v>
      </c>
      <c r="E533">
        <v>2736</v>
      </c>
      <c r="F533">
        <v>2736</v>
      </c>
    </row>
    <row r="534" spans="1:6" x14ac:dyDescent="0.45">
      <c r="A534" s="29">
        <v>4401</v>
      </c>
      <c r="B534" s="29">
        <v>23401</v>
      </c>
      <c r="C534">
        <v>16713.96</v>
      </c>
      <c r="D534">
        <v>9060</v>
      </c>
      <c r="E534">
        <v>5424</v>
      </c>
      <c r="F534">
        <v>15024</v>
      </c>
    </row>
    <row r="535" spans="1:6" x14ac:dyDescent="0.45">
      <c r="A535" s="29">
        <v>4401</v>
      </c>
      <c r="B535" s="29">
        <v>23638</v>
      </c>
      <c r="C535">
        <v>7398.48</v>
      </c>
      <c r="D535">
        <v>4296</v>
      </c>
      <c r="E535">
        <v>12396</v>
      </c>
      <c r="F535">
        <v>12396</v>
      </c>
    </row>
    <row r="536" spans="1:6" x14ac:dyDescent="0.45">
      <c r="A536" s="29">
        <v>4401</v>
      </c>
      <c r="B536" s="29">
        <v>23890</v>
      </c>
      <c r="C536">
        <v>0</v>
      </c>
      <c r="D536">
        <v>0</v>
      </c>
      <c r="E536">
        <v>1020</v>
      </c>
      <c r="F536">
        <v>1020</v>
      </c>
    </row>
    <row r="537" spans="1:6" x14ac:dyDescent="0.45">
      <c r="A537" s="29">
        <v>4401</v>
      </c>
      <c r="B537" s="29">
        <v>24768</v>
      </c>
      <c r="C537">
        <v>7213.32</v>
      </c>
      <c r="D537">
        <v>9984</v>
      </c>
      <c r="E537">
        <v>22440</v>
      </c>
      <c r="F537">
        <v>22440</v>
      </c>
    </row>
    <row r="538" spans="1:6" x14ac:dyDescent="0.45">
      <c r="A538" s="29">
        <v>4401</v>
      </c>
      <c r="B538" s="29">
        <v>25570</v>
      </c>
      <c r="C538">
        <v>5834.52</v>
      </c>
      <c r="D538">
        <v>4260</v>
      </c>
      <c r="E538">
        <v>3540</v>
      </c>
      <c r="F538">
        <v>6144</v>
      </c>
    </row>
    <row r="539" spans="1:6" x14ac:dyDescent="0.45">
      <c r="A539" s="29">
        <v>4401</v>
      </c>
      <c r="B539" s="29">
        <v>25598</v>
      </c>
      <c r="C539">
        <v>5959.92</v>
      </c>
      <c r="D539">
        <v>2280</v>
      </c>
      <c r="E539">
        <v>0</v>
      </c>
      <c r="F539">
        <v>3708</v>
      </c>
    </row>
    <row r="540" spans="1:6" x14ac:dyDescent="0.45">
      <c r="A540" s="29">
        <v>4401</v>
      </c>
      <c r="B540" s="29">
        <v>25885</v>
      </c>
      <c r="C540">
        <v>2799.96</v>
      </c>
      <c r="D540">
        <v>2472</v>
      </c>
      <c r="E540">
        <v>360</v>
      </c>
      <c r="F540">
        <v>3156</v>
      </c>
    </row>
    <row r="541" spans="1:6" x14ac:dyDescent="0.45">
      <c r="A541" s="29">
        <v>4401</v>
      </c>
      <c r="B541" s="29">
        <v>26192</v>
      </c>
      <c r="C541">
        <v>1979.52</v>
      </c>
      <c r="D541">
        <v>0</v>
      </c>
      <c r="E541">
        <v>0</v>
      </c>
      <c r="F541">
        <v>0</v>
      </c>
    </row>
    <row r="542" spans="1:6" x14ac:dyDescent="0.45">
      <c r="A542" s="29">
        <v>4401</v>
      </c>
      <c r="B542" s="29">
        <v>26193</v>
      </c>
      <c r="C542">
        <v>0</v>
      </c>
      <c r="D542">
        <v>2292</v>
      </c>
      <c r="E542">
        <v>0</v>
      </c>
      <c r="F542">
        <v>0</v>
      </c>
    </row>
    <row r="543" spans="1:6" x14ac:dyDescent="0.45">
      <c r="A543" s="29">
        <v>4401</v>
      </c>
      <c r="B543" s="29">
        <v>26234</v>
      </c>
      <c r="C543">
        <v>0</v>
      </c>
      <c r="D543">
        <v>0</v>
      </c>
      <c r="E543">
        <v>924</v>
      </c>
      <c r="F543">
        <v>924</v>
      </c>
    </row>
    <row r="544" spans="1:6" x14ac:dyDescent="0.45">
      <c r="A544" s="29">
        <v>4401</v>
      </c>
      <c r="B544" s="29">
        <v>26744</v>
      </c>
      <c r="C544">
        <v>0</v>
      </c>
      <c r="D544">
        <v>0</v>
      </c>
      <c r="E544">
        <v>96</v>
      </c>
      <c r="F544">
        <v>96</v>
      </c>
    </row>
    <row r="545" spans="1:6" x14ac:dyDescent="0.45">
      <c r="A545" s="29">
        <v>4401</v>
      </c>
      <c r="B545" s="29">
        <v>26745</v>
      </c>
      <c r="C545">
        <v>0</v>
      </c>
      <c r="D545">
        <v>0</v>
      </c>
      <c r="E545">
        <v>492</v>
      </c>
      <c r="F545">
        <v>492</v>
      </c>
    </row>
    <row r="546" spans="1:6" x14ac:dyDescent="0.45">
      <c r="A546" s="29">
        <v>4403</v>
      </c>
      <c r="B546" s="29">
        <v>189</v>
      </c>
      <c r="C546">
        <v>146828.04</v>
      </c>
      <c r="D546">
        <v>109644</v>
      </c>
      <c r="E546">
        <v>25728</v>
      </c>
      <c r="F546">
        <v>42336</v>
      </c>
    </row>
    <row r="547" spans="1:6" x14ac:dyDescent="0.45">
      <c r="A547" s="29">
        <v>4403</v>
      </c>
      <c r="B547" s="29">
        <v>1167</v>
      </c>
      <c r="C547">
        <v>29326.44</v>
      </c>
      <c r="D547">
        <v>22632</v>
      </c>
      <c r="E547">
        <v>13608</v>
      </c>
      <c r="F547">
        <v>13608</v>
      </c>
    </row>
    <row r="548" spans="1:6" x14ac:dyDescent="0.45">
      <c r="A548" s="29">
        <v>4403</v>
      </c>
      <c r="B548" s="29">
        <v>1296</v>
      </c>
      <c r="C548">
        <v>1649.88</v>
      </c>
      <c r="D548">
        <v>1356</v>
      </c>
      <c r="E548">
        <v>1212</v>
      </c>
      <c r="F548">
        <v>1404</v>
      </c>
    </row>
    <row r="549" spans="1:6" x14ac:dyDescent="0.45">
      <c r="A549" s="29">
        <v>4403</v>
      </c>
      <c r="B549" s="29">
        <v>2122</v>
      </c>
      <c r="C549">
        <v>20126.04</v>
      </c>
      <c r="D549">
        <v>12588</v>
      </c>
      <c r="E549">
        <v>9948</v>
      </c>
      <c r="F549">
        <v>11940</v>
      </c>
    </row>
    <row r="550" spans="1:6" x14ac:dyDescent="0.45">
      <c r="A550" s="29">
        <v>4403</v>
      </c>
      <c r="B550" s="29">
        <v>4145</v>
      </c>
      <c r="C550">
        <v>96.93</v>
      </c>
      <c r="D550">
        <v>27</v>
      </c>
      <c r="E550">
        <v>171</v>
      </c>
      <c r="F550">
        <v>171</v>
      </c>
    </row>
    <row r="551" spans="1:6" x14ac:dyDescent="0.45">
      <c r="A551" s="29">
        <v>4403</v>
      </c>
      <c r="B551" s="29">
        <v>5159</v>
      </c>
      <c r="C551">
        <v>43.44</v>
      </c>
      <c r="D551">
        <v>36</v>
      </c>
      <c r="E551">
        <v>36</v>
      </c>
      <c r="F551">
        <v>36</v>
      </c>
    </row>
    <row r="552" spans="1:6" x14ac:dyDescent="0.45">
      <c r="A552" s="29">
        <v>4403</v>
      </c>
      <c r="B552" s="29">
        <v>6151</v>
      </c>
      <c r="C552">
        <v>43755</v>
      </c>
      <c r="D552">
        <v>23196</v>
      </c>
      <c r="E552">
        <v>14340</v>
      </c>
      <c r="F552">
        <v>14340</v>
      </c>
    </row>
    <row r="553" spans="1:6" x14ac:dyDescent="0.45">
      <c r="A553" s="29">
        <v>4403</v>
      </c>
      <c r="B553" s="29">
        <v>6982</v>
      </c>
      <c r="C553">
        <v>3396.72</v>
      </c>
      <c r="D553">
        <v>2724</v>
      </c>
      <c r="E553">
        <v>4356</v>
      </c>
      <c r="F553">
        <v>4356</v>
      </c>
    </row>
    <row r="554" spans="1:6" x14ac:dyDescent="0.45">
      <c r="A554" s="29">
        <v>4403</v>
      </c>
      <c r="B554" s="29">
        <v>7310</v>
      </c>
      <c r="C554">
        <v>31845</v>
      </c>
      <c r="D554">
        <v>21816</v>
      </c>
      <c r="E554">
        <v>31824</v>
      </c>
      <c r="F554">
        <v>34824</v>
      </c>
    </row>
    <row r="555" spans="1:6" x14ac:dyDescent="0.45">
      <c r="A555" s="29">
        <v>4403</v>
      </c>
      <c r="B555" s="29">
        <v>8529</v>
      </c>
      <c r="C555">
        <v>15171.24</v>
      </c>
      <c r="D555">
        <v>10692</v>
      </c>
      <c r="E555">
        <v>9852</v>
      </c>
      <c r="F555">
        <v>11712</v>
      </c>
    </row>
    <row r="556" spans="1:6" x14ac:dyDescent="0.45">
      <c r="A556" s="29">
        <v>4403</v>
      </c>
      <c r="B556" s="29">
        <v>13179</v>
      </c>
      <c r="C556">
        <v>75153.36</v>
      </c>
      <c r="D556">
        <v>61284</v>
      </c>
      <c r="E556">
        <v>16296</v>
      </c>
      <c r="F556">
        <v>28644</v>
      </c>
    </row>
    <row r="557" spans="1:6" x14ac:dyDescent="0.45">
      <c r="A557" s="29">
        <v>4403</v>
      </c>
      <c r="B557" s="29">
        <v>13490</v>
      </c>
      <c r="C557">
        <v>8406</v>
      </c>
      <c r="D557">
        <v>7080</v>
      </c>
      <c r="E557">
        <v>7420</v>
      </c>
      <c r="F557">
        <v>8620</v>
      </c>
    </row>
    <row r="558" spans="1:6" x14ac:dyDescent="0.45">
      <c r="A558" s="29">
        <v>4403</v>
      </c>
      <c r="B558" s="29">
        <v>13678</v>
      </c>
      <c r="C558">
        <v>9404.76</v>
      </c>
      <c r="D558">
        <v>7788</v>
      </c>
      <c r="E558">
        <v>6012</v>
      </c>
      <c r="F558">
        <v>6132</v>
      </c>
    </row>
    <row r="559" spans="1:6" x14ac:dyDescent="0.45">
      <c r="A559" s="29">
        <v>4403</v>
      </c>
      <c r="B559" s="29">
        <v>14248</v>
      </c>
      <c r="C559">
        <v>968.9</v>
      </c>
      <c r="D559">
        <v>700</v>
      </c>
      <c r="E559">
        <v>1160</v>
      </c>
      <c r="F559">
        <v>1160</v>
      </c>
    </row>
    <row r="560" spans="1:6" x14ac:dyDescent="0.45">
      <c r="A560" s="29">
        <v>4403</v>
      </c>
      <c r="B560" s="29">
        <v>14654</v>
      </c>
      <c r="C560">
        <v>6505.68</v>
      </c>
      <c r="D560">
        <v>4776</v>
      </c>
      <c r="E560">
        <v>1788</v>
      </c>
      <c r="F560">
        <v>3780</v>
      </c>
    </row>
    <row r="561" spans="1:6" x14ac:dyDescent="0.45">
      <c r="A561" s="29">
        <v>4403</v>
      </c>
      <c r="B561" s="29">
        <v>14788</v>
      </c>
      <c r="C561">
        <v>720.48</v>
      </c>
      <c r="D561">
        <v>108</v>
      </c>
      <c r="E561">
        <v>1332</v>
      </c>
      <c r="F561">
        <v>1332</v>
      </c>
    </row>
    <row r="562" spans="1:6" x14ac:dyDescent="0.45">
      <c r="A562" s="29">
        <v>4403</v>
      </c>
      <c r="B562" s="29">
        <v>15300</v>
      </c>
      <c r="C562">
        <v>36.450000000000003</v>
      </c>
      <c r="D562">
        <v>18</v>
      </c>
      <c r="E562">
        <v>72</v>
      </c>
      <c r="F562">
        <v>72</v>
      </c>
    </row>
    <row r="563" spans="1:6" x14ac:dyDescent="0.45">
      <c r="A563" s="29">
        <v>4403</v>
      </c>
      <c r="B563" s="29">
        <v>15536</v>
      </c>
      <c r="C563">
        <v>13850.28</v>
      </c>
      <c r="D563">
        <v>10584</v>
      </c>
      <c r="E563">
        <v>7908</v>
      </c>
      <c r="F563">
        <v>19632</v>
      </c>
    </row>
    <row r="564" spans="1:6" x14ac:dyDescent="0.45">
      <c r="A564" s="29">
        <v>4403</v>
      </c>
      <c r="B564" s="29">
        <v>15906</v>
      </c>
      <c r="C564">
        <v>245.28</v>
      </c>
      <c r="D564">
        <v>0</v>
      </c>
      <c r="E564">
        <v>360</v>
      </c>
      <c r="F564">
        <v>360</v>
      </c>
    </row>
    <row r="565" spans="1:6" x14ac:dyDescent="0.45">
      <c r="A565" s="29">
        <v>4403</v>
      </c>
      <c r="B565" s="29">
        <v>16336</v>
      </c>
      <c r="C565">
        <v>18945.240000000002</v>
      </c>
      <c r="D565">
        <v>16668</v>
      </c>
      <c r="E565">
        <v>35820</v>
      </c>
      <c r="F565">
        <v>35820</v>
      </c>
    </row>
    <row r="566" spans="1:6" x14ac:dyDescent="0.45">
      <c r="A566" s="29">
        <v>4403</v>
      </c>
      <c r="B566" s="29">
        <v>16407</v>
      </c>
      <c r="C566">
        <v>239.4</v>
      </c>
      <c r="D566">
        <v>243</v>
      </c>
      <c r="E566">
        <v>207</v>
      </c>
      <c r="F566">
        <v>207</v>
      </c>
    </row>
    <row r="567" spans="1:6" x14ac:dyDescent="0.45">
      <c r="A567" s="29">
        <v>4403</v>
      </c>
      <c r="B567" s="29">
        <v>16984</v>
      </c>
      <c r="C567">
        <v>135.47999999999999</v>
      </c>
      <c r="D567">
        <v>504</v>
      </c>
      <c r="E567">
        <v>12</v>
      </c>
      <c r="F567">
        <v>108</v>
      </c>
    </row>
    <row r="568" spans="1:6" x14ac:dyDescent="0.45">
      <c r="A568" s="29">
        <v>4403</v>
      </c>
      <c r="B568" s="29">
        <v>16998</v>
      </c>
      <c r="C568">
        <v>24.72</v>
      </c>
      <c r="D568">
        <v>0</v>
      </c>
      <c r="E568">
        <v>108</v>
      </c>
      <c r="F568">
        <v>108</v>
      </c>
    </row>
    <row r="569" spans="1:6" x14ac:dyDescent="0.45">
      <c r="A569" s="29">
        <v>4403</v>
      </c>
      <c r="B569" s="29">
        <v>18098</v>
      </c>
      <c r="C569">
        <v>49.44</v>
      </c>
      <c r="D569">
        <v>0</v>
      </c>
      <c r="E569">
        <v>48</v>
      </c>
      <c r="F569">
        <v>48</v>
      </c>
    </row>
    <row r="570" spans="1:6" x14ac:dyDescent="0.45">
      <c r="A570" s="29">
        <v>4403</v>
      </c>
      <c r="B570" s="29">
        <v>19690</v>
      </c>
      <c r="C570">
        <v>166.2</v>
      </c>
      <c r="D570">
        <v>12</v>
      </c>
      <c r="E570">
        <v>84</v>
      </c>
      <c r="F570">
        <v>84</v>
      </c>
    </row>
    <row r="571" spans="1:6" x14ac:dyDescent="0.45">
      <c r="A571" s="29">
        <v>4403</v>
      </c>
      <c r="B571" s="29">
        <v>20308</v>
      </c>
      <c r="C571">
        <v>15178.2</v>
      </c>
      <c r="D571">
        <v>8436</v>
      </c>
      <c r="E571">
        <v>12408</v>
      </c>
      <c r="F571">
        <v>12408</v>
      </c>
    </row>
    <row r="572" spans="1:6" x14ac:dyDescent="0.45">
      <c r="A572" s="29">
        <v>4403</v>
      </c>
      <c r="B572" s="29">
        <v>20661</v>
      </c>
      <c r="C572">
        <v>5362.56</v>
      </c>
      <c r="D572">
        <v>2640</v>
      </c>
      <c r="E572">
        <v>5352</v>
      </c>
      <c r="F572">
        <v>5352</v>
      </c>
    </row>
    <row r="573" spans="1:6" x14ac:dyDescent="0.45">
      <c r="A573" s="29">
        <v>4403</v>
      </c>
      <c r="B573" s="29">
        <v>20827</v>
      </c>
      <c r="C573">
        <v>2199.96</v>
      </c>
      <c r="D573">
        <v>2448</v>
      </c>
      <c r="E573">
        <v>900</v>
      </c>
      <c r="F573">
        <v>2100</v>
      </c>
    </row>
    <row r="574" spans="1:6" x14ac:dyDescent="0.45">
      <c r="A574" s="29">
        <v>4403</v>
      </c>
      <c r="B574" s="29">
        <v>21910</v>
      </c>
      <c r="C574">
        <v>36.6</v>
      </c>
      <c r="D574">
        <v>0</v>
      </c>
      <c r="E574">
        <v>96</v>
      </c>
      <c r="F574">
        <v>96</v>
      </c>
    </row>
    <row r="575" spans="1:6" x14ac:dyDescent="0.45">
      <c r="A575" s="29">
        <v>4403</v>
      </c>
      <c r="B575" s="29">
        <v>23081</v>
      </c>
      <c r="C575">
        <v>744.24</v>
      </c>
      <c r="D575">
        <v>672</v>
      </c>
      <c r="E575">
        <v>372</v>
      </c>
      <c r="F575">
        <v>372</v>
      </c>
    </row>
    <row r="576" spans="1:6" x14ac:dyDescent="0.45">
      <c r="A576" s="29">
        <v>4403</v>
      </c>
      <c r="B576" s="29">
        <v>23401</v>
      </c>
      <c r="C576">
        <v>13826.52</v>
      </c>
      <c r="D576">
        <v>8316</v>
      </c>
      <c r="E576">
        <v>2436</v>
      </c>
      <c r="F576">
        <v>8436</v>
      </c>
    </row>
    <row r="577" spans="1:6" x14ac:dyDescent="0.45">
      <c r="A577" s="29">
        <v>4403</v>
      </c>
      <c r="B577" s="29">
        <v>23638</v>
      </c>
      <c r="C577">
        <v>8247.7199999999993</v>
      </c>
      <c r="D577">
        <v>4596</v>
      </c>
      <c r="E577">
        <v>11832</v>
      </c>
      <c r="F577">
        <v>11832</v>
      </c>
    </row>
    <row r="578" spans="1:6" x14ac:dyDescent="0.45">
      <c r="A578" s="29">
        <v>4403</v>
      </c>
      <c r="B578" s="29">
        <v>23890</v>
      </c>
      <c r="C578">
        <v>0</v>
      </c>
      <c r="D578">
        <v>1128</v>
      </c>
      <c r="E578">
        <v>0</v>
      </c>
      <c r="F578">
        <v>0</v>
      </c>
    </row>
    <row r="579" spans="1:6" x14ac:dyDescent="0.45">
      <c r="A579" s="29">
        <v>4403</v>
      </c>
      <c r="B579" s="29">
        <v>24768</v>
      </c>
      <c r="C579">
        <v>1926</v>
      </c>
      <c r="D579">
        <v>2772</v>
      </c>
      <c r="E579">
        <v>2184</v>
      </c>
      <c r="F579">
        <v>2184</v>
      </c>
    </row>
    <row r="580" spans="1:6" x14ac:dyDescent="0.45">
      <c r="A580" s="29">
        <v>4403</v>
      </c>
      <c r="B580" s="29">
        <v>25570</v>
      </c>
      <c r="C580">
        <v>3625.44</v>
      </c>
      <c r="D580">
        <v>3192</v>
      </c>
      <c r="E580">
        <v>2808</v>
      </c>
      <c r="F580">
        <v>2808</v>
      </c>
    </row>
    <row r="581" spans="1:6" x14ac:dyDescent="0.45">
      <c r="A581" s="29">
        <v>4403</v>
      </c>
      <c r="B581" s="29">
        <v>25598</v>
      </c>
      <c r="C581">
        <v>924.72</v>
      </c>
      <c r="D581">
        <v>492</v>
      </c>
      <c r="E581">
        <v>0</v>
      </c>
      <c r="F581">
        <v>600</v>
      </c>
    </row>
    <row r="582" spans="1:6" x14ac:dyDescent="0.45">
      <c r="A582" s="29">
        <v>4403</v>
      </c>
      <c r="B582" s="29">
        <v>25885</v>
      </c>
      <c r="C582">
        <v>1600.32</v>
      </c>
      <c r="D582">
        <v>1536</v>
      </c>
      <c r="E582">
        <v>72</v>
      </c>
      <c r="F582">
        <v>1668</v>
      </c>
    </row>
    <row r="583" spans="1:6" x14ac:dyDescent="0.45">
      <c r="A583" s="29">
        <v>4403</v>
      </c>
      <c r="B583" s="29">
        <v>26234</v>
      </c>
      <c r="C583">
        <v>0</v>
      </c>
      <c r="D583">
        <v>0</v>
      </c>
      <c r="E583">
        <v>876</v>
      </c>
      <c r="F583">
        <v>876</v>
      </c>
    </row>
    <row r="584" spans="1:6" x14ac:dyDescent="0.45">
      <c r="A584" s="29">
        <v>4403</v>
      </c>
      <c r="B584" s="29">
        <v>27021</v>
      </c>
      <c r="C584">
        <v>0</v>
      </c>
      <c r="D584">
        <v>0</v>
      </c>
      <c r="E584">
        <v>96</v>
      </c>
      <c r="F584">
        <v>96</v>
      </c>
    </row>
    <row r="585" spans="1:6" x14ac:dyDescent="0.45">
      <c r="A585" s="29">
        <v>4404</v>
      </c>
      <c r="B585" s="29">
        <v>189</v>
      </c>
      <c r="C585">
        <v>39999.96</v>
      </c>
      <c r="D585">
        <v>22764</v>
      </c>
      <c r="E585">
        <v>3144</v>
      </c>
      <c r="F585">
        <v>36888</v>
      </c>
    </row>
    <row r="586" spans="1:6" x14ac:dyDescent="0.45">
      <c r="A586" s="29">
        <v>4404</v>
      </c>
      <c r="B586" s="29">
        <v>1167</v>
      </c>
      <c r="C586">
        <v>12000</v>
      </c>
      <c r="D586">
        <v>8172</v>
      </c>
      <c r="E586">
        <v>5892</v>
      </c>
      <c r="F586">
        <v>5892</v>
      </c>
    </row>
    <row r="587" spans="1:6" x14ac:dyDescent="0.45">
      <c r="A587" s="29">
        <v>4404</v>
      </c>
      <c r="B587" s="29">
        <v>1296</v>
      </c>
      <c r="C587">
        <v>5499.96</v>
      </c>
      <c r="D587">
        <v>3984</v>
      </c>
      <c r="E587">
        <v>4392</v>
      </c>
      <c r="F587">
        <v>4392</v>
      </c>
    </row>
    <row r="588" spans="1:6" x14ac:dyDescent="0.45">
      <c r="A588" s="29">
        <v>4404</v>
      </c>
      <c r="B588" s="29">
        <v>2122</v>
      </c>
      <c r="C588">
        <v>6192</v>
      </c>
      <c r="D588">
        <v>4356</v>
      </c>
      <c r="E588">
        <v>6204</v>
      </c>
      <c r="F588">
        <v>7212</v>
      </c>
    </row>
    <row r="589" spans="1:6" x14ac:dyDescent="0.45">
      <c r="A589" s="29">
        <v>4404</v>
      </c>
      <c r="B589" s="29">
        <v>4145</v>
      </c>
      <c r="C589">
        <v>152.37</v>
      </c>
      <c r="D589">
        <v>72</v>
      </c>
      <c r="E589">
        <v>0</v>
      </c>
      <c r="F589">
        <v>243</v>
      </c>
    </row>
    <row r="590" spans="1:6" x14ac:dyDescent="0.45">
      <c r="A590" s="29">
        <v>4404</v>
      </c>
      <c r="B590" s="29">
        <v>5159</v>
      </c>
      <c r="C590">
        <v>9000</v>
      </c>
      <c r="D590">
        <v>5652</v>
      </c>
      <c r="E590">
        <v>0</v>
      </c>
      <c r="F590">
        <v>7728</v>
      </c>
    </row>
    <row r="591" spans="1:6" x14ac:dyDescent="0.45">
      <c r="A591" s="29">
        <v>4404</v>
      </c>
      <c r="B591" s="29">
        <v>6151</v>
      </c>
      <c r="C591">
        <v>7999.92</v>
      </c>
      <c r="D591">
        <v>5052</v>
      </c>
      <c r="E591">
        <v>2652</v>
      </c>
      <c r="F591">
        <v>2952</v>
      </c>
    </row>
    <row r="592" spans="1:6" x14ac:dyDescent="0.45">
      <c r="A592" s="29">
        <v>4404</v>
      </c>
      <c r="B592" s="29">
        <v>6982</v>
      </c>
      <c r="C592">
        <v>24499.919999999998</v>
      </c>
      <c r="D592">
        <v>19116</v>
      </c>
      <c r="E592">
        <v>13188</v>
      </c>
      <c r="F592">
        <v>14388</v>
      </c>
    </row>
    <row r="593" spans="1:6" x14ac:dyDescent="0.45">
      <c r="A593" s="29">
        <v>4404</v>
      </c>
      <c r="B593" s="29">
        <v>7310</v>
      </c>
      <c r="C593">
        <v>15989.76</v>
      </c>
      <c r="D593">
        <v>12084</v>
      </c>
      <c r="E593">
        <v>18180</v>
      </c>
      <c r="F593">
        <v>27648</v>
      </c>
    </row>
    <row r="594" spans="1:6" x14ac:dyDescent="0.45">
      <c r="A594" s="29">
        <v>4404</v>
      </c>
      <c r="B594" s="29">
        <v>8529</v>
      </c>
      <c r="C594">
        <v>7500</v>
      </c>
      <c r="D594">
        <v>4404</v>
      </c>
      <c r="E594">
        <v>3744</v>
      </c>
      <c r="F594">
        <v>7848</v>
      </c>
    </row>
    <row r="595" spans="1:6" x14ac:dyDescent="0.45">
      <c r="A595" s="29">
        <v>4404</v>
      </c>
      <c r="B595" s="29">
        <v>13179</v>
      </c>
      <c r="C595">
        <v>219999.96</v>
      </c>
      <c r="D595">
        <v>174888</v>
      </c>
      <c r="E595">
        <v>107172</v>
      </c>
      <c r="F595">
        <v>182688</v>
      </c>
    </row>
    <row r="596" spans="1:6" x14ac:dyDescent="0.45">
      <c r="A596" s="29">
        <v>4404</v>
      </c>
      <c r="B596" s="29">
        <v>13490</v>
      </c>
      <c r="C596">
        <v>4108.5</v>
      </c>
      <c r="D596">
        <v>3780</v>
      </c>
      <c r="E596">
        <v>2220</v>
      </c>
      <c r="F596">
        <v>2220</v>
      </c>
    </row>
    <row r="597" spans="1:6" x14ac:dyDescent="0.45">
      <c r="A597" s="29">
        <v>4404</v>
      </c>
      <c r="B597" s="29">
        <v>13678</v>
      </c>
      <c r="C597">
        <v>1815.24</v>
      </c>
      <c r="D597">
        <v>1200</v>
      </c>
      <c r="E597">
        <v>1452</v>
      </c>
      <c r="F597">
        <v>1452</v>
      </c>
    </row>
    <row r="598" spans="1:6" x14ac:dyDescent="0.45">
      <c r="A598" s="29">
        <v>4404</v>
      </c>
      <c r="B598" s="29">
        <v>14248</v>
      </c>
      <c r="C598">
        <v>92</v>
      </c>
      <c r="D598">
        <v>0</v>
      </c>
      <c r="E598">
        <v>0</v>
      </c>
      <c r="F598">
        <v>180</v>
      </c>
    </row>
    <row r="599" spans="1:6" x14ac:dyDescent="0.45">
      <c r="A599" s="29">
        <v>4404</v>
      </c>
      <c r="B599" s="29">
        <v>14654</v>
      </c>
      <c r="C599">
        <v>2147.7600000000002</v>
      </c>
      <c r="D599">
        <v>2676</v>
      </c>
      <c r="E599">
        <v>2376</v>
      </c>
      <c r="F599">
        <v>2976</v>
      </c>
    </row>
    <row r="600" spans="1:6" x14ac:dyDescent="0.45">
      <c r="A600" s="29">
        <v>4404</v>
      </c>
      <c r="B600" s="29">
        <v>14788</v>
      </c>
      <c r="C600">
        <v>54999.96</v>
      </c>
      <c r="D600">
        <v>41388</v>
      </c>
      <c r="E600">
        <v>39504</v>
      </c>
      <c r="F600">
        <v>41904</v>
      </c>
    </row>
    <row r="601" spans="1:6" x14ac:dyDescent="0.45">
      <c r="A601" s="29">
        <v>4404</v>
      </c>
      <c r="B601" s="29">
        <v>15300</v>
      </c>
      <c r="C601">
        <v>4.8600000000000003</v>
      </c>
      <c r="D601">
        <v>0</v>
      </c>
      <c r="E601">
        <v>0</v>
      </c>
      <c r="F601">
        <v>18</v>
      </c>
    </row>
    <row r="602" spans="1:6" x14ac:dyDescent="0.45">
      <c r="A602" s="29">
        <v>4404</v>
      </c>
      <c r="B602" s="29">
        <v>15459</v>
      </c>
      <c r="C602">
        <v>10725.2</v>
      </c>
      <c r="D602">
        <v>10000</v>
      </c>
      <c r="E602">
        <v>13980</v>
      </c>
      <c r="F602">
        <v>13980</v>
      </c>
    </row>
    <row r="603" spans="1:6" x14ac:dyDescent="0.45">
      <c r="A603" s="29">
        <v>4404</v>
      </c>
      <c r="B603" s="29">
        <v>15536</v>
      </c>
      <c r="C603">
        <v>1800</v>
      </c>
      <c r="D603">
        <v>1284</v>
      </c>
      <c r="E603">
        <v>1740</v>
      </c>
      <c r="F603">
        <v>3540</v>
      </c>
    </row>
    <row r="604" spans="1:6" x14ac:dyDescent="0.45">
      <c r="A604" s="29">
        <v>4404</v>
      </c>
      <c r="B604" s="29">
        <v>15906</v>
      </c>
      <c r="C604">
        <v>61.32</v>
      </c>
      <c r="D604">
        <v>0</v>
      </c>
      <c r="E604">
        <v>120</v>
      </c>
      <c r="F604">
        <v>120</v>
      </c>
    </row>
    <row r="605" spans="1:6" x14ac:dyDescent="0.45">
      <c r="A605" s="29">
        <v>4404</v>
      </c>
      <c r="B605" s="29">
        <v>16336</v>
      </c>
      <c r="C605">
        <v>27999.96</v>
      </c>
      <c r="D605">
        <v>25980</v>
      </c>
      <c r="E605">
        <v>17460</v>
      </c>
      <c r="F605">
        <v>32928</v>
      </c>
    </row>
    <row r="606" spans="1:6" x14ac:dyDescent="0.45">
      <c r="A606" s="29">
        <v>4404</v>
      </c>
      <c r="B606" s="29">
        <v>16407</v>
      </c>
      <c r="C606">
        <v>221.67</v>
      </c>
      <c r="D606">
        <v>0</v>
      </c>
      <c r="E606">
        <v>0</v>
      </c>
      <c r="F606">
        <v>477</v>
      </c>
    </row>
    <row r="607" spans="1:6" x14ac:dyDescent="0.45">
      <c r="A607" s="29">
        <v>4404</v>
      </c>
      <c r="B607" s="29">
        <v>16984</v>
      </c>
      <c r="C607">
        <v>49.44</v>
      </c>
      <c r="D607">
        <v>324</v>
      </c>
      <c r="E607">
        <v>252</v>
      </c>
      <c r="F607">
        <v>252</v>
      </c>
    </row>
    <row r="608" spans="1:6" x14ac:dyDescent="0.45">
      <c r="A608" s="29">
        <v>4404</v>
      </c>
      <c r="B608" s="29">
        <v>16998</v>
      </c>
      <c r="C608">
        <v>1072.8</v>
      </c>
      <c r="D608">
        <v>0</v>
      </c>
      <c r="E608">
        <v>1092</v>
      </c>
      <c r="F608">
        <v>2292</v>
      </c>
    </row>
    <row r="609" spans="1:6" x14ac:dyDescent="0.45">
      <c r="A609" s="29">
        <v>4404</v>
      </c>
      <c r="B609" s="29">
        <v>18098</v>
      </c>
      <c r="C609">
        <v>536.4</v>
      </c>
      <c r="D609">
        <v>0</v>
      </c>
      <c r="E609">
        <v>792</v>
      </c>
      <c r="F609">
        <v>792</v>
      </c>
    </row>
    <row r="610" spans="1:6" x14ac:dyDescent="0.45">
      <c r="A610" s="29">
        <v>4404</v>
      </c>
      <c r="B610" s="29">
        <v>19690</v>
      </c>
      <c r="C610">
        <v>321.60000000000002</v>
      </c>
      <c r="D610">
        <v>108</v>
      </c>
      <c r="E610">
        <v>0</v>
      </c>
      <c r="F610">
        <v>0</v>
      </c>
    </row>
    <row r="611" spans="1:6" x14ac:dyDescent="0.45">
      <c r="A611" s="29">
        <v>4404</v>
      </c>
      <c r="B611" s="29">
        <v>20308</v>
      </c>
      <c r="C611">
        <v>5976.24</v>
      </c>
      <c r="D611">
        <v>12672</v>
      </c>
      <c r="E611">
        <v>4236</v>
      </c>
      <c r="F611">
        <v>6276</v>
      </c>
    </row>
    <row r="612" spans="1:6" x14ac:dyDescent="0.45">
      <c r="A612" s="29">
        <v>4404</v>
      </c>
      <c r="B612" s="29">
        <v>20661</v>
      </c>
      <c r="C612">
        <v>8199.9599999999991</v>
      </c>
      <c r="D612">
        <v>3228</v>
      </c>
      <c r="E612">
        <v>4896</v>
      </c>
      <c r="F612">
        <v>4896</v>
      </c>
    </row>
    <row r="613" spans="1:6" x14ac:dyDescent="0.45">
      <c r="A613" s="29">
        <v>4404</v>
      </c>
      <c r="B613" s="29">
        <v>20827</v>
      </c>
      <c r="C613">
        <v>2100</v>
      </c>
      <c r="D613">
        <v>1836</v>
      </c>
      <c r="E613">
        <v>1632</v>
      </c>
      <c r="F613">
        <v>2832</v>
      </c>
    </row>
    <row r="614" spans="1:6" x14ac:dyDescent="0.45">
      <c r="A614" s="29">
        <v>4404</v>
      </c>
      <c r="B614" s="29">
        <v>21910</v>
      </c>
      <c r="C614">
        <v>1076.76</v>
      </c>
      <c r="D614">
        <v>300</v>
      </c>
      <c r="E614">
        <v>1356</v>
      </c>
      <c r="F614">
        <v>1356</v>
      </c>
    </row>
    <row r="615" spans="1:6" x14ac:dyDescent="0.45">
      <c r="A615" s="29">
        <v>4404</v>
      </c>
      <c r="B615" s="29">
        <v>23081</v>
      </c>
      <c r="C615">
        <v>2144.7600000000002</v>
      </c>
      <c r="D615">
        <v>576</v>
      </c>
      <c r="E615">
        <v>1200</v>
      </c>
      <c r="F615">
        <v>1200</v>
      </c>
    </row>
    <row r="616" spans="1:6" x14ac:dyDescent="0.45">
      <c r="A616" s="29">
        <v>4404</v>
      </c>
      <c r="B616" s="29">
        <v>23401</v>
      </c>
      <c r="C616">
        <v>14499.96</v>
      </c>
      <c r="D616">
        <v>12504</v>
      </c>
      <c r="E616">
        <v>732</v>
      </c>
      <c r="F616">
        <v>18732</v>
      </c>
    </row>
    <row r="617" spans="1:6" x14ac:dyDescent="0.45">
      <c r="A617" s="29">
        <v>4404</v>
      </c>
      <c r="B617" s="29">
        <v>23638</v>
      </c>
      <c r="C617">
        <v>4480.68</v>
      </c>
      <c r="D617">
        <v>768</v>
      </c>
      <c r="E617">
        <v>0</v>
      </c>
      <c r="F617">
        <v>1680</v>
      </c>
    </row>
    <row r="618" spans="1:6" x14ac:dyDescent="0.45">
      <c r="A618" s="29">
        <v>4404</v>
      </c>
      <c r="B618" s="29">
        <v>24768</v>
      </c>
      <c r="C618">
        <v>3000</v>
      </c>
      <c r="D618">
        <v>1728</v>
      </c>
      <c r="E618">
        <v>204</v>
      </c>
      <c r="F618">
        <v>2604</v>
      </c>
    </row>
    <row r="619" spans="1:6" x14ac:dyDescent="0.45">
      <c r="A619" s="29">
        <v>4404</v>
      </c>
      <c r="B619" s="29">
        <v>25570</v>
      </c>
      <c r="C619">
        <v>1072.8</v>
      </c>
      <c r="D619">
        <v>168</v>
      </c>
      <c r="E619">
        <v>1332</v>
      </c>
      <c r="F619">
        <v>1332</v>
      </c>
    </row>
    <row r="620" spans="1:6" x14ac:dyDescent="0.45">
      <c r="A620" s="29">
        <v>4404</v>
      </c>
      <c r="B620" s="29">
        <v>25598</v>
      </c>
      <c r="C620">
        <v>3999.96</v>
      </c>
      <c r="D620">
        <v>2244</v>
      </c>
      <c r="E620">
        <v>456</v>
      </c>
      <c r="F620">
        <v>1956</v>
      </c>
    </row>
    <row r="621" spans="1:6" x14ac:dyDescent="0.45">
      <c r="A621" s="29">
        <v>4404</v>
      </c>
      <c r="B621" s="29">
        <v>25885</v>
      </c>
      <c r="C621">
        <v>2153.64</v>
      </c>
      <c r="D621">
        <v>1728</v>
      </c>
      <c r="E621">
        <v>1092</v>
      </c>
      <c r="F621">
        <v>3492</v>
      </c>
    </row>
    <row r="622" spans="1:6" x14ac:dyDescent="0.45">
      <c r="A622" s="29">
        <v>4404</v>
      </c>
      <c r="B622" s="29">
        <v>26193</v>
      </c>
      <c r="C622">
        <v>0</v>
      </c>
      <c r="D622">
        <v>180</v>
      </c>
      <c r="E622">
        <v>0</v>
      </c>
      <c r="F622">
        <v>0</v>
      </c>
    </row>
    <row r="623" spans="1:6" x14ac:dyDescent="0.45">
      <c r="A623" s="29">
        <v>4404</v>
      </c>
      <c r="B623" s="29">
        <v>26234</v>
      </c>
      <c r="C623">
        <v>0</v>
      </c>
      <c r="D623">
        <v>0</v>
      </c>
      <c r="E623">
        <v>828</v>
      </c>
      <c r="F623">
        <v>828</v>
      </c>
    </row>
    <row r="624" spans="1:6" x14ac:dyDescent="0.45">
      <c r="A624" s="29">
        <v>4404</v>
      </c>
      <c r="B624" s="29">
        <v>26744</v>
      </c>
      <c r="C624">
        <v>0</v>
      </c>
      <c r="D624">
        <v>0</v>
      </c>
      <c r="E624">
        <v>48</v>
      </c>
      <c r="F624">
        <v>48</v>
      </c>
    </row>
    <row r="625" spans="1:6" x14ac:dyDescent="0.45">
      <c r="A625" s="29">
        <v>4404</v>
      </c>
      <c r="B625" s="29">
        <v>26745</v>
      </c>
      <c r="C625">
        <v>0</v>
      </c>
      <c r="D625">
        <v>0</v>
      </c>
      <c r="E625">
        <v>192</v>
      </c>
      <c r="F625">
        <v>192</v>
      </c>
    </row>
    <row r="626" spans="1:6" x14ac:dyDescent="0.45">
      <c r="A626" s="29">
        <v>4404</v>
      </c>
      <c r="B626" s="29">
        <v>27021</v>
      </c>
      <c r="C626">
        <v>0</v>
      </c>
      <c r="D626">
        <v>0</v>
      </c>
      <c r="E626">
        <v>96</v>
      </c>
      <c r="F626">
        <v>96</v>
      </c>
    </row>
  </sheetData>
  <autoFilter ref="A1:F626" xr:uid="{57A5C26B-35AE-4842-92AB-C8BDFFABF8DD}">
    <sortState xmlns:xlrd2="http://schemas.microsoft.com/office/spreadsheetml/2017/richdata2" ref="A2:F626">
      <sortCondition ref="A1:A62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53E74-7B9A-4E13-A3CD-8653CB73DD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Biswanath</dc:creator>
  <cp:lastModifiedBy>Goyal, Aryan</cp:lastModifiedBy>
  <cp:lastPrinted>2023-02-06T04:52:42Z</cp:lastPrinted>
  <dcterms:created xsi:type="dcterms:W3CDTF">2015-06-05T18:17:20Z</dcterms:created>
  <dcterms:modified xsi:type="dcterms:W3CDTF">2026-05-28T04:53:03Z</dcterms:modified>
</cp:coreProperties>
</file>